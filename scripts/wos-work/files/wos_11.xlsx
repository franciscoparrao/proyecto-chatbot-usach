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<sst xmlns="http://schemas.openxmlformats.org/spreadsheetml/2006/main" count="65634" uniqueCount="9865">
  <si>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</si>
  <si>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</si>
  <si>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</si>
  <si>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</si>
  <si>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</si>
  <si>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</si>
  <si>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</si>
  <si>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</si>
  <si>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</si>
  <si>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</si>
  <si>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</si>
  <si>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</si>
  <si>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</si>
  <si>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</si>
  <si>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</si>
  <si>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</si>
  <si>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</si>
  <si>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</si>
  <si>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</si>
  <si>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</si>
  <si>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</si>
  <si>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</si>
  <si>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</si>
  <si>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</si>
  <si>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</si>
  <si>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</si>
  <si>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</si>
  <si>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</si>
  <si>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</si>
  <si>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</si>
  <si>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</si>
  <si>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</si>
  <si>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</si>
  <si>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</si>
  <si>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</si>
  <si>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</si>
  <si>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</si>
  <si>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</si>
  <si>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</si>
  <si>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</si>
  <si>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</si>
  <si>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</si>
  <si>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</si>
  <si>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</si>
  <si>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</si>
  <si>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</si>
  <si>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</si>
  <si>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</si>
  <si>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</si>
  <si>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</si>
  <si>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</si>
  <si>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</si>
  <si>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</si>
  <si>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</si>
  <si>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</si>
  <si>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</si>
  <si>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</si>
  <si>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</si>
  <si>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</si>
  <si>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</si>
  <si>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</si>
  <si>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</si>
  <si>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</si>
  <si>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</si>
  <si>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</si>
  <si>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</si>
  <si>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</si>
  <si>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</si>
  <si>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</si>
  <si>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</si>
  <si>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</si>
  <si>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</si>
  <si>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</si>
  <si>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Xin, L; Boutaous, M; Xin, SH; Siginer, DA</t>
  </si>
  <si>
    <t/>
  </si>
  <si>
    <t>Xin, Liu; Boutaous, M'hamed; Xin, Shihe; Siginer, Dennis A.</t>
  </si>
  <si>
    <t>Multiphysical modeling of the heating phase in the polymer powder bed fusion process</t>
  </si>
  <si>
    <t>ADDITIVE MANUFACTURING</t>
  </si>
  <si>
    <t>A numerical framework based on a modified Monte Carlo ray-tracing method and the Discrete Element Method (DEM) is developed to predict the physical behavior of discrete particles during the Powder Bed Fusion (SLS) process. A comprehensive model coupling all major aspects of the underlying physics and the corresponding numerical framework, accounting for radiative heat transfer, heat conduction, sintering and granular dynamics among others, is developed. In particular, the effect of scattering on the laser-particle interaction is investigated and accounted for in the numerical framework. The spatially and temporally varying distribution of heat and displacement within the additively manufactured object are captured in detail. The model is validated through the comparison of simulated results with existing experimental results in the literature. (C) 2017 Elsevier B.V. All rights reserved.</t>
  </si>
  <si>
    <t>Xing, Liudong/AAG-9599-2020</t>
  </si>
  <si>
    <t>Boutaous, M'hamed/0000-0002-3633-0736</t>
  </si>
  <si>
    <t>2214-8604</t>
  </si>
  <si>
    <t>2214-7810</t>
  </si>
  <si>
    <t>DEC</t>
  </si>
  <si>
    <t>10.1016/j.addma.2017.10.006</t>
  </si>
  <si>
    <t>WOS:000435751500013</t>
  </si>
  <si>
    <t>Barrientos, J; Gomez, F; Cardenas, M</t>
  </si>
  <si>
    <t>Barrientos, Jaime; Gomez, Fabiola; Cardenas, Manuel</t>
  </si>
  <si>
    <t>RELATION BETWEEN HIV STATUS, RISKY SEXUAL BEHAVIOR, AND MENTAL HEALTH IN A GAY MEN SAMPLE FROM THREE CHILEAN CITIES</t>
  </si>
  <si>
    <t>JOURNAL OF SEXUAL MEDICINE</t>
  </si>
  <si>
    <t>Gómez, Fabiola/W-3604-2018; Barrientos, Jaime/GMW-8081-2022</t>
  </si>
  <si>
    <t>Barrientos, Jaime/0000-0001-8497-3552; Gomez, Fabiola/0000-0002-8390-9476</t>
  </si>
  <si>
    <t>1743-6095</t>
  </si>
  <si>
    <t>1743-6109</t>
  </si>
  <si>
    <t>MAY</t>
  </si>
  <si>
    <t>E263</t>
  </si>
  <si>
    <t>10.1016/j.jsxm.2017.04.288</t>
  </si>
  <si>
    <t>WOS:000424205700211</t>
  </si>
  <si>
    <t>Shah, C; Hendahewa, C; González-Ibáñez, R</t>
  </si>
  <si>
    <t>Shah, Chirag; Hendahewa, Chathra; Gonzalez-Ibanez, Roberto</t>
  </si>
  <si>
    <t>Two's not always company: collaborative information seeking across task types</t>
  </si>
  <si>
    <t>ASLIB JOURNAL OF INFORMATION MANAGEMENT</t>
  </si>
  <si>
    <t>Purpose - The purpose of this paper is to investigate when and how people working collaboratively could be assisted in a fact-finding task, specifically focusing on team size and its effect on the outcomes of such a task. This is a follow-up to a previously published study that examined exploratory search tasks. Design/methodology/approach - This research investigates the effects of team size on fact-finding tasks using a lab study involving 68 participants - 12 individuals, ten dyads, and 12 triads. The evaluation framework developed in the preceding work is used to compare the findings with respect to the earlier traditional exploratory task (Task 1) and the complex fact-finding task reported here (Task 2), with task type being the only difference. Findings - The analyses of the user study data show that while adding more people to an exploratory search task could be beneficial in terms of efficiency and effectiveness, such findings do not apply in a complex fact-finding task. Indeed, results showed that the individuals were more efficient and effective doing Task 2 than they were in Task 1. Moreover, they outperformed the dyads and triads in Task 2 with respect to these two measures, which relate to the coverage of useful information and its relation to the expression of information needs. If the total time taken by each team is disregarded, the dyads and triads did better than the individuals in answering the fact-finding questions. But considering the time effect, this performance boost does not keep up with the increased group size. Originality/value - The findings shed light not only on when, how, and why certain collaborations become successful, but also how team size affects specific aspects of information seeking, including information exposure, information relevancy, information search, and performance. This has implications for system designers, information managers, and educators. The presented work is novel in that it is the first empirical work to show the difference in individual and collaborative work (by dyads and triads) between exploratory and fact-finding tasks.</t>
  </si>
  <si>
    <t>Shah, Chirag/AAU-2437-2020</t>
  </si>
  <si>
    <t>Shah, Chirag/0000-0002-3797-4293; Gonzalez-Ibanez, Roberto/0000-0002-4193-6548</t>
  </si>
  <si>
    <t>2050-3806</t>
  </si>
  <si>
    <t>1758-3748</t>
  </si>
  <si>
    <t>10.1108/AJIM-06-2016-0075</t>
  </si>
  <si>
    <t>WOS:000396714200002</t>
  </si>
  <si>
    <t>Ibarra, A; Roman, B; Melo, F</t>
  </si>
  <si>
    <t>Ibarra, Alejandro; Roman, Benoit; Melo, Francisco</t>
  </si>
  <si>
    <t>The tearing path in a thin anisotropic sheet from two pulling points: Wulff's view</t>
  </si>
  <si>
    <t>SOFT MATTER</t>
  </si>
  <si>
    <t>We study the crack propagation in a thin notched sheet of a polymeric material when two points in the sheet are pulled away. For materials of isotropic fracture energy, we show that an effective tearing vector predicting the direction of fracture propagation can be defined. In the flat sheet state, this vector is the perpendicular bisector of the vectors joining the pulling points and the fracture tip. The tearing vector is then differently oriented than the pulling direction. The maximum energy released rate'' criterion predicts a crack path that is tangential to the instantaneous tearing vector, or equivalently trajectories that are hyperbolas whose focal points are the pulling points. However, experiments indicate that fracture paths rarely follow this prediction because any small anisotropy existing in real thin sheets deviates the crack path from being parallel to the tearing vector. Although these deviations are locally small, as crack progresses a cumulative effect which results in large errors for long crack paths are observed. We therefore introduce the anisotropy effect through the generalization of the maximum energy released rate'' criterion and demonstrate that the crack trajectory and the minimum force to sustain tearing can be found through a Wulff's type geometrical construction. Systematic experiments show that the tearing force and fracture path are in good agreement with this prediction.</t>
  </si>
  <si>
    <t>Melo, Francisco/M-3923-2014; Roman, Benoit/C-6273-2014</t>
  </si>
  <si>
    <t>Roman, Benoit/0000-0002-1473-2734; Melo, Francisco Esteban/0000-0001-6818-5476; Ibarra, Alejandro/0000-0002-6916-8608</t>
  </si>
  <si>
    <t>1744-683X</t>
  </si>
  <si>
    <t>1744-6848</t>
  </si>
  <si>
    <t>10.1039/c6sm00734a</t>
  </si>
  <si>
    <t>WOS:000379492500015</t>
  </si>
  <si>
    <t>Martínez, LJ; Muñoz-Bonilla, A; Mazario, E; Recio, FJ; Palomares, FJ; Herrasti, P</t>
  </si>
  <si>
    <t>Martinez, L. J.; Munoz-Bonilla, A.; Mazario, E.; Recio, F. J.; Palomares, F. J.; Herrasti, P.</t>
  </si>
  <si>
    <t>Adsorption of chromium(VI) onto electrochemically obtained magnetite nanoparticles</t>
  </si>
  <si>
    <t>INTERNATIONAL JOURNAL OF ENVIRONMENTAL SCIENCE AND TECHNOLOGY</t>
  </si>
  <si>
    <t>Well-dispersed magnetite nanoparticles of different sizes between 15 and 43 nm were synthesized by an electrochemical method in a controlled manner by simply changing the synthesis temperature. These nanoparticles were used as a reusable adsorbent to remove Cr(VI) from aqueous solution. The recovery efficiency was found to be highly dependent on environmental parameters, such as temperature and pH. In addition, it was demonstrated that the initial concentrations of both Cr(VI) and magnetite nanoparticles strongly influence the removal capability of these nanomaterials. Remarkably, the nanoparticle size has a key role on the Cr(VI) adsorption efficiency, which gradually increases as the diameter decreases due to the augmentation of the surface area. The low aggregation in the case of small particles that results from the low magnetization saturation values also contributes to the enhancement of the surface area available for Cr(VI) adsorption. In contrast, nanoparticles with larger sizes are more easily manipulated by a magnet, and the efficiency is largely maintained after five cycles. The adsorption process fits the Langmuir isotherm model well, and the reaction was found to follow a pseudo-second-order rate.</t>
  </si>
  <si>
    <t>Recio, Francisco/AAB-2148-2020; Gonzalez, Pilar/R-8532-2018; Palomares, Francisco Javier/C-4605-2011; Mazario Masip, Eva/K-3972-2012</t>
  </si>
  <si>
    <t>Palomares, Francisco Javier/0000-0002-4768-2219; Recio, Francisco/0000-0002-5181-3197; Munoz-Bonilla, Alexandra/0000-0003-0210-1246; Mazario Masip, Eva/0000-0001-8235-0087</t>
  </si>
  <si>
    <t>1735-1472</t>
  </si>
  <si>
    <t>1735-2630</t>
  </si>
  <si>
    <t>10.1007/s13762-015-0832-z</t>
  </si>
  <si>
    <t>WOS:000365756300029</t>
  </si>
  <si>
    <t>Jara-Bertin, M; López-Iturriaga, FJ; Espinosa, C</t>
  </si>
  <si>
    <t>Jara-Bertin, Mauricio; Lopez-Iturriaga, Felix J.; Espinosa, Christian</t>
  </si>
  <si>
    <t>Diversification and control in emerging markets: The case of Chilean firms</t>
  </si>
  <si>
    <t>BRQ-BUSINESS RESEARCH QUARTERLY</t>
  </si>
  <si>
    <t>We analyze the effect. of two types of corporate diversification (business diversification and ownership diversification) on the market value of the Chilean firms. For a sample of 83 nonfinancial firms listed on the Santiago Stock Market from 2005 to 2013, we find a discount for both business and ownership diversification, which is consistent with that reported for other economic or institutional settings. Second, we find that the business diversification discount is related to the ownership structure and is due to the excess of the largest shareholders' control rights. Third, we find that the ownership diversification discount becomes a premium when the ownership diversification enables the control of the affiliated firms. This effect can be explained by the improvement of internal capital markets that allows overcoming the limitations of Chilean external capital markets. (C) 2014 ACEDE. Published by Elsevier Espana, S.L.U. This is an open access article under the CC BY-NC-ND license</t>
  </si>
  <si>
    <t>Espinosa-Méndez, Christian/G-5177-2019; Jara, Mauricio/HHN-5573-2022; Lopez-Iturriaga, Felix/F-5321-2012</t>
  </si>
  <si>
    <t>Jara, Mauricio/0000-0001-6339-3794; Espinosa-Mendez, Christian/0000-0001-6499-2414; Lopez-Iturriaga, Felix/0000-0003-0875-5283</t>
  </si>
  <si>
    <t>2340-9436</t>
  </si>
  <si>
    <t>OCT-DEC</t>
  </si>
  <si>
    <t>10.1016/j.brq.2015.01.002</t>
  </si>
  <si>
    <t>WOS:000362621400004</t>
  </si>
  <si>
    <t>Zenteno, A; Guerrero, S; Ulloa, MT; Palza, H; Zapata, PA</t>
  </si>
  <si>
    <t>Zenteno, Andres; Guerrero, Sichem; Teresa Ulloa, Maria; Palza, Humberto; Zapata, Paula A.</t>
  </si>
  <si>
    <t>Effect of hydrothermally synthesized titanium nanotubes on the behaviour of polypropylene for antimicrobial applications</t>
  </si>
  <si>
    <t>POLYMER INTERNATIONAL</t>
  </si>
  <si>
    <t>TiO2 nanotubes (TiO2-Ntbs) synthesized by a hydrothermal method were used as filler to prepare polypropylene (PP) composites by melt blending. Their structural properties as well as their biocidal potential were studied. Nanotubes were used either as-synthesized or organically modified with hexadecyltrimethoxysilane (Mod-TiO2). These nanoparticles form secondary structures with sizes around 100 nm that are well dispersed in the polymer matrix, but not homogeneously because agglomerates larger than 1 mu m are also seen by transmission electron microscopy. Regarding the properties of the composites, the incorporation of the nanoparticles increased the polymer's crystallinity and thermal stability. The maximum decomposition temperature of the matrix increased by ca 13 degrees C compared to virgin PP. The nanotubes further increase the spherulite nucleation density, and therefore a reduction in the diameter of spherulites and an increase in their number were observed. Despite the above, the addition of TiO2 nanoparticles did not modify the mechanical properties of PP. The PP/TiO2-Ntb nanocomposites exposed to UVA radiation showed a biocidal behaviour, reducing a colony of Escherichia coli by 81%. (c) 2015 Society of Chemical Industry</t>
  </si>
  <si>
    <t>; Palza, Humberto/H-2782-2014</t>
  </si>
  <si>
    <t>Zapata, Paula Andrea/0000-0003-3361-6226; Palza, Humberto/0000-0001-5246-6791</t>
  </si>
  <si>
    <t>0959-8103</t>
  </si>
  <si>
    <t>1097-0126</t>
  </si>
  <si>
    <t>OCT</t>
  </si>
  <si>
    <t>10.1002/pi.4939</t>
  </si>
  <si>
    <t>WOS:000360820300018</t>
  </si>
  <si>
    <t>C</t>
  </si>
  <si>
    <t>Serrano, F; Gharsallah, M; Cherif, W; Martínez, JL; Cascos, V; Troncoso, L; Alonso, JA</t>
  </si>
  <si>
    <t>Serrano, F.; Gharsallah, M.; Cherif, W.; Martinez, J. L.; Cascos, V.; Troncoso, L.; Alonso, J. A.</t>
  </si>
  <si>
    <t>Facile preparation of state-of-the art thermoelectric materials by high-pressure synthesis</t>
  </si>
  <si>
    <t>MATERIALS TODAY-PROCEEDINGS</t>
  </si>
  <si>
    <t>12th European Conference on Thermoelectricity (ECT)</t>
  </si>
  <si>
    <t>SEP 24-26, 2014</t>
  </si>
  <si>
    <t>Madrid, SPAIN</t>
  </si>
  <si>
    <t>We describe the HP preparation of some state-of the art thermoelectric materials: chalcogenides and pnictides. Those include Bi2Te3 and materials with skutterudite structure (CoSb3). Some present a huge preferred orientation and nanostructuration, resulting from the uniaxial pressure applied during the synthesis, which may be beneficial to enhance the thermoelectric properties. Besides pnictides (group Va) like CoSb3 or AuSb2, we have also prepared semi-metal chalcogenides (group VIa) with NiAs structure (CoTe) or marcasite structure (FeTe2). All these materials have been structurally characterized by XRD and NPD (neutrons are useful to prevent preferred orientation problems in the structural resolution) and the three involved magnitudes in the ZT figure of merit have been preliminary characterized in as-grown pellets of the bulk materials. (C) 2015 Elsevier Ltd. All rights reserved.</t>
  </si>
  <si>
    <t>Cascos, Vanessa/T-4942-2019; Alonso, Jose Antonio/A-5245-2011; Martinez, Jose L./B-5371-2013</t>
  </si>
  <si>
    <t>Alonso, Jose Antonio/0000-0001-5329-1225; Martinez, Jose L./0000-0001-9046-8237; Troncoso, Loreto/0000-0003-1621-3310; Cascos Jimenez, Vanessa Amelia/0000-0003-4614-1151</t>
  </si>
  <si>
    <t>2214-7853</t>
  </si>
  <si>
    <t>10.1016/j.matpr.2015.05.092</t>
  </si>
  <si>
    <t>WOS:000358002800025</t>
  </si>
  <si>
    <t>Sancy, M; Pavez, J; Gulppi, MA; de Mattos, IL; Arratia-Perez, R; Linares-Flores, C; Paez, M; Nyokong, T; Zagal, JH</t>
  </si>
  <si>
    <t>Sancy, Mamie; Pavez, Jorge; Gulppi, Miguel A.; Luiz de Mattos, Ivanildo; Arratia-Perez, Ramiro; Linares-Flores, Cristian; Paez, Maritza; Nyokong, Tebello; Zagal, Jose H.</t>
  </si>
  <si>
    <t>Optimizing the Electrocatalytic Activity of Surface Confined Co Macrocyclics for the Electrooxidation of Thiocyanate at pH 4</t>
  </si>
  <si>
    <t>ELECTROANALYSIS</t>
  </si>
  <si>
    <t>We have studied the trends in catalytic activity of several Co macrocyclics confined on the surface graphite electrodes for the oxidation of thiocyanate. A plot of log i (at constant E) versus the formal potential of the catalyst gives a volcano correlation, indicating that the Co(II/I) redox potential needs to be tuned, in order to achieve maximum reactivity. Graphite electrodes modified with Co phthalocyanine at pH 4 exhibit linear amperometric response for thiocyanate concentration in the range 10(-7) and 10(-3) M. Theoretical calculations show that electrocatalytic activity (as log i at constant E) plotted versus the energy of the LUMO of the Co complex also gives a volcano correlation.</t>
  </si>
  <si>
    <t>zagal, jose/L-9648-2014; Paez, Maritza/M-2010-2014; Gulppi, Miguel/KTA-6210-2024; Arratia-Perez, Ramiro/AAG-2648-2019; Nyokong, Tebello/P-7644-2017; PAVEZ, JORGE/K-6904-2014; Sancy, Mamie/L-6270-2014</t>
  </si>
  <si>
    <t>Nyokong, Tebello/0000-0002-4590-9926; PAVEZ, JORGE/0000-0002-5100-6707; Gulppi, Miguel/0000-0001-6099-4463; paez, maritza/0000-0001-5881-884X; Sancy, Mamie/0000-0001-9523-2629</t>
  </si>
  <si>
    <t>1040-0397</t>
  </si>
  <si>
    <t>MAR</t>
  </si>
  <si>
    <t>10.1002/elan.201000599</t>
  </si>
  <si>
    <t>WOS:000288093400020</t>
  </si>
  <si>
    <t>Acuña, DE; Parada, V</t>
  </si>
  <si>
    <t>Acuna, Daniel E.; Parada, Victor</t>
  </si>
  <si>
    <t>People Efficiently Explore the Solution Space of the Computationally Intractable Traveling Salesman Problem to Find Near-Optimal Tours</t>
  </si>
  <si>
    <t>PLOS ONE</t>
  </si>
  <si>
    <t>Humans need to solve computationally intractable problems such as visual search, categorization, and simultaneous learning and acting, yet an increasing body of evidence suggests that their solutions to instantiations of these problems are near optimal. Computational complexity advances an explanation to this apparent paradox: (1) only a small portion of instances of such problems are actually hard, and (2) successful heuristics exploit structural properties of the typical instance to selectively improve parts that are likely to be sub-optimal. We hypothesize that these two ideas largely account for the good performance of humans on computationally hard problems. We tested part of this hypothesis by studying the solutions of 28 participants to 28 instances of the Euclidean Traveling Salesman Problem (TSP). Participants were provided feedback on the cost of their solutions and were allowed unlimited solution attempts (trials). We found a significant improvement between the first and last trials and that solutions are significantly different from random tours that follow the convex hull and do not have self-crossings. More importantly, we found that participants modified their current better solutions in such a way that edges belonging to the optimal solution (good'' edges) were significantly more likely to stay than other edges (bad'' edges), a hallmark of structural exploitation. We found, however, that more trials harmed the participants' ability to tell good from bad edges, suggesting that after too many trials the participants ran out of ideas.'' In sum, we provide the first demonstration of significant performance improvement on the TSP under repetition and feedback and evidence that human problem-solving may exploit the structure of hard problems paralleling behavior of state-of-the-art heuristics.</t>
  </si>
  <si>
    <t>Acuna, Daniel/JJF-1452-2023; Parada, Victor/M-5840-2014; Acuna, Daniel/O-8006-2016</t>
  </si>
  <si>
    <t>Acuna, Daniel/0000-0002-7765-1595</t>
  </si>
  <si>
    <t>1932-6203</t>
  </si>
  <si>
    <t>JUL 29</t>
  </si>
  <si>
    <t>e11685</t>
  </si>
  <si>
    <t>10.1371/journal.pone.0011685</t>
  </si>
  <si>
    <t>WOS:000280520200003</t>
  </si>
  <si>
    <t>Cáceres, L; Escudey, M; Fuentes, E; Báez, ME</t>
  </si>
  <si>
    <t>Caceres, Lizethly; Escudey, Mauricio; Fuentes, Edwar; Baez, Maria E.</t>
  </si>
  <si>
    <t>Modeling the sorption kinetic of metsulfuron-methyl on Andisols and Ultisols volcanic ash-derived soils: Kinetics parameters and solute transport mechanisms</t>
  </si>
  <si>
    <t>JOURNAL OF HAZARDOUS MATERIALS</t>
  </si>
  <si>
    <t>Metsulfuron-methyl sorption kinetic was studied in Andisol and Ultisol soils in view of their distinctive physical and chemical properties: acidic pH and variable surface charge. Different kinetic models were applied to the experimental results. The pseudo-second-order model fitted sorption kinetics data better than the pseudo-first-order model. The rate constant and the initial rate constant values obtained through this model demonstrated the different behavior of metsulfuron-methyl in both kinds of soils, both parameters being the highest for Andisol. The application of Elovich equation, intraparticle diffusion model and a two-site nonequilibrium model (TSNE) allowed to conclude that: (i) the high organic matter content is the governing factor for Andisols where mass transfer across the boundary layer, and in a lesser degree, intraparticle diffusion were the two processes controlling sorption kinetic and (ii) the mineral composition was more relevant in Ultisols where rate was controlled almost exclusively by intraparticle diffusion into macropores and micropores. The slower sorption rate on Ultisols, the mechanism involved and the lower sorption capacity of this kind of soils must be taken into account to assess leaching behavior of this herbicide. (C) 2010 Elsevier B.V. All rights reserved.</t>
  </si>
  <si>
    <t>Cáceres-Jensen, Lizethly/AAC-8527-2020</t>
  </si>
  <si>
    <t>Baez Contreras, Maria E/0000-0003-0312-7237; Fuentes, Edwar/0009-0003-5686-9485; Caceres-Jensen, Lizethly/0000-0002-5903-7356</t>
  </si>
  <si>
    <t>0304-3894</t>
  </si>
  <si>
    <t>1873-3336</t>
  </si>
  <si>
    <t>JUL 15</t>
  </si>
  <si>
    <t>1-3</t>
  </si>
  <si>
    <t>10.1016/j.jhazmat.2010.03.074</t>
  </si>
  <si>
    <t>WOS:000278626700108</t>
  </si>
  <si>
    <t>Jiang, B; Huang, ZJ; Morales, B; Kirkwood, A</t>
  </si>
  <si>
    <t>Maturation of GABAergic transmission and the timing of plasticity in visual cortex</t>
  </si>
  <si>
    <t>BRAIN RESEARCH REVIEWS</t>
  </si>
  <si>
    <t>During a brief postnatal critical period, excitatory connections in visual cortex can be easily modified by alterations of visual experience. Recent studies conducted in rodents, and particularly in genetically altered mice, have implicated the maturation of cortical GABAergic inhibition in the timing of the critical period. In this paper we (1) review the postnatal changes in GABAergic transmission that can have consequences for visual cortex plasticity and (2) discuss possible mechanisms by which GABAergic circuits could regulate the onset and termination of the critical period for cortical plasticity. (c) 2005 Elsevier B.V. All rights reserved.</t>
  </si>
  <si>
    <t>Huang, Z. Josh/0000-0003-0592-028X</t>
  </si>
  <si>
    <t>0165-0173</t>
  </si>
  <si>
    <t>DEC 1</t>
  </si>
  <si>
    <t>10.1016/j.brainresrev.2005.05.007</t>
  </si>
  <si>
    <t>WOS:000234057700010</t>
  </si>
  <si>
    <t>Chow, PL; Rannou, FR; Chatziioannou, AF</t>
  </si>
  <si>
    <t>Attenuation correction for small animal PET tomographs</t>
  </si>
  <si>
    <t>PHYSICS IN MEDICINE AND BIOLOGY</t>
  </si>
  <si>
    <t>Attenuation correction is one of the important corrections required for quantitative positron emission tomography (PET). This work will compare the quantitative accuracy of attenuation correction using a simple global scale factor with traditional transmission-based methods acquired either with a small animal PET or a small animal x-ray computed tomography (CT) scanner. Two phantoms (one mouse-sized and one rat-sized) and two animal subjects (one mouse and one rat) were scanned in CTI Concorde Microsystem's microPET((R)) Focus(TM) for emission and transmission data and in ImTek's MicroCAT(TM) II for transmission data. PET emission image values were calibrated against a scintillation well counter. Results indicate that the scale factor method of attenuation correction places the average measured activity concentration about the expected value, without correcting for the cupping artefact from attenuation. Noise analysis in the phantom studies with the PET-based method shows that noise in the transmission data increases the noise in the corrected emission data. The CT-based method was accurate and delivered low-noise images suitable for both PET data correction and PET tracer localization.</t>
  </si>
  <si>
    <t>Rannou, Fernando/G-5749-2019</t>
  </si>
  <si>
    <t>Rannou, Fernando/0000-0002-3244-1893; Chow, Patrick/0000-0001-7806-3325</t>
  </si>
  <si>
    <t>0031-9155</t>
  </si>
  <si>
    <t>1361-6560</t>
  </si>
  <si>
    <t>APR 21</t>
  </si>
  <si>
    <t>10.1088/0031-9155/50/8/014</t>
  </si>
  <si>
    <t>WOS:000229227600014</t>
  </si>
  <si>
    <t>Sepulveda, W; Galindo, A; Sosa, A; Diaz, L; Flores, X; de la Fuente, P</t>
  </si>
  <si>
    <t>Intrathoracic dislodgement of pleuro-amniotic shunt - Three case reports with long-term follow-up</t>
  </si>
  <si>
    <t>FETAL DIAGNOSIS AND THERAPY</t>
  </si>
  <si>
    <t>Background: Intrathoracic shunt dislodgement is a rare, although significant, complication of pleuro-amniotic shunting. In a previously reported case, the abnormally located shunt caused constriction of the pulmonary hilum resulting in neonatal death. Cases: Three cases of severe fetal pleural effusion treated by pleuro-amniotic shunting at 33, 26 and 30 weeks of gestation and complicated by dislodgement of the shunt into the fetal chest are presented. These cases were collected from three fetal medicine referral centers, where 15 pleuro-amniotic shunts have been inserted in a total of 13 fetuses ( 11 unilateral and 2 bilateral procedures), giving prevalence for this complication of 20%. The indication for shunting was severe bilateral pleural effusions and hydrops in one case, and unilateral pleural effusion with marked mediastinal shift in 2 others. Intrathoracic dislodgement was diagnosed by ultrasound at 33, 29 and 39 weeks, and the infants were delivered at 35, 34 and 39 weeks of gestation, respectively. There were no complications associated with the malposition of the shunt within the fetal chest and clinical follow-up from 10 months to 2 years of age has demonstrated asymptomatic infants. Conclusion: The complication of intrathoracic dislodgement of a pleuro-amniotic shunt can be recognized prenatally by ultrasound. Prevention of this complication seems difficult, but if recognized, a conservative approach appears to be a sensible management option. Since the material of the shunt is inert, its presence within the pleural cavity is unlikely to be associated with an inflammatory foreign body response and, therefore, it should not cause long-term pulmonary complications. Copyright (C) 2005 S. Karger AG, Basel.</t>
  </si>
  <si>
    <t>Díaz, Luz Alexandra/IZD-5701-2023; Flores, Ximena/HPC-7330-2023</t>
  </si>
  <si>
    <t>GALINDO IZQUIERDO, ALBERTO/0000-0002-1308-1474</t>
  </si>
  <si>
    <t>1015-3837</t>
  </si>
  <si>
    <t>1421-9964</t>
  </si>
  <si>
    <t>10.1159/000082431</t>
  </si>
  <si>
    <t>WOS:000226793600005</t>
  </si>
  <si>
    <t>Broman, C; Nyström, JO; Henríquez, F; Elfman, M</t>
  </si>
  <si>
    <t>Fluid inclusions in magnetite-apatite ore from a cooling magmatic system at El Laco, Chile</t>
  </si>
  <si>
    <t>GFF</t>
  </si>
  <si>
    <t>The Pliocene El Laco deposits of magnetite-apatite iron ore of the Kiruna type, situated on the flanks of a volcano in northern Chile, can morphologically and structurally be described as extrusive and intrusive magmatic orebodies with hydrothermal overprinting. Fluid inclusions in pyroxene and apatite record different stages in the transition from a late-magmatic remnant fluid, probably exsolved during crystallization of an ore magma, to hydrothermal fluids of successively lower temperature and salinity. Hydrous saline Na-K chloride melt inclusions with anhydrite daughter crystals in pyroxene intergrown with magnetite from ore lava at Laco Sur and ore breccia in a dike-vein system at Cristales Grandes were formed at &gt;800 degrees C. Pyroxene-magnetite veins in the Laco Sur ore indicate crystallization in fissures during degassing of a flow emplaced at still higher temperatures. Melt inclusions like those in pyroxene also occur in an early generation of apatite from San Vicente Bajo, a subvolcanic orebody. During continuous crystallization of the iron oxide magmas, at decreasing depth and pressure, the water content of the exsolving fluids increased. Apatite crystals from pyroclastic ore at Lace Sur trapped a homogeneous high-salinity aqueous fluid (40 eq. wt.% NaCl) at a pressure of approximately 1 kbar. Apatite-hosted fluid inclusions from an ore dike at Rodados Negros have a salinity of up to 60 eq, wt.% NaCl and show evidence of abrupt pressure release. Minimum temperature for the crystallization of this apatite is 400-500 degrees C. The early apatite in San Vicente Bajo is overgrown by a second generation precipitated at 170-180 degrees C from two coexisting immiscible aqueous fluids with salinities of 4.2-14.8 and 29-42 eq. wt.% NaCl, respectively. At Cristales Grandes apatite was deposited from low- to moderately saline aqueous solutions (0-20.3 eq. wt.% NaCl) at temperatures that fluctuated around the boiling point (150+/-10 degrees C) to cooler conditions.</t>
  </si>
  <si>
    <t>Henriquez, Fernando/C-9830-2009</t>
  </si>
  <si>
    <t>Henriquez, Fernando/0000-0002-8494-1435</t>
  </si>
  <si>
    <t>1103-5897</t>
  </si>
  <si>
    <t>SEP</t>
  </si>
  <si>
    <t>10.1080/11035899901213253</t>
  </si>
  <si>
    <t>WOS:000083427800016</t>
  </si>
  <si>
    <t>Rivas, BL; Barria, B; Canessa, GS; Rabgliati, FM; Preston, J; Ciferri, A</t>
  </si>
  <si>
    <t>Synthesis and properties of poly-p-benzamide/poly-(propylene oxide) block copolymers</t>
  </si>
  <si>
    <t>ABSTRACTS OF PAPERS OF THE AMERICAN CHEMICAL SOCIETY</t>
  </si>
  <si>
    <t>Rivas, Bernabé/D-9945-2015</t>
  </si>
  <si>
    <t>0065-7727</t>
  </si>
  <si>
    <t>MAR 24</t>
  </si>
  <si>
    <t>POLY</t>
  </si>
  <si>
    <t>WOS:A1996UA48501618</t>
  </si>
  <si>
    <t>VARGAS, P; WEISSMANN, M; URE, JE; MAJLIS, N</t>
  </si>
  <si>
    <t>EXTRAPOLATION ALGORITHM FOR THE TERMINATOR PROBLEM IN THE RECURSION METHOD</t>
  </si>
  <si>
    <t>SOLID STATE COMMUNICATIONS</t>
  </si>
  <si>
    <t>Vargas, Patricio/AAL-2633-2020</t>
  </si>
  <si>
    <t>vargas, patricio/0000-0001-9235-9747</t>
  </si>
  <si>
    <t>0038-1098</t>
  </si>
  <si>
    <t>10.1016/0038-1098(90)90920-7</t>
  </si>
  <si>
    <t>WOS:A1990DE78900004</t>
  </si>
  <si>
    <t>Paredes-Toledo, J; Herrera, J; Morales, J; Robert, P; Gómez-Estaca, J; Giménez, B</t>
  </si>
  <si>
    <t>Paredes-Toledo, Javier; Herrera, Javier; Morales, Javier; Robert, Paz; Gomez-Estaca, Joaquin; Gimenez, Begona</t>
  </si>
  <si>
    <t>Pickering Double Emulsions Stabilized with Chitin Nanocrystals and Myristic Acid-Functionalized Silica Nanoparticles for Curcumin and Chlorogenic Acid Co-Delivery</t>
  </si>
  <si>
    <t>PHARMACEUTICS</t>
  </si>
  <si>
    <t>Background/Objectives: Double emulsions (DEs) enable the simultaneous encapsulation of water-soluble and oil-soluble bioactive compounds. Their stability can be enhanced through Pickering stabilization, where solid particles are irreversibly anchored at the interfaces, forming a steric barrier. This study aimed to evaluate the release behavior of curcumin and chlorogenic acid (CA) in Pickering DEs formulated with chitin nanocrystals (ChNCs) stabilizing the outer interface (DE-ChNC) and both ChNCs and myristic acid-functionalized silica nanoparticles (SNPs-C14) stabilizing the outer and inner interfaces (DE-ChNC-C14) under in vitro gastrointestinal digestion. Methods: The optimal homogenization parameters (time and speed) for stabilizing the external interface with ChNCs were determined using a statistical design. Pickering DEs were characterized (droplet size and size distribution, microstructure, creaming, encapsulation efficiency and stability, rheological behavior) and subjected to the INFOGEST digestion method. Results: ChNCs effectively maintained the droplet size, microstructure, and zeta-potential, preventing coalescence and creaming while enhancing viscosity and gel-like behavior, contributing to improved physical stability. The CA encapsulation efficiency was higher in DE-ChNC-C14 (91.4%) than in DE-ChNC (45.0%) due to the presence of SNPs-C14 at the inner interface, which improved CA retention during storage. CA was gradually released from DE-ChNC-C14 throughout digestion, with bioaccessibility similar to that of the control DE (stabilized with conventional emulsifiers; similar to 60%). Curcumin bioaccessibility in the Pickering DEs was relatively high (similar to 40%) but lower than in the control DE, as the ChNCs reduced lipid digestion and curcumin bioaccessibility. Conclusions: ChNCs and SNPs-C14 effectively stabilized the outer and inner interfaces of DEs, enabling the simultaneous release of water-soluble and oil-soluble bioactives with health benefits.</t>
  </si>
  <si>
    <t>1999-4923</t>
  </si>
  <si>
    <t>APR 16</t>
  </si>
  <si>
    <t>10.3390/pharmaceutics17040521</t>
  </si>
  <si>
    <t>WOS:001476116700001</t>
  </si>
  <si>
    <t>Fernandes, ACP; Flores, JA; Dourado, DQS; Quevedo, TP; de Oliveira, MRM</t>
  </si>
  <si>
    <t>Pinheiro Fernandes, Anna Christina; Araneda Flores, Jacqueline; Scarpelli Dourado, Daiana Quintiliano; Pizarro Quevedo, Tito; Marques de Oliveira, Maria Rita</t>
  </si>
  <si>
    <t>Diet quality of Chilean schoolchildren: How is it linked to adherence to dietary guidelines?</t>
  </si>
  <si>
    <t>Introduction In Chile, the prevalence of overweight among schoolchildren over the age of 5 is approximately 50%, one of the highest in the Americas region. This is largely influenced by the presence of inadequate food environments, characterized by limited access to healthy foods and a high availability of highly processed foods (HPF). This study analyzes food consumption in Chilean schoolchildren and the association of this with the Chilean Dietary Guidelines Based on Foods (DGBF) and the HPF consumption. Material and methods The sample (1,094 schoolchildren) was obtained from the baseline of the FONDEF IT18I0016 project, in Santiago-Chile. Anthropometry and socioeconomic data were measured. Dietary intake was assessed using a validated semi-quantitative frequency survey featuring images of food groups aligned with DGBF, as well as HPF. All data were collected by trained professional nutritionists. Associations between dependent and independent variables, and potential confounding factors were calculated using logistic regression models with stepwise backward/forward. A p &lt; 0.05 was accepted as significant, using Stata 16.0. Results Most of the students (54.1%) were with malnutrition by excess and 20.0% exhibited abdominal obesity. Twenty percent of the students met the recommended intake for DGBF (fruits, vegetables, fish, milk and dairy products, legumes, water) and less than 5% did not consume any HPF. Consuming some sub-groups of HPF in moderate quantities (either no consumption or occasional consumption) increases the likelihood of meeting DGBF: candies and sweets (OR: 0.72; p = 0.04), pies with or without filling (OR: 0.63; p = 0.01), and salted snacks (OR: 0.67; p = 0.02). Conclusion Our results contribute to reaffirm the need to enhance healthy food consumption among schoolchildren and to discourage the intake of HPF, particularly focusing on specific subgroups of HPF that may increase the risk of displacing the consumption of food groups recommended by the DGBF.</t>
  </si>
  <si>
    <t>Araneda, Jacqueline/GVS-8452-2022; FERNANDES, ANNA/AAS-5661-2021; de Oliveira, Maria/AAV-4670-2021; Pizarro, Tito/AAY-2260-2021</t>
  </si>
  <si>
    <t>PINHEIRO FERNANDES, ANNA CHRISTINA/0000-0002-5188-2619; QUINTILIANO SCARPELLI DOURADO, DAIANA/0000-0003-4317-4601</t>
  </si>
  <si>
    <t>FEB 6</t>
  </si>
  <si>
    <t>e0318206</t>
  </si>
  <si>
    <t>10.1371/journal.pone.0318206</t>
  </si>
  <si>
    <t>WOS:001435274300092</t>
  </si>
  <si>
    <t>Díaz, AF; Rojas, LQ; Zempoalteca, JG</t>
  </si>
  <si>
    <t>Diaz, Antonio Fuentes; Rojas, Loreto Quiroz; Zempoalteca, Jose Gonzalez</t>
  </si>
  <si>
    <t>From hard vigilantism to soft vigilantism in Latin America: the case of Santiago and Puebla</t>
  </si>
  <si>
    <t>CONTEMPORANEA-REVISTA DE SOCIOLOGIA DA UFSCAR</t>
  </si>
  <si>
    <t>In Chile and Mexico there are neighborhood surveillance policies-imported from the global North-which are inserted in control dynamics decentralized from the State, eventually leading to hard and soft forms of vigilantism. However, the vigilantism to which these policies lead presents relevant differences between the two countries, an issue that can be explained by the different configuration of both states.</t>
  </si>
  <si>
    <t>2236-532X</t>
  </si>
  <si>
    <t>2316-1329</t>
  </si>
  <si>
    <t>SEP-DEC</t>
  </si>
  <si>
    <t>10.14244/contemp.v13i3.1263</t>
  </si>
  <si>
    <t>WOS:001337058600001</t>
  </si>
  <si>
    <t>Resende, BD; Dias, RM; Ferrari, G; Rezende, LFM</t>
  </si>
  <si>
    <t>Resende, Bruna de Souza; Dias, Rayara Mozer; Ferrari, Gerson; Rezende, Leandro F. M.</t>
  </si>
  <si>
    <t>Excess mortality in adults from Sao Paulo during the COVID-19 pandemic in 2020: analyses of all-cause and noncommunicable diseases mortality</t>
  </si>
  <si>
    <t>SCIENTIFIC REPORTS</t>
  </si>
  <si>
    <t>In this study, we estimated the excess mortality from all-causes of death and noncommunicable diseases (NCDs) in adults living in the state of Sao Paulo during the COVID-19 pandemic in 2020. Number of deaths were retrieved from the Mortality Information System before (2017-2019) and during (2020) the COVID-19 pandemic, considering the following underlying causes of death: Neoplasms; Diabetes Mellitus; Circulatory System Diseases, and Respiratory System Diseases. Standardized Mortality Ratio (SMR) were calculated by dividing the mortality rates in 2020 by average mortality rates in 2017-2019, according to sex, age group, geographic location (state, capital, and Regional Health Departments). In 2020, occurred 341,704 deaths in the state of Sao Paulo vs 290,679 deaths in 2017-2019, representing an 18% increase in all-cause mortality (SMR 1.18) or 51,025 excess deaths during the first year of COVID-19 pandemic. The excess mortality was higher in men (186,741 deaths in 2020 vs 156,371 deaths in 2017-2019; SMR 1.18; 30,370 excess deaths) compared to women (154,963 deaths in 2020 vs 134,308 deaths in 2017-2019; SMR 1.15; 20,655 excess deaths). Regarding NCDs mortality, we observed a reduction in cancer mortality (SMR 0.98; -1,354 deaths), diseases of the circulatory system (SMR 0.95; -4,277 deaths), and respiratory system (SMR 0.88; -1,945). We found a 26% increase in Diabetes Mellitus mortality (SMR 1.26; 2885 deaths) during the pandemic year. Our findings corroborate the need to create and strengthen policies aimed at the prevention and control of NCDs, in order to mitigate the impact of future infectious disease pandemics.</t>
  </si>
  <si>
    <t>Ferrari, Gerson/HHM-6173-2022; Rezende, Leandro/C-1724-2012; Ferrari, Gerson/P-1152-2014</t>
  </si>
  <si>
    <t>Rezende, Leandro/0000-0002-7469-1399; Ferrari, Gerson/0000-0003-3177-6576</t>
  </si>
  <si>
    <t>2045-2322</t>
  </si>
  <si>
    <t>DEC 27</t>
  </si>
  <si>
    <t>10.1038/s41598-023-50388-7</t>
  </si>
  <si>
    <t>WOS:001134102800010</t>
  </si>
  <si>
    <t>Vidal, CP; Luzi, F; Puglia, D; López-Carballo, G; Rojas, A; Galotto, MJ; de Dicastillo, CL</t>
  </si>
  <si>
    <t>Vidal, C. Patino; Luzi, Francesca; Puglia, Debora; Lopez-Carballo, Gracia; Rojas, Adrian; Galotto, Maria Jose; de Dicastillo, C. Lopez</t>
  </si>
  <si>
    <t>Development of a sustainable and antibacterial food packaging material based in a biopolymeric multilayer system composed by polylactic acid, chitosan, cellulose nanocrystals and ethyl lauroyl arginate</t>
  </si>
  <si>
    <t>FOOD PACKAGING AND SHELF LIFE</t>
  </si>
  <si>
    <t>Biodegradable packaging materials with antimicrobial properties are main key for developing sustainable active packages able to protect different foodstuff. Thus, the aim of this research was developing a biopolymeric and antibacterial packaging material with a trilayer structure through the combination of extrusion, electrospinning and coating techniques. This trilayer system was composed by a support extruded layer of polylactic acid (PLA), an intermediate PLA electrospun layer loaded with ethyl lauroyl arginate (LAE) and cellulose nanocrystals (CNC), and a third inner chitosan coating. Morphological, wettability, antibacterial and disintegrability prop-erties of this material were evaluated. The morphological surface analysis evidenced the heterogeneity of the chitosan coating over the electrospun PLA layer, and this effect affected negatively the evaluation of wettability of this trilayer material. Antibacterial assays evidenced a fast and strong bactericidal effect against Gram(+) and (-) bacteria that maintained this activity for 15 days. Finally, the biodegradable properties of different layers favored the disintegration of developed trilayer material at 21 days under composting conditions.</t>
  </si>
  <si>
    <t>Puglia, Debora/G-8338-2011; Patiño Vidal, Cristian Javier/JDM-7961-2023; Luzi, Francesca/T-3916-2019; Rojas, Adrián/ISB-5770-2023; Lopez-de-Dicastillo, Carol/C-6347-2019</t>
  </si>
  <si>
    <t>Lopez-de-Dicastillo, Carol/0000-0003-0067-9765; Lopez-Carballo, Gracia/0000-0003-2534-9420; Patino Vidal, Cristian Javier/0000-0002-5633-6908; Rojas, Adrian/0000-0001-9253-1295</t>
  </si>
  <si>
    <t>2214-2894</t>
  </si>
  <si>
    <t>APR</t>
  </si>
  <si>
    <t>10.1016/j.fpsl.2023.101050</t>
  </si>
  <si>
    <t>FEB 2023</t>
  </si>
  <si>
    <t>WOS:000943474800001</t>
  </si>
  <si>
    <t>López, M; Guzmán-Habinger, J; Herreros-Irarrázabal, D; Marques, A; Marconcin, P; Rezende, L; Ferrari, G</t>
  </si>
  <si>
    <t>Lopez, Martin; Guzman-Habinger, Juan; Herreros-Irarrazabal, Diego; Marques, Adilson; Marconcin, Priscila; Rezende, Leandro; Ferrari, Gerson</t>
  </si>
  <si>
    <t>Co-Occurrence Of Lifestyle Risk Factors For Non-Communicable Diseases According To Sociodemographic Characteristics Among Chilean Residents</t>
  </si>
  <si>
    <t>MEDICINE &amp; SCIENCE IN SPORTS &amp; EXERCISE</t>
  </si>
  <si>
    <t>Marconcin, Priscila/GRO-2708-2022; Ferrari, Gerson/HHM-6173-2022; Ferrari, Gerson/P-1152-2014; Rezende, Leandro/C-1724-2012; Marques, Adilson/K-4529-2014</t>
  </si>
  <si>
    <t>Ferrari, Gerson/0000-0003-3177-6576; Rezende, Leandro/0000-0002-7469-1399; Marques, Adilson/0000-0001-9850-7771</t>
  </si>
  <si>
    <t>0195-9131</t>
  </si>
  <si>
    <t>1530-0315</t>
  </si>
  <si>
    <t>S</t>
  </si>
  <si>
    <t>WOS:000888056602094</t>
  </si>
  <si>
    <t>Azócar, J; Soto, I; Lara, S; Gutiérrez, S; Palacios, P; Azurdia, C</t>
  </si>
  <si>
    <t>IEEE</t>
  </si>
  <si>
    <t>Azocar, Jose; Soto, Ismael; Lara, Sebastian; Gutierrez, Sebastian; Palacios, Pablo; Azurdia, Cesar</t>
  </si>
  <si>
    <t>Performance analysis of the QKD algorithm using RS and AES</t>
  </si>
  <si>
    <t>2022 13TH INTERNATIONAL SYMPOSIUM ON COMMUNICATION SYSTEMS, NETWORKS AND DIGITAL SIGNAL PROCESSING, CSNDSP</t>
  </si>
  <si>
    <t>13th International Symposium on Communication Systems, Networks and Digital Signal Processing (CSNDSP)</t>
  </si>
  <si>
    <t>JUL 20-22, 2022</t>
  </si>
  <si>
    <t>Porto, PORTUGAL</t>
  </si>
  <si>
    <t>The purpose of this paper is to present a multi-sensor system with quantum key exchange at the source level and non-binary data transmission at the channel level using the quantum AES algorithm. We differentiate between the classical paradigm based on numerical complexity and the quantum paradigm based on the uncertainty principle. Studies of Bit Error Rate (BER) curves compared a Reed Solomon code with compression and an unencrypted channel are carried out, obtaining a performance of 6 dB and 6.5 dB for a BER of 10-3, respectively. Detection studies are also carried out against the man-in-the-middle attack, reaching a probability of approximately 90%.</t>
  </si>
  <si>
    <t>Palacios Játiva, Pablo/AAE-8235-2019; Meza, Cesar/D-6948-2014</t>
  </si>
  <si>
    <t>Palacios, Pablo/0000-0002-3958-503X; Gutierrez Lillo, Sebastian/0000-0003-3714-0632</t>
  </si>
  <si>
    <t>978-1-6654-1044-1</t>
  </si>
  <si>
    <t>10.1109/CSNDSP54353.2022.9907900</t>
  </si>
  <si>
    <t>WOS:001331792600065</t>
  </si>
  <si>
    <t>Han, H; Han, J; Zhao, Y</t>
  </si>
  <si>
    <t>Han, Hiep; Han, Jie; Zhao, Yi</t>
  </si>
  <si>
    <t>Minimum degree thresholds for Hamilton (k/2)-cycles in k-uniform hypergraphs</t>
  </si>
  <si>
    <t>JOURNAL OF COMBINATORIAL THEORY SERIES B</t>
  </si>
  <si>
    <t>For any even integer k &gt; 6, integer d such that k/2 &lt; d &lt; k-1, and sufficiently large n is an element of (k/2)N, we find a tight minimum ddegree condition that guarantees the existence of a Hamilton (k/2)-cycle in every k-uniform hypergraph on n vertices. When n is an element of kN, the degree condition coincides with the one for the existence of perfect matchings provided by Rodl, Rucinski and Szemeredi (for d = k - 1) and Treglown and Zhao (for d &gt; k/2), and thus our result strengthens theirs in this case. (c) 2021 Elsevier Inc. All rights reserved.</t>
  </si>
  <si>
    <t>Han, Jie/CAH-1832-2022</t>
  </si>
  <si>
    <t>0095-8956</t>
  </si>
  <si>
    <t>1096-0902</t>
  </si>
  <si>
    <t>10.1016/j.jctb.2021.11.003</t>
  </si>
  <si>
    <t>DEC 2021</t>
  </si>
  <si>
    <t>WOS:000746622600001</t>
  </si>
  <si>
    <t>Huiliñir, C; Fuentes, V; Estuardo, C; Antileo, C; Pino-Cortés, E</t>
  </si>
  <si>
    <t>Huilinir, Cesar; Fuentes, Vivian; Estuardo, Carolina; Antileo, Christian; Pino-Cortes, Ernesto</t>
  </si>
  <si>
    <t>Partial Nitrification in a Sequencing Moving Bed Biofilm Reactor (SMBBR) with Zeolite as Biomass Carrier: Effect of Sulfide Pulses and Organic Matter Presence</t>
  </si>
  <si>
    <t>WATER</t>
  </si>
  <si>
    <t>This work aimed to achieve partial nitrification (PN) in a Sequencing Moving Bed Biofilm Reactor SMBBR with zeolite as a biomass carrier by using sulfide pulses in the presence of organic matter as an inhibitor. Two conditions were evaluated: sulfide (HS-) = 5 mg S/L and vvm (air volume per liquid volume per minute, L of air L-1 of liquid min(-1)) = 0.1 (condition 1); and a HS- = 10 mg S/L and a vvm = 0.5 (condition 2). The simultaneous effect of organic matter and sulfide was evaluated at a Chemical Oxygen Demand (COD) = 350 mg/L and HS- = 5 mg S/L, with a vvm = 0.5. As a result, using the sulfide pulse improved the nitrite accumulation in both systems. However, Total Ammonia Nitrogen (TAN) oxidation in both processes decreased by up to 60%. The simultaneous presence of COD and sulfide significantly reduced the TAN and nitrite oxidation, with a COD removal yield of 80% and sulfide oxidation close to 20%. Thus, the use of a sulfide pulse enabled PN in a SMBBR with zeolite. Organic matter, together with the sulfide pulse, almost completely inhibited the nitrification process despite using zeolite.</t>
  </si>
  <si>
    <t>Huilinir, Cesar/IYS-6899-2023; Cortés, Ernesto/Z-2777-2019</t>
  </si>
  <si>
    <t>Pino-Cortes, Ernesto/0000-0001-5133-2812; Antileo, Christian/0000-0003-0154-9903</t>
  </si>
  <si>
    <t>2073-4441</t>
  </si>
  <si>
    <t>10.3390/w13182484</t>
  </si>
  <si>
    <t>WOS:000701523100001</t>
  </si>
  <si>
    <t>Barrientos, CAV; Antonietto, DA; Oliveira, CLR; Barreto, LBM; Miarka, B; Aedo-Munoz, EA; Brito, CJ</t>
  </si>
  <si>
    <t>Vargas Barrientos, Carlos Alberto; Antonietto, Destter Alacks; Rezende Oliveira, Cinthya Luiza; Mota Barreto, Lindsei Brabec; Miarka, Bianca; Ariel Aedo-Munoz, Esteban; Brito, Ciro Jose</t>
  </si>
  <si>
    <t>Frami software protocol for Taekwondo: development, reliability and reproducibility</t>
  </si>
  <si>
    <t>IDO MOVEMENT FOR CULTURE-JOURNAL OF MARTIAL ARTS ANTHROPOLOGY</t>
  </si>
  <si>
    <t>Background. The free combat software, called Frami', has had its panel customized and adapted for Taekwondo analysis. Thus, the software is able to produce essential information from sequential combat actions and the functional demands of the combat. However, its protocol has not been validated for the sport of Taekwondo. Aims. The present study aimed to verify the objectivity and reliability of a technical-tactical and motor actions analysis protocol for elite-level Taekwondo competition using the Frami software by comparing results from experts and non-expert evaluators. Methods. To determine if the Frami software is suitable for Taekwondo competition, three evaluators (two experts and one non-expert) created a protocol, using displacement, attack, counterattack, defense, clinch, and pause phases, and selected 10 men's matches from the 2019 Taekwondo World Championships. A test-retest reliability was used to indicate the repeatability of test scores with the passage of time (test vs. retest after 24 hours). Cohen's Kappa and intraclass correlation coefficient were used to estimate and reflect the stability of the protocol measured by the Frami software, p &lt;= .05. Results. After conducting an intraclass correlation coefficient (ICC) analysis, this study indicated that for all combat phases, the evaluators showed moderate to excellent reliability (ICC=.64 to .99), except the third evaluator (non-expert) that presented poor for the clinch counterattack actions (ICC=.33). For objectivity, the obtained ICCs varied from moderate to excellent (ICC=.5 to .99). For penalties and scores, objectivity was rated almost perfect (ICC = .89 to .97). Conclusion. The protocol proved to be reproducible and objective for the analysis of elite-level Taekwondo competition. This protocol was advantageous, since more motor actions were added (clinch, combat base, penalties, and scores) compared to the previously validated protocol, and it was developed under the current competitive rules in which electronic devices (chest, foot, and helmet) are used. However, the evaluation performed by a non-expert may not represent accurately the technical-tactical actions of the combat.</t>
  </si>
  <si>
    <t>Aedo-Muñoz, Esteban/R-5623-2019; Brito, Ciro/AAC-9104-2019; Miarka, Bianca/V-7395-2017; Brabec Mota Barreto, Lindsei/AAW-2501-2020</t>
  </si>
  <si>
    <t>Brabec Mota Barreto, Lindsei/0000-0001-5941-4409; brito, ciro/0000-0002-9678-1977</t>
  </si>
  <si>
    <t>2084-3763</t>
  </si>
  <si>
    <t>2082-7571</t>
  </si>
  <si>
    <t>10.14589/ido.21.4.6</t>
  </si>
  <si>
    <t>WOS:000694766900006</t>
  </si>
  <si>
    <t>Jaimes, DMA; Márquez, P; Ovalle, A; Escrig, J; Pérez, OL; Bajales, N</t>
  </si>
  <si>
    <t>Arciniegas Jaimes, Diana M.; Marquez, Paulina; Ovalle, Alexandra; Escrig, Juan; Linarez Perez, Omar; Bajales, Noelia</t>
  </si>
  <si>
    <t>Permalloy nanowires/graphene oxide composite with enhanced conductive properties</t>
  </si>
  <si>
    <t>Carbon-metal-based composites arise as advanced materials in the frontiers with nanotechnology, since the properties inherent to each component are multiplexed into a new material with potential applications. In this work, a novel composite consisting of randomly oriented permalloy nanowires (Py NWs) intercalated among the sheets of multi-layered graphene oxide (GO) was performed. Py NWs were synthesized by electrodeposition inside mesoporous alumina templates, while GO sheets were separated by means of sonication. Sequential deposition steps of Py NWs and GO flakes allowed to reach a reproducible and stable graphene oxide-based magnetic assembly. Microscopic and spectroscopic results indicate that Py NWs are anchored on the surface as well as around the edges of the multi-layered GO, promoted by the presence of chemical groups, while magnetic characterization affords additional support to our hypothesis regarding the parallel orientation of the Py NWs with respect to the GO film, and also hints the parallel stacking of GO sheets with respect to the substrate. The most striking result remains on the electrochemical performance achieved by the composite that evidences an enhanced conductive behaviour compared to a standard electrode. Such effect provides an approach to the development of permalloy nanowires/graphene oxide-based electrodes as attractive candidates for molecular sensing devices.</t>
  </si>
  <si>
    <t>Pérez, Omar/J-3417-2019; Bajales, Noelia/AGE-1802-2022; Escrig, Juan/N-4304-2015</t>
  </si>
  <si>
    <t>Escrig, Juan/0000-0002-3958-8185; Marquez, Paulina/0000-0002-8020-6273; Arciniegas Jaimes, Diana Marcela/0000-0002-1487-5858; Linarez Perez, Omar Ezequiel/0000-0002-4034-6175; Bajales, Noelia/0000-0002-2507-9224</t>
  </si>
  <si>
    <t>AUG 13</t>
  </si>
  <si>
    <t>10.1038/s41598-020-70512-1</t>
  </si>
  <si>
    <t>WOS:000563547400020</t>
  </si>
  <si>
    <t>Rojas, GB; Anselmi, GD; Lorca, JC; Castellucci, HI</t>
  </si>
  <si>
    <t>Bravo Rojas, Gonzalo; Duarte Anselmi, Giuliano; Cerda Lorca, Jaime; Ignacio Castellucci, Hector</t>
  </si>
  <si>
    <t>Road traffic accidents of the elderly in Chile between the years 2008-2017: A register-based descriptive study</t>
  </si>
  <si>
    <t>MEDWAVE</t>
  </si>
  <si>
    <t>Objective To determine if older adults in Chile have higher rates of traffic incidents, resulting in death or injury when compared to younger adults between 2008 and 2017. Methods The databases of the National Traffic Safety Commission of the last ten years and the data of inhabitants according to the projections made by the National Statistics Institute were used. Effect measures and 95% confidence intervals were calculated. Results The elderly in Chile had 0.5 times the rate of suffering a traffic accident, 0.6 times the rate of injury, and 1.3 times the rate of dying in a traffic accident when compared against non-elderly adults. Antofagasta and Arica were the regions with the lowest and highest occurrence of death for older adults, respectively. The leading causes of traffic accidents were the imprudence of the driver and pedestrian, which presented 1.6 and 2.6 times the death rate when compared against non-elderly adults. Of the main types of traffic accidents, only when the pedestrian was hit by a vehicle, the elderly had a higher occurrence of death (rate ratio 2.4). Conclusions Older adults presented a greater vulnerability to death by traffic accidents. Substantial differences are seen across different regions. Future research should address the characteristics of the users, the strategies that could help them to have better interaction, and promote health with A Incas on road safety for older people.</t>
  </si>
  <si>
    <t>Castellucci, Ignacio/KHU-4646-2024; Duarte, Giuliano/GYA-2853-2022; bravo, gonzalo/AAU-4211-2020</t>
  </si>
  <si>
    <t>Castellucci, Hector/0000-0001-6559-9198; Duarte Anselmi, Giuliano/0000-0001-9724-0796; Bravo, Gonzalo/0000-0002-5377-9930; Cerda, Jaime/0000-0003-3463-8304</t>
  </si>
  <si>
    <t>0717-6384</t>
  </si>
  <si>
    <t>JUN</t>
  </si>
  <si>
    <t>e7923</t>
  </si>
  <si>
    <t>10.5867/medwave.2020.05.7923</t>
  </si>
  <si>
    <t>WOS:000544228000005</t>
  </si>
  <si>
    <t>Ho, WCG; Jones, DI; Andersson, N; Espinoza, CM</t>
  </si>
  <si>
    <t>Ho, Wynn C. G.; Jones, D., I; Andersson, Nils; Espinoza, Cristobal M.</t>
  </si>
  <si>
    <t>Gravitational waves from transient neutron star f-mode oscillations</t>
  </si>
  <si>
    <t>PHYSICAL REVIEW D</t>
  </si>
  <si>
    <t>During their most recent observing run, LIGO/Virgo reported the gravitational wave (GW) transient S191110af, a burst signal at a frequency of 1.78 kHz that lasted for 0.104 s. While this signal was later deemed nonastrophysical, genuine detections of uncertain origin will occur in the future. Here we study the potential for detecting GWs from neutron star fluid oscillations, which have mode frequency and duration matching those of S191110af and which can be used to constrain the equation of state of nuclear matter. Assuming that such transient oscillations can be excited to energies typical of a pulsar glitch, we use measured properties of known glitching pulsars to estimate the amplitude of GWs produced by such events. We find that current GW detectors may observe nearby pulsars undergoing large events with energy similar to Vela pulsar glitch energies, while next-generation detectors could observe a significant number of events. Finally, we show that it is possible to distinguish between GWs produced by rapidly rotating and slowly rotating pulsars from the imprint of rotation on the f-mode frequency.</t>
  </si>
  <si>
    <t>; Espinoza, Cristobal/U-4428-2017</t>
  </si>
  <si>
    <t>Jones, David/0000-0002-0117-7567; Andersson, Nils/0000-0001-8550-3843; Ho, Wynn/0000-0002-6089-6836; Espinoza, Cristobal/0000-0003-2481-2348</t>
  </si>
  <si>
    <t>2470-0010</t>
  </si>
  <si>
    <t>2470-0029</t>
  </si>
  <si>
    <t>MAY 6</t>
  </si>
  <si>
    <t>10.1103/PhysRevD.101.103009</t>
  </si>
  <si>
    <t>WOS:000530635800003</t>
  </si>
  <si>
    <t>Silva, DDV; Dussán, KJ; Idarraga, A; Grangeiro, L; Silva, SS; Cardona, CA; Quintero, J; Felipe, MGA</t>
  </si>
  <si>
    <t>Silva, Debora D., V; Dussan, Kelly J.; Idarraga, Angela; Grangeiro, Luana; Silva, Silvio S.; Cardona, Carlos A.; Quintero, Julian; Felipe, Maria G. A.</t>
  </si>
  <si>
    <t>Production and purification of xylitol by Scheffersomyces amazonenses via sugarcane hemicellulosic hydrolysate</t>
  </si>
  <si>
    <t>BIOFUELS BIOPRODUCTS &amp; BIOREFINING-BIOFPR</t>
  </si>
  <si>
    <t>Xylitol was produced by Scheffersomyces amazonensis UFMG-HMD-26.3 in hemicellulosic hydrolysate obtained from a mixture of sugarcane bagasse and straw (1:1) in batch fermentation, and was recovered using supercritical fluid. The xylitol produced was 20.11 g L-1 and the extraction approach reached a xylitol recovery of 40.51% at a high purity level of 99.59%. An analysis of energy consumption for the xylitol production process showed that xylitol production from sugarcane biomass hemicellulosic hydrolysate is feasible, highlighting the potential use of this biomass in sustainable xylitol production and supercritical fluids as a robust proposal for xylitol separation. (c) 2020 Society of Chemical Industry and John Wiley &amp; Sons, Ltd</t>
  </si>
  <si>
    <t>Silva, Silvio/JCE-2357-2023; Quintero, Julian/KHY-7891-2024; Silverio da Silva, Silvio/H-8960-2012; Dussan, Kelly/H-6956-2013; Quintero, Julian/I-6335-2016; Virginio da Silva, Debora Danielle/M-4634-2014</t>
  </si>
  <si>
    <t>Silverio da Silva, Silvio/0000-0003-0669-2784; Dussan, Kelly/0000-0003-1810-5313; Quintero, Julian/0000-0003-1224-5649; Virginio da Silva, Debora Danielle/0000-0001-7358-9440; cardona alzate, carlos ariel/0000-0002-0237-2313; Grangeiro, Luana/0000-0001-6945-4949</t>
  </si>
  <si>
    <t>1932-104X</t>
  </si>
  <si>
    <t>1932-1031</t>
  </si>
  <si>
    <t>10.1002/bbb.2085</t>
  </si>
  <si>
    <t>JAN 2020</t>
  </si>
  <si>
    <t>WOS:000506698100001</t>
  </si>
  <si>
    <t>Ocampo-Garces, A; Diaz, M; Villanueva, K; Córdova, T; Mauro, J; Cáceres, T; Bassi, A; Repetto, G</t>
  </si>
  <si>
    <t>Ocampo-Garces, A.; Diaz, M.; Villanueva, K.; Cordova, T.; Mauro, J.; Caceres, T.; Bassi, A.; Repetto, G.</t>
  </si>
  <si>
    <t>SLEEP ARCHITECTURE IN 22Q11.2 MICRODELETION SYNDROME PATIENTS: POLYSOMNOGRAPHIC STUDY OF PRODROMAL SIGNS OF PARKINSON'S DISEASE AND OBSTRUCTIVE SLEEP APNEA</t>
  </si>
  <si>
    <t>SLEEP MEDICINE</t>
  </si>
  <si>
    <t>Repetto, Gabriela/C-7833-2012</t>
  </si>
  <si>
    <t>Mauro, Jorge/0000-0001-5414-5860</t>
  </si>
  <si>
    <t>1389-9457</t>
  </si>
  <si>
    <t>1878-5506</t>
  </si>
  <si>
    <t>S283</t>
  </si>
  <si>
    <t>WOS:000558768400791</t>
  </si>
  <si>
    <t>Tunç, G; Güzel, E; Sisman, I; Ahsen, V; Cárdenas-Jirón, G; Gürek, AG</t>
  </si>
  <si>
    <t>Tunc, Gulenay; Guzel, Emre; Sisman, Ilkay; Ahsen, Vefa; Cardenas-Jiron, Gloria; Gurek, Ayse Gui</t>
  </si>
  <si>
    <t>Effect of new asymmetrical Zn(ii) phthalocyanines on the photovoltaic performance of a dye-sensitized solar cell</t>
  </si>
  <si>
    <t>NEW JOURNAL OF CHEMISTRY</t>
  </si>
  <si>
    <t>Asymmetric zinc phthalocyanine dyes bearing electron donating tert-butylsulfanyl or hexylsulfanyl groups and a carboxylic acid anchoring group that act as push and pull, respectively, have been designed, synthesized and used as sensitizers for dye-sensitized solar cells (DSSCs). Theoretical calculations of Gibbs free energy change performed with the B3LYP, HSE06 and M06 functionals show that there is not a unique trend but a preference by the 2-GT6-cs and 2-GT4-cs isomers as the most stable structures. Electronic absorption spectra calculated with time-dependent density functional theory (TD-DFT) (M06/6-311G(d,p)) in THF indicate that, taking as a reference GT6 isomers, a red-shift of the Q bands is produced for the GT4 isomers, with values up to 33 nm. Theoretical calculations show that the hexyl chains in GT4 are located along the molecular plane, but the tert-butyl moieties in GT6 are non-planar. Therefore, compared with the planar one, the non-planar compound shows both a slight blue shift in absorption and a lower tendency for dye aggregation. When the dyes were employed in DSSCs with chenodeoxycholic acid (CDCA) as a co-adsorbent, the power conversion efficiency (PCE) was obtained as 3.19% for GT4 and 3.08% for GT6 under full sunlight (AM 1.5, 100 mW cm(-2)) irradiation. This can be attributed to the higher dye loading of the DSSC sensitized with GT4. However, GT4 was considerably decomposed, while GT6 retained most of its initial optical properties after continuous sunlight exposure. This result demonstrates that the zinc phthalocyanine dye containing tert-butyl moieties shows excellent photostability.</t>
  </si>
  <si>
    <t>Gurek, Ayse/AAG-5919-2019; Sisman, Ilkay/HKV-9967-2023; Guzel, Emre/H-2692-2018; Cardenas-Jiron, Gloria/H-9508-2012</t>
  </si>
  <si>
    <t>Guzel, Emre/0000-0002-1142-3936; Cardenas-Jiron, Gloria/0000-0003-4305-8088; GUREK, Ayse Gul/0000-0002-8565-2424; ahsen, vefa/0000-0002-5366-8448; Sisman, Ilkay/0000-0002-0943-2817</t>
  </si>
  <si>
    <t>1144-0546</t>
  </si>
  <si>
    <t>1369-9261</t>
  </si>
  <si>
    <t>SEP 28</t>
  </si>
  <si>
    <t>10.1039/c9nj02585e</t>
  </si>
  <si>
    <t>WOS:000486223200018</t>
  </si>
  <si>
    <t>Aliaga, C; Fuentealba, P; Muñoz, F; Pastenes, C; Rezende, MC; Spodine, E; Cárdenas, C</t>
  </si>
  <si>
    <t>Aliaga, Carolina; Fuentealba, Patricio; Munoz, Francisco; Pastenes, Camila; Rezende, Marcos C.; Spodine, Evgenia; Cardenas, Carlos</t>
  </si>
  <si>
    <t>Interaction of Nitroxide Radicals with an Au8 Nanostructure: Theoretical and Calorimetric Studies</t>
  </si>
  <si>
    <t>JOURNAL OF PHYSICAL CHEMISTRY C</t>
  </si>
  <si>
    <t>Nitroxide radicals, adhered to gold nanoparticles, have found novel applications such as cancer treatment, neuroprotection after cerebral injury, radiotherapy, and as drug-delivering agents. The details of the nature of the binding of nitroxide radicals to metallic nanostructures have been a subject of debate for the last two decades. In this work, microcalorimetric measurements are complemented with a theoretical study of noncovalent interactions between different derivatives of the nitroxide radical 2,2,5,5-tetramethylpiperidinoxyl and an Au-8 nanocluster to shed light on the nature of the binding of the radical molecule and the nanocluster. Experiments and theory showed that, although the molecule could bind through the nitroxide group, organic substituents such as amino and carboxyl groups interact much more favorably with the nanocluster. Attachment of these groups to the gold nanocluster is the result of an intense polarization of the nucleophilic sites of the metallic cluster, strengthened by van der Waals attraction between the molecule and the nanocluster.</t>
  </si>
  <si>
    <t>Cárdenas, Carlos/IZP-8908-2023; Munoz, Francisco/C-1140-2011; Caroli, Marcos/H-3570-2019; Cardenas, Carlos/F-1946-2010</t>
  </si>
  <si>
    <t>Cardenas, Carlos/0000-0002-0648-6502; Rezende, Marcos/0000-0003-2040-9009; Munoz, Francisco/0000-0002-4324-8650</t>
  </si>
  <si>
    <t>1932-7447</t>
  </si>
  <si>
    <t>1932-7455</t>
  </si>
  <si>
    <t>SEP 5</t>
  </si>
  <si>
    <t>10.1021/acs.jpcc.9b03422</t>
  </si>
  <si>
    <t>WOS:000484882500045</t>
  </si>
  <si>
    <t>Rojas-Mancilla, E; Oyarce, A; Alvarado-Soto, L; Echeverria, C; Manquián-Cerda, K; Arancibia-Miranda, N; Ramírez-Tagle, R</t>
  </si>
  <si>
    <t>Rojas-Mancilla, Edgardo; Oyarce, Alexis; Alvarado-Soto, Leonor; Echeverria, Cesar; Manquian-Cerda, Karen; Arancibia-Miranda, Nicolas; Ramirez-Tagle, Rodrigo</t>
  </si>
  <si>
    <t>Imogolite Synthetized in Presence of As(III) Induces Low Cell Toxicity and Hemolysis, in Vitro, Potential Stabilization of Arsenite Present in Aqueous Systems</t>
  </si>
  <si>
    <t>ACS OMEGA</t>
  </si>
  <si>
    <t>Imogolite is a nanotubular aluminosilicate that has low toxicity in biological systems and due to its morphological and surface properties has a growing interest in environmental applications and biomedical areas. Its synthesis is highly sensitive to the presence of other ions, being able to inhibit or retard the process of imogolite formation, which could change the cytotoxic response of this substrate, something scarcely reported in the literature. In this context, the presence of arsenite during the synthesis of imogolite caused significant changes in the dimensions and surface behavior of these nanotubes. Cell viability was evaluated on EA.hy926 and HepG2 cells by (3-(4,5-dimethyl-2-thiazolyl)-2,5-diphenyl-2H-tetrazolium bromide) assay at 24 h. Meanwhile, the potential effects on human red blood cells, namely, hemolysis and morphological changes, were determined at 0 and 24 h. The range of % As tested of the nanotube showed cell toxicity similar to the control condition. Similarly, the As-based nanotubes induced hemolysis similar to controls and slight morphological changes of red blood cells at 0 and 24 h of exposition. These results indicate that As-based imogolite-like nanotubes are not toxic nor hemolytic and can be potentially used in processes like water purification.</t>
  </si>
  <si>
    <t>Arancibia-Miranda, Nicolás/I-6743-2013; Ramirez, Rodrigo/L-3519-2017; ECHEVERRIA, CESAR/AAH-4994-2019</t>
  </si>
  <si>
    <t>ECHEVERRIA ECHEVERRIA, CESAR ANTONIO/0000-0001-5431-7183; Arancibia-Miranda, Nicolas/0000-0002-0142-6922; Rojas-Mancilla, Edgardo/0000-0001-9684-3827; Ramirez Tagle, Rodrigo/0000-0003-0694-1808</t>
  </si>
  <si>
    <t>2470-1343</t>
  </si>
  <si>
    <t>10.1021/acsomega.8b03357</t>
  </si>
  <si>
    <t>WOS:000473361500107</t>
  </si>
  <si>
    <t>da Silva, JM; da Silva, GHTG; Parente, DC; Leite, FCB; Silva, CS; Valente, P; Ganga, AM; Simoes, DA; de Morais, MA</t>
  </si>
  <si>
    <t>da Silva, Jackeline Maria; Teles Gomes da Silva, Gilberto Henrique; Parente, Denise Castro; Bezerra Leite, Fernanda Cristina; Silva, Carolina Santos; Valente, Patricia; Ganga, Angelica Maria; Simoes, Diogo Ardaillon; de Morais, Marcos Antonio, Jr.</t>
  </si>
  <si>
    <t>Biological diversity of carbon assimilation among isolates of the yeast Dekkera bruxellensis from wine and fuel-ethanol industrial processes</t>
  </si>
  <si>
    <t>FEMS YEAST RESEARCH</t>
  </si>
  <si>
    <t>Dekkera bruxellensis is considered a spoilage yeast in winemaking, brewing and fuel-ethanol production. However, there is growing evidence in the literature of its biotechnological potential. In this work, we surveyed 29 D. bruxellensis isolates from three countries and two different industrial origins (winemaking and fuel-ethanol production) for the metabolization of industrially relevant sugars. The isolates were characterized by the determination of their maximum specific growth rates, and by testing their ability to grow in the presence of 2-deoxy-d-glucose and antimycin A. Great diversity was observed among the isolates, with fuel-ethanol isolates showing overall higher specific growth rates than wine isolates. Preferences for galactose (three wine isolates) and for cellobiose or lactose (some fuel-ethanol isolates) were observed. Fuel-ethanol isolates were less sensitive than wine isolates to glucose catabolite repression (GCR) induction by 2-deoxy-d-glucose. In strictly anaerobic conditions, isolates selected for having high aerobic growth rates were able to ferment glucose, sucrose and cellobiose at fairly high rates without supplementation of casamino acids or yeast extract in the culture medium. The phenotypic diversity found among wine and fuel-ethanol isolates suggests adaptation to these environments. A possible application of some of the GCR-insensitive, fast-growing isolates in industrial processes requiring co-assimilation of different sugars is considered.</t>
  </si>
  <si>
    <t>da Silva, Jackeline/AGY-2578-2022; Silva, Gilberto/AGZ-1480-2022; Valente, Patricia/H-4773-2018; Silva, Carolina/V-2076-2019; Simoes, Diogo/G-7651-2012; de Morais Jr, Marcos Antonio/CAF-4868-2022</t>
  </si>
  <si>
    <t>de Morais Jr, Marcos Antonio/0000-0002-9727-0300; Silva, Carolina/0000-0003-3868-3233; Bezerra Leite, Fernanda Cristina/0009-0005-7642-4269</t>
  </si>
  <si>
    <t>1567-1356</t>
  </si>
  <si>
    <t>1567-1364</t>
  </si>
  <si>
    <t>foz022</t>
  </si>
  <si>
    <t>10.1093/femsyr/foz022</t>
  </si>
  <si>
    <t>WOS:000474809700011</t>
  </si>
  <si>
    <t>Gordillo, L; Knobloch, E</t>
  </si>
  <si>
    <t>Gordillo, Leonardo; Knobloch, Edgar</t>
  </si>
  <si>
    <t>Fluid-supported elastic sheet under compression: Multifold solutions</t>
  </si>
  <si>
    <t>PHYSICAL REVIEW E</t>
  </si>
  <si>
    <t>The properties of a hinged floating elastic sheet of finite length under compression are considered. Numerical continuation is used to compute spatially localized buckled states with many spatially localized folds. Both symmetric and antisymmetric states are computed and the corresponding bifurcation diagrams determined. Weakly nonlinear analysis is used to analyze the transition from periodic wrinkles to singlefold and multifold states and to compute their energy. States with the same number of folds have energies that barely differ from each other and the energy gap decreases exponentially as localization increases. The stability of the different competing states is studied and the multifold solutions are all found to be unstable. However, the decay time into solutions with fewer folds can be so slow that multifolds may appear to be stable.</t>
  </si>
  <si>
    <t>GORDILLO, Leonardo/I-8215-2014</t>
  </si>
  <si>
    <t>GORDILLO, Leonardo/0000-0002-9516-1346</t>
  </si>
  <si>
    <t>2470-0045</t>
  </si>
  <si>
    <t>2470-0053</t>
  </si>
  <si>
    <t>APR 17</t>
  </si>
  <si>
    <t>10.1103/PhysRevE.99.043001</t>
  </si>
  <si>
    <t>WOS:000465178000007</t>
  </si>
  <si>
    <t>Llancalahuen, FM; Fuentes, JA; Carreño, A; Zúñiga, C; Páez-Hernández, D; Gacitúa, M; Polanco, R; Preite, MD; Arratia-Pérez, R; Otero, C</t>
  </si>
  <si>
    <t>Llancalahuen, Felipe M.; Fuentes, Juan A.; Carreno, Alexander; Zuniga, Cesar; Paez-Hernandez, Dayan; Gacitua, Manuel; Polanco, Ruben; Preite, Marcelo D.; Arratia-Perez, Ramiro; Otero, Carolina</t>
  </si>
  <si>
    <t>New Properties of a Bioinspired Pyridine Benzimidazole Compound as a Novel Differential Staining Agent for Endoplasmic Reticulum and Golgi Apparatus in Fluorescence Live Cell Imaging</t>
  </si>
  <si>
    <t>FRONTIERS IN CHEMISTRY</t>
  </si>
  <si>
    <t>In this study, we explored new properties of the bioinspired pyridine benzimidazole compound B2 (2,4-di-tert-butyl-6-(3H-imidazo[4,5-c]pyridine-2-yl)phenol) regarding its potential use as a differential biomarker. For that, we performed 1D (HNMR)-H-1 (TOCSY), UV-Vis absorption spectra in different organic solvents, voltammetry profile (including a scan-rate study), and TD-DFT calculations that including NBO analyses, to provide valuable information about B2 structure and luminescence. In our study, we found that the B2 structure is highly stable, where the presence of an intramolecular hydrogen bond (IHB) seems to have a crucial role in the stability of luminescence, and its emission can be assigned as fluorescence. In fact, we found that the relatively large Stokes Shift observed for B2 (around 175 nm) may be attributed to the stability of the B2 geometry and the strength of its IHB. On the other hand, we determined that B2 is biocompatible by cytotoxicity experiments in HeLa cells, an epithelial cell line. Furthermore, in cellular assays we found that B2 could be internalized by passive diffusion in absence of artificial permeabilization at short incubation times (15 min to 30 min). Fluorescence microscopy studies confirmed that B2 accumulates in the endoplasmic reticulum (ER) and Golgi apparatus, two organelles involved in the secretory pathway. Finally, we determined that B2 exhibited no noticeable blinking or bleaching after 1 h of continuous exposure. Thus, B2 provides a biocompatible, rapid, simple, and efficient way to fluorescently label particular organelles, producing similar results to that obtained with other well-established but more complex methods.</t>
  </si>
  <si>
    <t>Páez-Hernández, Dayán/AAJ-3317-2020; Arratia-Perez, Ramiro/AAG-2648-2019; Gacitua, Manuel/R-8868-2019; Carreno, Alexander/I-6374-2019; Marchant Llancalahuen, Felipe/Q-2149-2017; Preite, Marcelo/J-7750-2015</t>
  </si>
  <si>
    <t>Marchant Llancalahuen, Felipe/0000-0003-4014-4474; Paez-Hernandez, Dayan/0000-0002-8163-1343; Carreno, Alexander/0000-0001-9733-8224; Gacitua, Manuel/0000-0003-0807-2677; Preite, Marcelo/0000-0001-7187-4504; Fuentes, Juan A./0000-0002-9374-0707; Zuniga, Cesar/0009-0004-8736-6861</t>
  </si>
  <si>
    <t>2296-2646</t>
  </si>
  <si>
    <t>AUG 15</t>
  </si>
  <si>
    <t>10.3389/fchem.2018.00345</t>
  </si>
  <si>
    <t>WOS:000441553100001</t>
  </si>
  <si>
    <t>Plümper, T; Laroze, D; Neumayer, E</t>
  </si>
  <si>
    <t>Pluemper, Thomas; Laroze, Denise; Neumayer, Eric</t>
  </si>
  <si>
    <t>Regional inequalities in premature mortality in Great Britain</t>
  </si>
  <si>
    <t>Premature mortality exhibits strong spatial patterns in Great Britain. Local authorities that are located further North and West, that are more distant from its political centre London and that are more urban tend to have a higher premature mortality rate. Premature mortality also tends to cluster among geographically contiguous and proximate local authorities. We develop a novel analytical research design that relies on spatial pattern recognition to demonstrate that an empirical model that contains only socio-economic variables can eliminate these spatial patterns almost entirely. We demonstrate that socioeconomic factors across local authority districts explain 81 percent of variation in female and 86 percent of variation in male premature mortality in 2012-14. As our findings suggest, policy-makers cannot hope that health policies alone suffice to significantly reduce inequalities in health. Rather, it requires strong efforts to reduce the inequalities in socio-economic factors, or living conditions for short, in order to overcome the spatial disparities in health, of which premature mortality is a clear indication.</t>
  </si>
  <si>
    <t>Plümper, Thomas/Q-4695-2016; Neumayer, Eric/ABF-3741-2021; Neumayer, Eric/A-3971-2012; Pluemper, Thomas/G-7559-2011</t>
  </si>
  <si>
    <t>Neumayer, Eric/0000-0003-2719-7563; Pluemper, Thomas/0000-0002-1461-0737</t>
  </si>
  <si>
    <t>FEB 28</t>
  </si>
  <si>
    <t>e0193488</t>
  </si>
  <si>
    <t>10.1371/journal.pone.0193488</t>
  </si>
  <si>
    <t>WOS:000426276000082</t>
  </si>
  <si>
    <t>López-Ospina, H; Quezada, LE; Barros-Castro, RA; Gonzalez, MA; Palominos, PI</t>
  </si>
  <si>
    <t>Lopez-Ospina, Hector; Quezada, Luis E.; Barros-Castro, Ricardo A.; Gonzalez, Miguel A.; Palominos, Pedro I.</t>
  </si>
  <si>
    <t>A method for designing strategy maps using DEMATEL and linear programming</t>
  </si>
  <si>
    <t>MANAGEMENT DECISION</t>
  </si>
  <si>
    <t>Purpose - The purpose of this paper is to propose a quantitative methodology for the identification of the causal relationships between strategic objectives in a strategy map of a balanced scorecard. This is done to face the possible weaknesses described in the literature regarding the causal links and the difficulty in validating the relationships. Design/methodology/approach - The proposed method combines the multi-criteria decision-making method called decision-making trial and evaluation laboratory (DEMATEL) and an optimization model. DEMATEL is used to establish the importance of the strategic relations between strategic objectives, and the optimization model is used to find the relations that are more important and should be included in the strategy map. The method was created by reviewing the existing literature, modeling the problem, and applying it in a company. Findings - The most important results of applying this methodological design include that the proposed method maintains the BSC classical structure; it also enables the generation of several alternatives to support the decision-making process in terms of strategic objectives for a better organizational performance. Practical implications - The method facilitates the decision-making process by presenting several alternatives of strategy maps according to different levels of organizational criteria. In fact, these alternatives help the organization in focusing on the most important aspects of the strategy map. Consequently, managers may identify where to pay more attention and resources in order to achieve the most important objectives of the company. Hence, this method, as a support for decision makers, enables (and requires) the active participation of senior managers and any kind of decision makers in creating and valuating objectives, relations, constraints, importance, and parameters of the optimization model. Originality/value - DEMATEL has been used to design strategy maps. The contribution of the paper is the use of a linear programming model to select those relationships that should be included in the strategy map. It allows manager to focus on those strategic elements that are important from a strategic point of view. The application in a company showed that the contribution is not only theoretical but practical as well.</t>
  </si>
  <si>
    <t>Quezada, Luis/W-8168-2019</t>
  </si>
  <si>
    <t>Barros-Castro, Ricardo A./0000-0002-3708-4522; Lopez-Ospina, Hector/0000-0001-8144-6394; Palominos, Pedro/0000-0002-5695-3025</t>
  </si>
  <si>
    <t>0025-1747</t>
  </si>
  <si>
    <t>1758-6070</t>
  </si>
  <si>
    <t>10.1108/MD-08-2016-0597</t>
  </si>
  <si>
    <t>WOS:000409340400013</t>
  </si>
  <si>
    <t>Nazer, JR; Llorca-Jaña, M; Navarrete-Montalvo, J</t>
  </si>
  <si>
    <t>Ricardo Nazer, Juan; Llorca-Jana, Manuel; Navarrete-Montalvo, Juan</t>
  </si>
  <si>
    <t>THE COUSINO-GOYENECHEA FAMILY (1810-1940): RISE AND FALL OF A CHILEAN FAMILY BUSINESS</t>
  </si>
  <si>
    <t>ATENEA</t>
  </si>
  <si>
    <t>This article makes a contribution to the study of family groups in developing economies by analysing the case of the Cousino-Goyenechea business, one of the most important business groups in nineteenth-century Chile. We provide new evidence of how the Cousino's original fortune was built, and how after being highly concentrated in copper and silver mining, the family business successfully diversified and integrated vertically through two generations, thus becoming the second most important economic group in the country by the end of the 19th century. This was the result of risky business decisions, particularly after deciding to enter coal mining under much uncertainty, modernising this industry, as well as expanding into copper refining, brick and glass manufacturing, hydroelectric power plants, and wine production. However, their success was also due to a clever strategy of capital increase by creating corporations linked to the group.</t>
  </si>
  <si>
    <t>Llorca-Jaña, Manuel/AAB-9317-2020</t>
  </si>
  <si>
    <t>nazer ahumada, juan ricardo/0000-0003-3393-0346</t>
  </si>
  <si>
    <t>0718-0462</t>
  </si>
  <si>
    <t>10.4067/S0718-04622017000200049</t>
  </si>
  <si>
    <t>WOS:000423550900004</t>
  </si>
  <si>
    <t>Quijada-Maldonado, E; Meindersma, GW; de Haan, AB</t>
  </si>
  <si>
    <t>Quijada-Maldonado, Esteban; Meindersma, G. Wytze; de Haan, Andre B.</t>
  </si>
  <si>
    <t>Pilot plant study on the extractive distillation of toluene-methylcyclohexane mixtures using NMP and the ionic liquid [hmim] [TCB] as solvents</t>
  </si>
  <si>
    <t>SEPARATION AND PURIFICATION TECHNOLOGY</t>
  </si>
  <si>
    <t>The separation of the close-boiling point mixture: toluene - methylcyclohexane can be carried out by extractive distillation using the ionic liquid 1-hexyl-3-methylimidazolium tetracyanoborate ([hmim] [TCB]), reported as promising solvent for the separation of this mixture. However, the polar nature of ionic liquids causes the formation of two liquid phases which can be overcome with high solvent-to feed ratios (S/F) resulting in high liquid phase viscosities that cause mass transfer limitations. Experiments in an extractive distillation pilot plant were performed with the objective of firstly exploring different operating conditions and secondly to compare the mass transfer efficiencies produced by [hmim][TCB] and the reference organic solvent N-methyl-2-pyrrolidone. Pure viscosity, density and surface tension data as well as ternary viscosity and density data of tolune - methylcyclohexane - [hmim] [TCB] were measured to compute the mass transfer efficiency. From pilot plant experiments it was found that all the studied operating conditions did not form two-liquid phases. However, the high solvent-to feed ratios increased the liquid phase viscosities and consequently the use of this ionic liquid produces Height Equivalent to a Theoretical Plates (HETPs) twice as high as the reference solvent NMP causing slightly lower top purities and a longer required distillation column for a required separation. (C) 2016 Elsevier B.V. All rights reserved.</t>
  </si>
  <si>
    <t>Quijada-Maldonado, Esteban/0000-0003-1411-4327</t>
  </si>
  <si>
    <t>1383-5866</t>
  </si>
  <si>
    <t>1873-3794</t>
  </si>
  <si>
    <t>JUN 22</t>
  </si>
  <si>
    <t>10.1016/j.seppur.2016.04.041</t>
  </si>
  <si>
    <t>WOS:000376834400025</t>
  </si>
  <si>
    <t>Núñez-Vivanco, G; Valdés-Jiménez, A; Besoaín, F; Reyes-Parada, M</t>
  </si>
  <si>
    <t>Nunez-Vivanco, Gabriel; Valdes-Jimenez, Alejandro; Besoain, Felipe; Reyes-Parada, Miguel</t>
  </si>
  <si>
    <t>Geomfinder: a multi-feature identifier of similar three-dimensional protein patterns: a ligand-independent approach</t>
  </si>
  <si>
    <t>JOURNAL OF CHEMINFORMATICS</t>
  </si>
  <si>
    <t>Background: Since the structure of proteins is more conserved than the sequence, the identification of conserved three-dimensional (3D) patterns among a set of proteins, can be important for protein function prediction, protein clustering, drug discovery and the establishment of evolutionary relationships. Thus, several computational applications to identify, describe and compare 3D patterns (or motifs) have been developed. Often, these tools consider a 3D pattern as that described by the residues surrounding co-crystallized/docked ligands available from X-ray crystal structures or homology models. Nevertheless, many of the protein structures stored in public databases do not provide information about the location and characteristics of ligand binding sites and/or other important 3D patterns such as allosteric sites, enzyme-cofactor interaction motifs, etc. This makes necessary the development of new ligand-independent methods to search and compare 3D patterns in all available protein structures. Results: Here we introduce Geomfinder, an intuitive, flexible, alignment-free and ligand-independent web server for detailed estimation of similarities between all pairs of 3D patterns detected in any two given protein structures. We used around 1100 protein structures to form pairs of proteins which were assessed with Geomfinder. In these analyses each protein was considered in only one pair (e.g. in a subset of 100 different proteins, 50 pairs of proteins can be defined). Thus: (a) Geomfinder detected identical pairs of 3D patterns in a series of monoamine oxidase-B structures, which corresponded to the effectively similar ligand binding sites at these proteins; (b) we identified structural similarities among pairs of protein structures which are targets of compounds such as acarbose, benzamidine, adenosine triphosphate and pyridoxal phosphate; these similar 3D patterns are not detected using sequence-based methods; (c) the detailed evaluation of three specific cases showed the versatility of Geomfinder, which was able to discriminate between similar and different 3D patterns related to binding sites of common substrates in a range of diverse proteins. Conclusions: Geomfinder allows detecting similar 3D patterns between any two pair of protein structures, regardless of the divergency among their amino acids sequences. Although the software is not intended for simultaneous multiple comparisons in a large number of proteins, it can be particularly useful in cases such as the structure-based design of multitarget drugs, where a detailed analysis of 3D patterns similarities between a few selected protein targets is essential.</t>
  </si>
  <si>
    <t>Nuñez, Gabriel/IAN-2843-2023; Besoain, Felipe/GZN-1972-2022</t>
  </si>
  <si>
    <t>Nunez Vivanco, Gabriel/0000-0002-2858-1789; Valdes-Jimenez, Alejandro/0000-0003-2345-5510; Besoain, Felipe/0000-0002-2810-9433</t>
  </si>
  <si>
    <t>1758-2946</t>
  </si>
  <si>
    <t>APR 18</t>
  </si>
  <si>
    <t>10.1186/s13321-016-0131-9</t>
  </si>
  <si>
    <t>WOS:000374529500001</t>
  </si>
  <si>
    <t>Espinoza, M; Espina, E; Diaz, M; Mora, A; Cárdenas, R</t>
  </si>
  <si>
    <t>Espinoza, Mauricio; Espina, Enrique; Diaz, Matias; Mora, Andres; Cardenas, Roberto</t>
  </si>
  <si>
    <t>Improved control strategy of the Modular Multilevel Converter for high power drive applications in low frequency operation</t>
  </si>
  <si>
    <t>2016 18TH EUROPEAN CONFERENCE ON POWER ELECTRONICS AND APPLICATIONS (EPE'16 ECCE EUROPE)</t>
  </si>
  <si>
    <t>European Conference on Power Electronics and Applications</t>
  </si>
  <si>
    <t>18th European Conference on Power Electronics and Applications (EPE)</t>
  </si>
  <si>
    <t>SEP 05-09, 2016</t>
  </si>
  <si>
    <t>GERMANY</t>
  </si>
  <si>
    <t>Modular Multilevel Converters ( (MC)-C-2) are considered an attractive solution for high power drives. However, its operation at low rotational speeds can produce undesired voltage fluctuations in the (MC)-C-2 capacitors. In this paper, two methodologies to improve the converter performance in this speed range are analysed and tested. The first strategy proposes the control of the inner converter currents combining a synchronous dq rotating frame and resonant controllers to improve the current tracking and to reduce the voltage fluctuations. The second strategy achieves the reduction of the voltage fluctuations by adjusting the DC Port voltage as a function of the machine frequency. Both methods are validated by simulation and experimental work, where a 18 cell (MC)-C-2 prototype is applied to drive an induction machine.</t>
  </si>
  <si>
    <t>Espina, Enrique/AGZ-7297-2022; Diaz, Matias/R-7570-2018; Espinoza, Mauricio/AAH-8647-2019; Mora, Andres/I-6953-2015</t>
  </si>
  <si>
    <t>Espina, Enrique/0000-0002-2075-2010</t>
  </si>
  <si>
    <t>2325-0313</t>
  </si>
  <si>
    <t>WOS:000386637300306</t>
  </si>
  <si>
    <t>Olivares, P; Orellana, P; Guerra, G; Peredo-Parada, M; Chavez, V; Ramirez, A; Parodi, J</t>
  </si>
  <si>
    <t>Olivares, Pamela; Orellana, Paola; Guerra, Guillermo; Peredo-Parada, Matias; Chavez, Viviana; Ramirez, Alfredo; Parodi, Jorge</t>
  </si>
  <si>
    <t>Water contaminated with Didymosphenia geminata generates changes in Salmo salar spermatozoa activation times</t>
  </si>
  <si>
    <t>AQUATIC TOXICOLOGY</t>
  </si>
  <si>
    <t>Didimosphenia geminata (didymo), has become a powerful and devastating river plague in Chile. A system was developed in D. geminata channels with the purpose evaluating the effects of water polluted with didymo on the activation of Atlantic salmon (Salmo salar) spermatozoa. Results indicate that semen, when activated with uncontaminated river water had an average time of 60 +/- 21 s. When using Powermilt, (a commercial activator), times of 240 +/- 21 s are achieved, while rivers contaminated with D. geminata achieve a motility time of 30 +/- 12s. Interestingly enough, the kinetic parameters of VSL, VCL and VAP showed no significant changes under all of the conditions. Furthermore, the presence of D. geminata reduces activation time of the samples as the cells age, indicating increased effects in spermatozoa that are conserved for more than 5 days. D. geminata has antioxidant content, represented by polyphenols; 200 ppm of polyphenol were obtained in this study per log of microalgae. Spermatozoa exposed to these extracts showed a reduction in mobility time in a dose dependent manner, showing an IC50 of 15 ppm. The results suggest an effect on spermatozoa activation, possibly due to the release of polyphenols present in contaminated rivers, facilitating the alteration of sperm motility times, without affecting the viability or kinetics of the cells. These findings have important implications for current policy regarding the control of the algae. Current control measures focus on the number of visible species, and not on the compounds that they release, which this study shows, also have a problematic effect on salmon production. (C) 2015 Elsevier B.V. All rights reserved.</t>
  </si>
  <si>
    <t>Parodi, Jorge/KUD-7777-2024; Ramirez, Alfredo/AAF-8536-2020</t>
  </si>
  <si>
    <t>orellana vergara, Paola/0000-0002-6717-5150; Olivares-Ferretti, Pamela/0000-0001-5759-3271; Ramirez, Alfredo/0000-0003-4782-4261</t>
  </si>
  <si>
    <t>0166-445X</t>
  </si>
  <si>
    <t>1879-1514</t>
  </si>
  <si>
    <t>10.1016/j.aquatox.2015.03.022</t>
  </si>
  <si>
    <t>WOS:000355050900011</t>
  </si>
  <si>
    <t>Vallejo, M; Loyola, S; Contreras, D; Ugarte, G; Cifuente, D; Ortega, G; Cabrera, JL; Zeise, M; Tonn, C; Carreño, M; Delgado, R; Morales, B; Agnese, M</t>
  </si>
  <si>
    <t>Vallejo, Mariana; Loyola, Sebastian; Contreras, Darwin; Ugarte, Gonzalo; Cifuente, Diego; Ortega, Gabriela; Cabrera, Jose L.; Zeise, Marc; Tonn, Carlos; Carreno, Mario; Delgado, Ricardo; Morales, Bernardo; Agnese, Mariel</t>
  </si>
  <si>
    <t>a new semisynthetic derivative of sauroine induces ltp in hippocampal slices and improves learning performance in the morris water maze</t>
  </si>
  <si>
    <t>JOURNAL OF NEUROCHEMISTRY</t>
  </si>
  <si>
    <t>Two semisynthetic acetyl derivatives of the alkaloid sauroine from Huperzia saururus, monoacetyl sauroine, and diacetyl sauroine (DAS) were obtained and their chemical structures were analyzed by NMR. While monoacetyl sauroine is the typical product of acetylation, DAS is an unexpected derivative related to the keto-enol formation of sauroine. Recordings of field excitatory post-synaptic potentials from the CA1 region of rat hippocampal slices showed that only DAS acutely applied induced chemical long-term potentiation (LTP) in a dose-dependent manner with an EC50 of 1.150.09M. This effect was blocked by 10M D(-)-2-amino-5-phosphonopentanoic acid (AP5), suggesting dependence on the NMDA receptor. DAS significantly increased NMDA receptor-dependent excitatory post-synaptic currents without affecting -amino-3-hydroxy-5-methylisoxazole-4-propionate receptor-dependent currents. Repetitive administration of DAS improved visuo-spatial learning in the Morris Water Maze. In slices from rats tested in the Morris Water Maze, LTP resulting from electrical synaptic stimulation was 2.5 times larger than in controls. Concentration of DAS measured in the brain after repetitive administration was 29.5M. We conclude that slices perfused with DAS display a robust NMDA receptor-dependent chemical LTP. During chronic treatment, DAS enhances learning abilities through a metaplastic mechanism as revealed by the augmentation of LTP in slices. DAS, therefore, may be a promising compound as a nootropic therapeutic drug.</t>
  </si>
  <si>
    <t>Morales Castañeda, Bernardo/GPP-1642-2022; Loyola Arroyo, Sebastian/IAO-1254-2023</t>
  </si>
  <si>
    <t>Loyola Arroyo, Sebastian/0000-0002-6029-2274</t>
  </si>
  <si>
    <t>0022-3042</t>
  </si>
  <si>
    <t>1471-4159</t>
  </si>
  <si>
    <t>10.1111/jnc.12685</t>
  </si>
  <si>
    <t>WOS:000335951400011</t>
  </si>
  <si>
    <t>Silva-Galaz, C; Saldias, M; Garland, MT; Vega, A; Paredes-García, V; Spodine, E; Venegas-Yazigi, D</t>
  </si>
  <si>
    <t>Silva-Galaz, C.; Saldias, M.; Garland, M. T.; Vega, A.; Paredes-Garcia, V.; Spodine, E.; Venegas-Yazigi, D.</t>
  </si>
  <si>
    <t>K3[Fe3.26V0.74(OH)O(PO4)4(H2O)2]•2H2O: a synthetic leucophosphite</t>
  </si>
  <si>
    <t>JOURNAL OF COORDINATION CHEMISTRY</t>
  </si>
  <si>
    <t>A new iron(III)/vanadium(III) phosphate, K-3[Fe3.26V0.74(OH)O(PO4)(4)(H2O)(2)]center dot 2H(2)O (1), has been obtained by hydrothermal synthesis and characterized by single crystal X-ray diffraction, Scanning electron microscopyenergy dispersive X-ray spectroscopy, Inductively coupled plasma atomic emission spectroscopy (ICP), thermogravimetric analysis, and FTIR spectroscopy. Single crystal X-ray diffraction reveals a 3D open framework (monoclinic, space group P2(1)/n, a=9.6391(7)angstrom, b=9.8063(7)angstrom, c=9.7268(7)angstrom, =100.71(1)degrees, and V=903.38(11)angstrom(3)). This structure presents Fe-III and V-III in a 4.4:1M ratio with the metal ions in two different crystallographic sites. Both metallic centers have distorted octahedral environments, linked by PO4 tetrahedra, forming channels along the a-axis. The asymmetric unit of K-3[Fe3.26V0.74(OH)O(PO4)(4)(H2O)(2)]center dot 2H(2)O presents a {M-4(OH)O(PO4)(4)(H2O)(2)}(3) anionic entity, charge balanced by three K+, which are located within the channels. It is also possible to distinguish M4O2 units whose M-III polyhedra are linked by vertex and edges.</t>
  </si>
  <si>
    <t>Paredes-Garcia, Veronica/C-4415-2011; Vega, Andres/B-2122-2010; Venegas-Yazigi, Diego/C-5022-2009</t>
  </si>
  <si>
    <t>Vega, Andres/0000-0001-6501-4161; Venegas-Yazigi, Diego/0000-0001-7816-2841</t>
  </si>
  <si>
    <t>0095-8972</t>
  </si>
  <si>
    <t>1029-0389</t>
  </si>
  <si>
    <t>MAY 1</t>
  </si>
  <si>
    <t>10.1080/00958972.2013.791685</t>
  </si>
  <si>
    <t>WOS:000318292600016</t>
  </si>
  <si>
    <t>Andersson, F; Carlsson, M; Tenorio, L</t>
  </si>
  <si>
    <t>Andersson, Fredrik; Carlsson, Marcus; Tenorio, Luis</t>
  </si>
  <si>
    <t>On the Representation of Functions with Gaussian Wave Packets</t>
  </si>
  <si>
    <t>JOURNAL OF FOURIER ANALYSIS AND APPLICATIONS</t>
  </si>
  <si>
    <t>We introduce Gaussian wave packets in pursuit of representations of functions, in which the representation is invariant under translation, modulation, scale, rotation and anisotropic dilation. Properties of both continuous and discrete representations are discussed. For the discrete (two-dimensional) case, we develop fast algorithms for the application of the analysis and synthesis operators. A main objective for using Gaussian wave packets is to obtain sparse approximations of functions. However, due to the many invariance properties, the representations will have a high degree of redundancy. Therefore, we also introduce sparse methods for highly redundant representations, that employ some of the analytic properties of Gaussian wave packet for gaining computational efficiency.</t>
  </si>
  <si>
    <t>Carlsson, Marcus/0000-0002-3761-9072; Andersson, Fredrik/0000-0001-7673-9184</t>
  </si>
  <si>
    <t>1069-5869</t>
  </si>
  <si>
    <t>1531-5851</t>
  </si>
  <si>
    <t>FEB</t>
  </si>
  <si>
    <t>10.1007/s00041-011-9192-3</t>
  </si>
  <si>
    <t>WOS:000299525200008</t>
  </si>
  <si>
    <t>Lastra, F; Reyes, SA; Wallentowitz, S</t>
  </si>
  <si>
    <t>Lastra, F.; Reyes, S. A.; Wallentowitz, S.</t>
  </si>
  <si>
    <t>Phonon-induced entanglement dynamics of two donor-based charge quantum bits</t>
  </si>
  <si>
    <t>JOURNAL OF PHYSICS B-ATOMIC MOLECULAR AND OPTICAL PHYSICS</t>
  </si>
  <si>
    <t>The entanglement dynamics of a pair of donor-based charge qubits is obtained in an analytical form. The disentanglement is induced by off-resonant scattering of acoustical phonons in the semiconductor host. According to our results, a rather unusual recovery of entanglement occurs that depends on the geometrical configuration of the qubits. In addition, for large times a non-vanishing stationary entanglement is predicted. For the cases of one and two initial excitations, a simple kinetic interpretation allows for an adequate analysis of the observed dynamics. Our results also reveal a direct relation between the disentanglement rate and the inter-donor decoherence rates.</t>
  </si>
  <si>
    <t>Wallentowitz, Sascha/AAG-7173-2020; REYES, SEBASTIAN/R-7391-2017; Wallentowitz, Sascha/I-7095-2015</t>
  </si>
  <si>
    <t>Wallentowitz, Sascha/0000-0002-4356-5218</t>
  </si>
  <si>
    <t>0953-4075</t>
  </si>
  <si>
    <t>1361-6455</t>
  </si>
  <si>
    <t>JAN 14</t>
  </si>
  <si>
    <t>10.1088/0953-4075/45/1/015503</t>
  </si>
  <si>
    <t>WOS:000298613800014</t>
  </si>
  <si>
    <t>Liserre, M; Cárdenas, R; Molinas, M; Rodríguez, J</t>
  </si>
  <si>
    <t>Liserre, Marco; Cardenas, Roberto; Molinas, Marta; Rodriguez, Jose</t>
  </si>
  <si>
    <t>Overview of Multi-MW Wind Turbines and Wind Parks</t>
  </si>
  <si>
    <t>IEEE TRANSACTIONS ON INDUSTRIAL ELECTRONICS</t>
  </si>
  <si>
    <t>Multimegawatt wind-turbine systems, often organized in a wind park, are the backbone of the power generation based on renewable-energy systems. This paper reviews the most-adopted wind-turbine systems, the adopted generators, the topologies of the converters, the generator control and grid connection issues, as well as their arrangement in wind parks.</t>
  </si>
  <si>
    <t>Liserre, Marco/C-2857-2011; Molinas, Marta/M-2874-2019; Cardenas, Roberto/C-6395-2011; Rodriguez, Jose/A-2534-2013</t>
  </si>
  <si>
    <t>Cardenas, Roberto/0000-0003-3853-7703; Molinas Cabrera, Maria Marta/0000-0002-8791-0917; Rodriguez, Jose/0000-0002-1410-4121</t>
  </si>
  <si>
    <t>0278-0046</t>
  </si>
  <si>
    <t>1557-9948</t>
  </si>
  <si>
    <t>10.1109/TIE.2010.2103910</t>
  </si>
  <si>
    <t>WOS:000288334300002</t>
  </si>
  <si>
    <t>Aguilar, C; Ordoñez, S; Guzman, D; Rojas, PA</t>
  </si>
  <si>
    <t>Aguilar, C.; Ordonez, S.; Guzman, D.; Rojas, P. A.</t>
  </si>
  <si>
    <t>Mechanical alloying of Cu-xCr (x=3, 5 and 8 wt.%) alloy</t>
  </si>
  <si>
    <t>JOURNAL OF ALLOYS AND COMPOUNDS</t>
  </si>
  <si>
    <t>This work studies the structural evolution of Cu-xCr (x = 3, 5 and 8 wt.%) alloys processed by mechanical alloying using X-ray diffraction profiles, scanning microscopy and microhardness analysis. X-ray diffraction analysis using the modified Williamson-Hall and Warren-Averbach methods were used to determine structural properties, such as crystallite size, stacking fault probability and energy, dislocation density, lattice parameters and crystallite size distribution of metallic powder as a function of Cr amount and milling time. Lattice defects increase the Gibbs free energy and the Gibbs free energy curves shift upward, therefore the solubility limit change. (C) 2010 Elsevier B.V. All rights reserved.</t>
  </si>
  <si>
    <t>Rojas, Paula/AFS-1987-2022; Aguilar, Claudio/B-6774-2011</t>
  </si>
  <si>
    <t>Guzman Mendez, Danny/0000-0002-8020-9247; Aguilar, Claudio/0000-0002-9013-5835; Rojas, Paula/0000-0002-2529-993X</t>
  </si>
  <si>
    <t>0925-8388</t>
  </si>
  <si>
    <t>1873-4669</t>
  </si>
  <si>
    <t>10.1016/j.jallcom.2010.05.061</t>
  </si>
  <si>
    <t>WOS:000280928400023</t>
  </si>
  <si>
    <t>Cáceres, L; Fuentes, R; Escudey, M; Fuentes, E; Báez, ME</t>
  </si>
  <si>
    <t>Caceres, Lizethly; Fuentes, Roxana; Escudey, Mauricio; Fuentes, Edwar; Baez, Maria E.</t>
  </si>
  <si>
    <t>Metsulfuron-methyl Sorption/Desorption Behavior on Volcanic Ash-Derived Soils. Effect of Phosphate and pH</t>
  </si>
  <si>
    <t>JOURNAL OF AGRICULTURAL AND FOOD CHEMISTRY</t>
  </si>
  <si>
    <t>Metsulfuron-methyl sorption/desorption behavior was studied through batch sorption experiments in three typical volcanic ash-derived soils belonging to Andisol and Ultisol orders. Their distinctive physical and chemical properties are acidic pH and variable surface charge. Organic matter content and mineral composition affected in different ways sorption of metsulfuron-methyl (K-OC ranging from 113 to 646 mL g(-1)): organic matter and iron and aluminum oxides mainly through hydrophilic rather than hydrophobic interactions in Andisols, and Kaolinite group minerals, as major constituents of Ultisols, and iron and aluminum oxides only through hydrophilic interactions. The Freundlich model described metsulfuron-methyl behavior in all cases (R-2 &gt; 0.992). K-f values (3.1-14.4 mu g(1-1/n) mL(1/n) g(-1)) were higher than those reported for different class of soils including some with variable charge. Hysteresis was more significant in Ultisols. A strong influence of pH and phosphate was established for both kinds of soil, intensive soil fertilization and liming being the most probable scenario for leaching of metsulfuron-methyl, particularly in Ultisols.</t>
  </si>
  <si>
    <t>Fuentes, Edwar/0009-0003-5686-9485; Caceres-Jensen, Lizethly/0000-0002-5903-7356; Baez Contreras, Maria E/0000-0003-0312-7237</t>
  </si>
  <si>
    <t>0021-8561</t>
  </si>
  <si>
    <t>1520-5118</t>
  </si>
  <si>
    <t>JUN 9</t>
  </si>
  <si>
    <t>10.1021/jf904191z</t>
  </si>
  <si>
    <t>WOS:000278149500046</t>
  </si>
  <si>
    <t>Connelly, MJ; Barry, LP; Kennedy, BF; Reid, DA</t>
  </si>
  <si>
    <t>Connelly, Michael J.; Barry, Liam P.; Kennedy, Brendan F.; Reid, Douglas A.</t>
  </si>
  <si>
    <t>Numerical analysis of four-wave mixing between 2 ps mode-locked laser pulses in a tensile-strained bulk SOA</t>
  </si>
  <si>
    <t>NUSOD '07: PROCEEDINGS OF THE 7TH INTERNATIONAL CONFERENCE ON NUMERICAL SIMULATION OF OPTOELECTRONIC DEVICES</t>
  </si>
  <si>
    <t>International Conference on Numerical Simulation of Optoelectronic Devices</t>
  </si>
  <si>
    <t>7th International Conference on Numerical Simulation of Optoelectronic Devices (NUSOD '07)</t>
  </si>
  <si>
    <t>SEP 24-27, 2007</t>
  </si>
  <si>
    <t>Univ Delaware, Newark, DE</t>
  </si>
  <si>
    <t>Univ Delaware</t>
  </si>
  <si>
    <t>A numerical model of four-wave mixing between 2-ps pulses in a tensile-strained bulk semiconductor optical amplifier is presented. The model utilizes a modified Schrodinger equation to model the pulse propagation. The Schrodinger equation parameters such as the material gain first: and second order dispersion, linewidth enhancement factors and optical loss coefficient are obtained using a previously developed steady-state model. The predicted four-wave mixing pulse characteristics show reasonably good agreement with experimental pulse characteristics obtained using Frequency Resolved Optical Gating.</t>
  </si>
  <si>
    <t>Barry, Liam/G-7041-2011; Kennedy, Brendan/C-2455-2013</t>
  </si>
  <si>
    <t>Barry, Liam/0000-0001-8366-4790; connelly, michael/0000-0003-1661-9265; Kennedy, Brendan/0000-0003-4782-0498</t>
  </si>
  <si>
    <t>2158-3234</t>
  </si>
  <si>
    <t>978-1-4244-1431-4</t>
  </si>
  <si>
    <t>+</t>
  </si>
  <si>
    <t>WOS:000251014300047</t>
  </si>
  <si>
    <t>do O, JM; Lorca, S; Sánchez, J; Ubilla, P</t>
  </si>
  <si>
    <t>Positive radial solutions for some quasilinear elliptic systems in exterior domains</t>
  </si>
  <si>
    <t>COMMUNICATIONS ON PURE AND APPLIED ANALYSIS</t>
  </si>
  <si>
    <t>We use fixed-point theorem of cone expansion/compression type to prove the existence of positive radial solutions for the following class of quasilinear elliptic systems in exterior domains -Delta(p)u = k(1)(vertical bar x vertical bar)f(u,v), for vertical bar x vertical bar &gt; 1 and x is an element of R-N, -Delta(p)u = k(2)(vertical bar x vertical bar)g(u, v), for vertical bar x vertical bar &gt; 1 and x is an element of R-N, u(x) = v(x) = 0, for vertical bar x vertical bar = 1, u(x), v(x) -&gt; 0 as vertical bar x vertical bar -&gt; +infinity where 1 &lt; p &lt; N and Delta(p)u = div(vertical bar del vertical bar u vertical bar(p-2) del u) is the p-Laplacian operator. We consider nonlinearities that are either superlinear or sublinear.</t>
  </si>
  <si>
    <t>do O, Joao Marcos/0000-0001-7039-4365</t>
  </si>
  <si>
    <t>1534-0392</t>
  </si>
  <si>
    <t>1553-5258</t>
  </si>
  <si>
    <t>WOS:000237358600013</t>
  </si>
  <si>
    <t>Raff, U; Rojas, GM; Huete, I; Hutchinson, M</t>
  </si>
  <si>
    <t>Computer assessment of neurodegeneration in Parkinson disease using data fusion techniques with MR images</t>
  </si>
  <si>
    <t>ACADEMIC RADIOLOGY</t>
  </si>
  <si>
    <t>Rationale and Objectives. Recently developed MR imaging techniques using inversion recovery are a sensitive tool to identify and quantify morphologic changes in the substantia nigra due to neurodegeneration. Using a semi-automated computer segmentation technique to isolate the substantia nigra pars compacta (SNC), we propose a colored image fusion technique to visually assess the sites of damage in the SNC and integrate the information obtained from two implemented inversion-recovery sequences. Patients and Methods. Six patients and six age-matched control subjects were scanned using a combination of two MR imaging inversion-recovery (IR) pulse sequences. A subgroup of them was used to develop our technique. Images were blended together into a final (RGBA) image, where A stands for the alpha channel describing transparency. Results. Abnormalities in the SNC can be accurately assessed in location, shape, and variations of signal intensities within the segmented SNC by varying the transparency (alpha) channel of the color fusion image. Several previous findings such as the lateral-medial gradient of signal change and a ventral-dorsal broadening of the pars compacta are accompanied by an overall mild-to-severe heterogeneity of neurodegeneration patterns. Conclusion. Color fusion techniques revealed subtle changes in the neurodegeneration of the substantia nigra in Parkinson disease, which can be helpful for an objective and hence effective visual assessment of disease progression.</t>
  </si>
  <si>
    <t>Rojas, Gonzalo/B-2036-2013</t>
  </si>
  <si>
    <t>Rojas-Costa, Gonzalo/0000-0002-6228-2678</t>
  </si>
  <si>
    <t>1076-6332</t>
  </si>
  <si>
    <t>10.1016/S1076-6332(03)00105-3</t>
  </si>
  <si>
    <t>WOS:000185068400011</t>
  </si>
  <si>
    <t>Falomir, H; Gamboa, J; Loewe, M; Méndez, F; Rojas, JC</t>
  </si>
  <si>
    <t>Testing spatial noncommutativity via the Aharonov-Bohm effect -: art. no. 045018</t>
  </si>
  <si>
    <t>The possibility of detecting noncommutative space relics is analyzed using the Aharonov-Bohm effect. We show that, if space is noncommutative, the holonomy receives nontrivial kinematical corrections that will produce a diffraction pattern even when the magnetic flux is quantized. The scattering problem is also formulated, and the differential cross section is calculated. Our results can be extrapolated to high energy physics and the bound thetasimilar to[10 TeV](-2) is found. If this bound holds, then noncommutative effects could be explored in scattering experiments measuring differential cross sections for small angles. The bound state Aharonov-Bohm effect is also discussed.</t>
  </si>
  <si>
    <t>Gamboa, Jorge/R-8744-2019</t>
  </si>
  <si>
    <t>Loewe, Marcelo/0000-0002-8998-6923; Mendez, Fernando/0000-0002-9257-9552; Falomir, Horacio/0000-0001-8188-1062; Gamboa, Jorge/0000-0001-7992-7199</t>
  </si>
  <si>
    <t>10.1103/PhysRevD.66.045018</t>
  </si>
  <si>
    <t>WOS:000177912000080</t>
  </si>
  <si>
    <t>Iquilio, R; Fehrmann, K; Sepúlveda, SN; Tesser, E; Valín, M; Valín, JL</t>
  </si>
  <si>
    <t>Iquilio, Roberto; Fehrmann, Kurt; Sepulveda, Sergio Nunez; Tesser, Enzo; Valin, Meyli; Valin, Jose Luis</t>
  </si>
  <si>
    <t>Evaluating the Plastic Anisotropic Effect on the Forming Limit Curve of 2024-T3 Aluminum Alloy Sheets Using Marciniak Tests and Digital Image Correlation</t>
  </si>
  <si>
    <t>APPLIED SCIENCES-BASEL</t>
  </si>
  <si>
    <t>This study thoroughly investigates the influence of anisotropy on the formability of 2024-T3 aluminum alloy sheets using advanced techniques such as digital image correlation (DIC) and Marciniak tests. A key finding is the relatively small variation in anisotropy values across different strain paths and orientations, contrasting with more significant variations reported in other studies. Tests were conducted on nine samples with various geometries to induce specific strain paths, including uniaxial, plane, and balanced biaxial strains, oriented in different directions relative to the rolling direction. The study also provides a detailed analysis of microstructural and mechanical characteristics, such as precipitate distribution and anisotropy behavior, which are crucial for understanding the relationship between microstructure and material formability. The results show that while anisotropy impacts deformation capacity, the differences in formability among the directions were minimal, with slightly greater formability observed in the diagonal direction. These findings are compared with forming limit curves (FLCs), offering an integrated view of how relatively uniform anisotropic properties influence formability. These insights are essential for optimizing the processing and application of 2024-T3 alloy in industrial contexts, emphasizing the importance of understanding anisotropy in the design of metal components.</t>
  </si>
  <si>
    <t>Nunez, Sergio/0009-0001-2518-4032; valin rivera, Jose luis/0000-0002-1584-6901; Valin Fernandez, Meyli/0000-0003-2339-3719</t>
  </si>
  <si>
    <t>2076-3417</t>
  </si>
  <si>
    <t>10.3390/app14178082</t>
  </si>
  <si>
    <t>WOS:001310928000001</t>
  </si>
  <si>
    <t>de Oliveira, JF; do O, JM; Ubilla, P</t>
  </si>
  <si>
    <t>de Oliveira, Jose Francisco; do O, Joao Marcos; Ubilla, Pedro</t>
  </si>
  <si>
    <t>Boundary blow-up solutions for the Monge-Ampère equation with an invariant gradient type term</t>
  </si>
  <si>
    <t>APPLIED MATHEMATICS LETTERS</t>
  </si>
  <si>
    <t>We prove existence and non-existence of the boundary blow-up solutions for the Monge-Amp &amp; egrave;re equation of the form det D 2 u + g ( u ) 0 (del u, D 2 u ) = b ( x ) f ( u ) in a smooth, bounded, strictly convex domain S2 c R n ( n &gt;= 2) , where b is an element of C infinity ( S2 ) is positive in S2 , the pair of functions f and g satisfies conditions of Keller-Osserman type on [0 , infinity) , and 0 R n x R n 2 -+ R is a quadratic term which is invariant for both the gradient del u and the Hessian D 2 u in the sense discussed by Kazdan and Kramer (1978).</t>
  </si>
  <si>
    <t>de Oliveira, José/C-8848-2018</t>
  </si>
  <si>
    <t>0893-9659</t>
  </si>
  <si>
    <t>1873-5452</t>
  </si>
  <si>
    <t>10.1016/j.aml.2024.109141</t>
  </si>
  <si>
    <t>MAY 2024</t>
  </si>
  <si>
    <t>WOS:001243303200002</t>
  </si>
  <si>
    <t>Zamorano-Illanes, R; Ghassemlooy, Z; Younus, O; Li, XC; Zvanovec, S; Soto, I; Gutierrez, S</t>
  </si>
  <si>
    <t>Zamorano-Illanes, Raul; Ghassemlooy, Zabih; Younus, Othman; Li, Xicong; Zvanovec, Stanislav; Soto, Ismael; Gutierrez, Sebastian</t>
  </si>
  <si>
    <t>Impact of the CMOS Pixel Clock on Optical Camera Communication Using Rolling Shutter Mode</t>
  </si>
  <si>
    <t>2024 14TH INTERNATIONAL SYMPOSIUM ON COMMUNICATION SYSTEMS, NETWORKS AND DIGITAL SIGNAL PROCESSING, CSNDSP 2024</t>
  </si>
  <si>
    <t>International Symposium on Communication Systems Networks and Digital Signal Processing</t>
  </si>
  <si>
    <t>14th International Symposium on Communication Systems, Networks and Digital Signal Processing (CSNDSP)</t>
  </si>
  <si>
    <t>JUL 17-19, 2024</t>
  </si>
  <si>
    <t>Rome, ITALY</t>
  </si>
  <si>
    <t>This study delves into the impact of the pixel clock (pclk) on the frequency response of Optical Camera Communication (OCC) systems utilizing rolling shutter mode. Employing an experimental approach, we examine how variations in the pclk influence the frequency response of a complementary metal-oxide-semiconductor (CMOS) image sensor within OCC links. Our setup incorporates an algorithmic methodology to manipulate and assess internal camera parameters, focusing on the minimum exposure times to optimize signal capture and processing. The findings reveal a direct relation between the pclk and the achievable frame rate. It is a first approach to delineating its effect on the temporal resolution and bandwidth of the communication channel, showing the importance of these insights for enhancing the design and efficiency of OCC systems. Our research contributes to understanding the hardware limitations and opens future explorations into maximizing the communication performance.</t>
  </si>
  <si>
    <t>Younus, Othman/AAQ-7421-2020; Ghassemlooy, Zabih/G-9521-2014; Li, Xicong/F-5278-2017</t>
  </si>
  <si>
    <t>2475-6415</t>
  </si>
  <si>
    <t>979-8-3503-4875-0; 979-8-3503-4874-3</t>
  </si>
  <si>
    <t>10.1109/CSNDSP60683.2024.10636659</t>
  </si>
  <si>
    <t>WOS:001324588800110</t>
  </si>
  <si>
    <t>Araya-López, C; Contreras, J; Merlet, G; Cabezas, R; Olea, F; Villarroel, E; Salazar, R; Romero, J; Quijada-Maldonado, E</t>
  </si>
  <si>
    <t>Araya-Lopez, Claudio; Contreras, Javier; Merlet, Gaston; Cabezas, Rene; Olea, Felipe; Villarroel, Eduardo; Salazar, Ricardo; Romero, Julio; Quijada-Maldonado, Esteban</t>
  </si>
  <si>
    <t>[Tf2N]-based ionic liquids for the selective liquid-liquid extraction of levulinic acid/formic acid: COSMO-RS screening and ternary LLE experimental data</t>
  </si>
  <si>
    <t>FLUID PHASE EQUILIBRIA</t>
  </si>
  <si>
    <t>The separation of Levulinic (LA) acid and Formic acid (FA) from aqueous streams represents an important and challenging separation in biorefineries, where ionic liquids (ILs) provide a sustainable environment for liquid-liquid extractions of these acids. In this work, a COSMO-RS screening of bis (trifluoromethylsulfonil)imide [Tf2N] (-) based IL was first conducted and then followed by experimental validation to search for the most suitable cation for this separation. After the screening, ternary liquid-liquid equilibrium experiments at 298.15K and the subsequent data correlation using the Non-Random Two Liquid model (NRTL) were performed for future industrial implementation. Results indicated that the phosphonium cations, especially the trihexylthetradecyl phosphonium cation [P66614](+), produced the highest selectivity rates among all the experimentally measured ILs.</t>
  </si>
  <si>
    <t>olea, felipe/IAN-5687-2023; Araya Lopez, Claudio/KXR-0295-2024; Cabezas, Rene/HAR-6189-2022; Romero, Julio/I-6705-2013; Merlet, Gastón/B-4109-2019; Villarroel Utreras, Eduardo/LCD-3437-2024; Salazar, Ricardo/L-7870-2013</t>
  </si>
  <si>
    <t>Villarroel, Eduardo/0000-0001-5208-3512; Salazar-Gonzalez, Ricardo/0000-0003-2180-6022; Romero, Julio/0000-0002-1229-1592; Cabezas, Rene/0000-0002-4162-3429; Olea Chandia, Felipe/0000-0002-6349-6184; Quijada-Maldonado, Esteban/0000-0003-1411-4327</t>
  </si>
  <si>
    <t>0378-3812</t>
  </si>
  <si>
    <t>1879-0224</t>
  </si>
  <si>
    <t>10.1016/j.fluid.2022.113518</t>
  </si>
  <si>
    <t>JUN 2022</t>
  </si>
  <si>
    <t>WOS:000877467700002</t>
  </si>
  <si>
    <t>Martínez, P; Nazif-Munoz, JI; Rojas, G; Magaña, I</t>
  </si>
  <si>
    <t>Martinez, Pablo; Ignacio Nazif-Munoz, Jose; Rojas, Graciela; Magana, Irene</t>
  </si>
  <si>
    <t>Structural gender inequalities and symptoms of postpartum depression in 40 countries</t>
  </si>
  <si>
    <t>JOURNAL OF AFFECTIVE DISORDERS</t>
  </si>
  <si>
    <t>Background: The role of structural gender inequality in macro-level differences in women's perinatal mental health remains largely unexplored. This short communication explores structural gender inequalities and their potential as a macro-level, upstream social determinant of postpartum depression (PPD). Methods: We compiled meta-analytically derived national-level prevalence estimates of PPD symptoms - based on the Edinburgh Postnatal Depression Scale - with economic (e.g., income inequality), health (e.g., infant mortality rate), sociodemographic (e.g., urban population), and structural gender inequality variables (e.g., abortion policies) for 40 countries. Meta-regression techniques and traditional p-value based stepwise procedures, complemented with a Bayesian model averaging approach, were used for a robust selection of variables associated with national-level PPD symptom prevalence. Results: Income inequality (p = 0.04, 95% CI = 0.02 to 0.07) and abortion policies (beta = 0.02, 95% CI = 0.00 to 0.03) were the only variables selected in the final, adjusted model, accounting for 60.7% of cross-national variations in PPD symptoms. Limitations: Study quality of primary studies was not assessed and some national-level meta-analytical estimates were based on few primary studies. A fifth of world countries and territories could be included, with high-income regions overrepresented. High rate of missing national-level data for potential predictors of PPD. Cross-sectional analyses precludes causal inferences. Conclusions: Abortion policies are a significant macro-level social determinant of PPD, and its liberalization might be associated with women's mental health at a population level. Our findings should be a relevant argument for clinicians to advocate for changing discriminatory social norms against women.</t>
  </si>
  <si>
    <t>Martínez, Pablo/LZF-5853-2025</t>
  </si>
  <si>
    <t>Martinez, Pablo/0000-0003-4482-7993; Magana, Irene/0000-0002-0096-2432</t>
  </si>
  <si>
    <t>0165-0327</t>
  </si>
  <si>
    <t>1573-2517</t>
  </si>
  <si>
    <t>JAN 15</t>
  </si>
  <si>
    <t>10.1016/j.jad.2021.10.014</t>
  </si>
  <si>
    <t>WOS:000808544900025</t>
  </si>
  <si>
    <t>Barrera, D; Dimitrov, M; Jorza, A</t>
  </si>
  <si>
    <t>Barrera, Daniel; Dimitrov, Mladen; Jorza, Andrei</t>
  </si>
  <si>
    <t>p-adic L-functions of Hilbert cusp forms and the trivial zero conjecture</t>
  </si>
  <si>
    <t>JOURNAL OF THE EUROPEAN MATHEMATICAL SOCIETY</t>
  </si>
  <si>
    <t>We prove a strong form of the trivial zero conjecture at the central point for the p-adic L-function of a non-critically refined self-dual cohomological cuspidal automorphic representation of GL2 over a totally real field, which is Iwahori spherical at places above p. In the case of a simple zero we adapt the approach of Greenberg and Stevens, based on the functional equation for the p-adic L-function of a nearly finite slope family and on improved padic L-functions that we construct using automorphic symbols and overconvergent cohomology. For higher order zeros we develop a conceptually new approach studying the variation of the root number in partial families and establishing the vanishing of many Taylor coefficients of the p-adic L-function of the family.</t>
  </si>
  <si>
    <t>Dimitrov, Mladen/IWE-1299-2023</t>
  </si>
  <si>
    <t>Barrera Salazar, daniel/0000-0002-5677-2339</t>
  </si>
  <si>
    <t>1435-9855</t>
  </si>
  <si>
    <t>10.4171/JEMS/1165</t>
  </si>
  <si>
    <t>WOS:000809339300001</t>
  </si>
  <si>
    <t>Riquelme-Hernández, CR; Reyes-Barría, JP; Herrera-Valenzuela, T; Zapata-Lamana, R; Reyes-Molina, D; Cigarroa, I</t>
  </si>
  <si>
    <t>Riquelme-Hernandez, Cristobal R.; Reyes-Barria, Juan P.; Herrera-Valenzuela, Tomas; Zapata-Lamana, Rafael; Reyes-Molina, Daniel; Cigarroa, Igor</t>
  </si>
  <si>
    <t>Profile of the Brazilian Jiu-Jitsu fighter, variables, techniques and instruments for measuring A review</t>
  </si>
  <si>
    <t>RETOS-NUEVAS TENDENCIAS EN EDUCACION FISICA DEPORTE Y RECREACION</t>
  </si>
  <si>
    <t>Aims: To verify a Brazilian Jiu-Jitsu fighter profile studied in the literature and to characterize the variables, techniques and instruments for measuring sports performance. Methods: The review was carried out according to the declaration criteria PRISMA, considering studies between the years 2010 and 2020 in the SportDiscus, PubMed/Medline, SCOPUS, LILACS, Dialnet and SCIELO. Results: A total of 51 studies were chosen, mostly of Brazilian origin (82.4%). The total sample was integrated by 1,493 fighters (98% men), with an average age of 27.1 years. The most assess variables were the physiological (24 studies) and the physical (13 studies). Of them, the most analyzed were the lactate and grip force, respectively. The assessment instruments most used were the Borg Rating of Perceived Exertion for the physiological variables (13 studies), the dynamometry for the physical variables (13 studies), and the weight scale for anthropometric and nutritional variables (15 studies). Conclusions: It has been generated a Brazilian Jiu-Jitsu fighter profile. The most frequently studied variables were the physiological and physical. The most assessment instrument used were the weight scale, dynamometry and Borg Rating of Perceived Exertion. Moreover, there are few studies that perform measurements in real time, in female fighters, in Brazilian Jiu-Jitsu fighters and who report the fighter style.</t>
  </si>
  <si>
    <t>Herrera-Valenzuela, Tomas/L-1819-2019; Reyes-Molina, Daniel/IXN-2328-2023; cigarroa, igor/AAV-3527-2020</t>
  </si>
  <si>
    <t>1579-1726</t>
  </si>
  <si>
    <t>1988-2041</t>
  </si>
  <si>
    <t>WOS:000784127200001</t>
  </si>
  <si>
    <t>Saavedra, E; Tejo, F; Vidal-Silva, N; Escrig, J</t>
  </si>
  <si>
    <t>Saavedra, E.; Tejo, F.; Vidal-Silva, N.; Escrig, J.</t>
  </si>
  <si>
    <t>Magnonic key based on skyrmion clusters</t>
  </si>
  <si>
    <t>In this work, we report the excitation of spin-waves modes in skyrmion clusters hosted in Co/Pt nanodots by applying an in-plane magnetic field pulse. The direction at which the magnetic field is applied enables the excitation of five main spin-waves modes that are understood in terms of only azimuthal-like modes, which are shown to be strongly dependent on the number of skyrmions stabilized in the system. This feature converts the present system in a mechanism to activate and suppress a set of given modes, which in turn we propose to be utilized as a magnonic key based skyrmion cluster. Our results could be useful in manufacturing potential magnonic logic devices based in skyrmionic textures.</t>
  </si>
  <si>
    <t>Tejo, Felipe/IUQ-0578-2023; Saavedra, Eduardo/IQS-4264-2023; Vidal Silva, Nicolas/IAN-0226-2023; Escrig, Juan/N-4304-2015</t>
  </si>
  <si>
    <t>Vidal Silva, Nicolas/0000-0002-3717-3816; Saavedra Diaz, Eduardo Andres/0000-0002-2842-2526; Tejo Lazo, Felipe Tejo/0000-0001-7457-7281; Escrig, Juan/0000-0002-3958-8185</t>
  </si>
  <si>
    <t>NOV 26</t>
  </si>
  <si>
    <t>10.1038/s41598-021-02285-0</t>
  </si>
  <si>
    <t>WOS:000722925300012</t>
  </si>
  <si>
    <t>Garcia-Garfido, JM; Enríquez, J; Chi-Durán, I; Jara, I; Vivas, L; Hernández, FJ; Herrera, F; Singh, DP</t>
  </si>
  <si>
    <t>Garcia-Garfido, Juan M.; Enriquez, Javier; Chi-Duran, Ignacio; Jara, Ivan; Vivas, Leonardo; Hernandez, Federico J.; Herrera, Felipe; Singh, Dinesh P.</t>
  </si>
  <si>
    <t>Millimeter-Scale Zn(3-ptz)2 Metal-Organic Framework Single Crystals: Self-Assembly Mechanism and Growth Kinetics</t>
  </si>
  <si>
    <t>The solvothermal synthesis of metal-organic frameworks (MOFs) often proceeds through competing crystallization pathways, and only partial control over the crystal nucleation and growth rates is possible. It challenges the use of MOFs as functional devices in free-space optics, where bulk single crystals of millimeter dimensions and high optical quality are needed. We develop a synthetic protocol to control the solvothermal growth of the MOF [Zn(3-ptz)(2)](n) (MIRO-101), to obtain large single crystals with projected surface areas of up to 25 mm(2) in 24 h, in a single reaction with in situ ligand formation. No additional cooling and growth steps are necessary. We propose a viable reaction mechanism for the formation of MIRO-101 crystals under acidic conditions, by isolating intermediate crystal structures that directly connect with the target MOF and reversibly interconverting between them. We also study the nucleation and growth kinetics of MIRO-101 using ex situ crystal image analysis. The synthesis parameters that control the size and morphology of our target MOF crystal are discussed. Our work deepens our understanding of MOF growth processes in solution and demonstrates the possibility of building MOF-based devices for future applications in optics.</t>
  </si>
  <si>
    <t>Herrera, Felipe/KHD-8453-2024; Vivas, Leonardo/S-1584-2019; SINGH, DINESH/A-2509-2011; Hernandez, Federico Javier/P-8865-2018</t>
  </si>
  <si>
    <t>Chi-Duran, Ignacio/0000-0002-3327-2825; SINGH, DINESH/0000-0002-2893-7749; Hernandez, Federico Javier/0000-0001-7497-9424</t>
  </si>
  <si>
    <t>JUL 13</t>
  </si>
  <si>
    <t>10.1021/acsomega.1c01272</t>
  </si>
  <si>
    <t>JUN 2021</t>
  </si>
  <si>
    <t>WOS:000674270200015</t>
  </si>
  <si>
    <t>Montoille, L; Vicencio, CM; Fontalba, D; Ortiz, JA; Moreno-Serna, V; Peponi, L; Matiacevich, S; Zapata, PA</t>
  </si>
  <si>
    <t>Montoille, Lissette; Morales Vicencio, Constanza; Fontalba, Daniel; Ortiz, J. Andres; Moreno-Serna, Viviana; Peponi, Laura; Matiacevich, Silvia; Zapata, Paula A.</t>
  </si>
  <si>
    <t>Study of the effect of the addition of plasticizers on the physical properties of biodegradable films based on kefiran for potential application as food packaging</t>
  </si>
  <si>
    <t>FOOD CHEMISTRY</t>
  </si>
  <si>
    <t>Spectroscopies analysis indicated that kefiran contains branched hexasaccharide repeating units. Neat kefiran films, 2 and 5% w/w of glycerol, D-glucitol, D-galactitol, D-mannitol, and D-limonene were incorporated as plasticizers. Neat and plasticized kefiran films were characterized by physical, thermal, mechanical, optical, and water solubilization properties. Neat kefiran had a glass transition temperature (Tg) of -20 +/- 2 degrees C and, with the addition of plasticizers between -15 to -17 +/- 2 degrees C. The values were close to the neat kefiran, and the results could be attributed to a lower amount of plasticizer used. The solubility of the glycerol plasticized films increases by 33% and decreased with the concentration of other plasticizers in comparison with the neat kefiran. D-glucitol and D-galactitol decreased the microhardness and Young's Modulus of films around 30% and 74% respectively, obtaining more flexible kefiran films. Kefiran based films could find applications as potential materials in the food-packaging industry.</t>
  </si>
  <si>
    <t>Ortiz, J. Andrés/R-4060-2019; Moreno Serna, Viviana/LZI-3166-2025</t>
  </si>
  <si>
    <t>Ortiz, J. Andres/0000-0002-3142-9470; Moreno Serna, Viviana/0000-0001-9042-1738; Zapata, Paula Andrea/0000-0003-3361-6226</t>
  </si>
  <si>
    <t>0308-8146</t>
  </si>
  <si>
    <t>1873-7072</t>
  </si>
  <si>
    <t>OCT 30</t>
  </si>
  <si>
    <t>10.1016/j.foodchem.2021.129966</t>
  </si>
  <si>
    <t>MAY 2021</t>
  </si>
  <si>
    <t>WOS:000663772600007</t>
  </si>
  <si>
    <t>Suazo-Hernández, J; Klumpp, E; Arancibia-Miranda, N; Poblete-Grant, P; Jara, A; Bol, R; Mora, MD</t>
  </si>
  <si>
    <t>Suazo-Hernandez, Jonathan; Klumpp, Erwin; Arancibia-Miranda, Nicolas; Poblete-Grant, Patricia; Jara, Alejandra; Bol, Roland; de la Luz Mora, Maria</t>
  </si>
  <si>
    <t>Describing Phosphorus Sorption Processes on Volcanic Soil in the Presence of Copper or Silver Engineered Nanoparticles</t>
  </si>
  <si>
    <t>MINERALS</t>
  </si>
  <si>
    <t>Engineered nanoparticles (ENPs) present in consumer products are being released into the agricultural systems. There is little information about the direct effect of ENPs on phosphorus (P) availability, which is an essential nutrient for crop growth naturally occurring in agricultural soils. The present study examined the effect of 1, 3, and 5% doses of Cu-0 or Ag-0 ENPs stabilized with L-ascorbic acid (suspension pH 2-3) on P ad- and desorption in an agricultural Andisol with total organic matter (T-OM) and with partial removal of organic matter (R-OM) by performing batch experiments. Our results showed that the adsorption kinetics data of H2PO4- on T-OM and R-OM soil samples with and without ENPs were adequately described by the pseudo-second-order (PSO) and Elovich models. The adsorption isotherm data of H2PO4- from T-OM and R-OM soil samples following ENPs addition were better fitted by the Langmuir model than the Freundlich model. When the Cu-0 or Ag-0 ENPs doses were increased, the pH value decreased and H2PO4- adsorption increased on T-OM and R-OM. The H2PO4- desorption (%) was lower with Cu-0 ENPs than Ag-0 ENPs. Overall, the incorporation of ENPs into Andisols generated an increase in P retention, which may affect agricultural crop production.</t>
  </si>
  <si>
    <t>Arancibia-Miranda, Nicolás/I-6743-2013; Bol, Roland/H-9324-2013; HERNANDEZ, JONATHAN/AAN-9953-2021; Mora Gil, Maria Luz/AAT-4081-2021; POBLETE-GRANT, PATRICIA/AAQ-7644-2020; Klumpp, Erwin/H-1382-2013</t>
  </si>
  <si>
    <t>SUAZO HERNANDEZ, JONATHAN MARCELO/0000-0003-2417-3494; bol, roland/0000-0003-3015-7706; Mora, Maria Luz/0000-0002-7474-1595; Poblete-Grant, Patricia/0000-0002-1166-5847; Klumpp, Erwin/0000-0002-4810-9414</t>
  </si>
  <si>
    <t>2075-163X</t>
  </si>
  <si>
    <t>10.3390/min11040373</t>
  </si>
  <si>
    <t>WOS:000643335700001</t>
  </si>
  <si>
    <t>Ojeda-Aravena, A; Azócar-Gallardo, J; Herrera-Valenzuela, T; García-García, JM</t>
  </si>
  <si>
    <t>Ojeda-Aravena, Alex; Azocar-Gallardo, Jairo; Herrera-Valenzuela, Tomas; Manuel Garcia-Garcia, Jose</t>
  </si>
  <si>
    <t>Relationship of Bilateral Asymmetry and Bilateral Deficit with the Change of Direction Speed in Cadet Karate Athletes: A Pilot Study</t>
  </si>
  <si>
    <t>Background: Bilateral asymmetry (AB) and Bilateral Deficit (DBL) and their potential negative relationship with physical performance is currently studied, although the relationship with change of direction speed (CODS) and linear sprint (5-M) in karate athletes is unknown. Aim: To examine correlations between AB and DBL with CODS and 5-M, as well as between horizontal jump with CODS and 5-M. Methods: Ten male cadet athletes voluntarily participated in this study. The physical abilities assessed included: bilateral horizontal jump (SBJ), right unilateral horizontal jump (RSBJ), left unilateral horizontal jump (LSBJ), CODS and 5-M. Subsequently, AB and DBL were calculated. Results: Low AB (5.17 +/- 3.61%) and presence of DBL (-36.9 +/- 6.2 %) were reported. Moderate correlations between AB with CODS (r = -.38; R-2 = .15%; p = .30) and 5-M (r = -.47; R-2 = .22%; p = .19) and between DBL with 5-M (r = .51; R-2 = .26%; p = .16) and low with CODS (r = .20; R-2 = .04%; p = .60). Significant correlations (p &lt; .05) between CODS with RSBJ (r = -.92; R-2 = .85%; p = .00), SBJ (r = -.87; R-2 = .75%; p = .00) and LSBJ (r = -.82; R-2 = .67%; p = .00). Conclusions:AB and DBL would be negatively related to CODS and 5-M. However, CODS is related to bilateral and unilateral horizontal explosive strength.</t>
  </si>
  <si>
    <t>Ojeda Aravena, Alex/JRF-5369-2023; Azócar-Gallardo, Jairo/AAR-3785-2021; Herrera-Valenzuela, Tomas/L-1819-2019</t>
  </si>
  <si>
    <t>WOS:000629970000001</t>
  </si>
  <si>
    <t>Valenzuela-Levi, N; Araya-Córdova, PJ; Dávila, S; Vásquez, OC</t>
  </si>
  <si>
    <t>Valenzuela-Levi, Nicolas; Araya-Cordova, Patricio J.; Davila, Sebastian; Vasquez, Oscar C.</t>
  </si>
  <si>
    <t>Promoting adoption of recycling by municipalities in developing countries: Increasing or redistributing existing resources?</t>
  </si>
  <si>
    <t>RESOURCES CONSERVATION AND RECYCLING</t>
  </si>
  <si>
    <t>It is usually assumed that income differences may affect recycling by shaping consumer demand. However, the recycling supply may depend on different variables such as area, inhabitants, municipal budget, financial regime, among others. All these factors translate into gaps regarding recycling achievements. In this paper, we study the problem of adoption recycling by municipalities from developing countries. In particular, we study the Santiago Metropolitan Area (Chile). Our research is based on qualitative interviews, quantitative data collection and mathematical modelling. We formulate an optimization model to analyse two policy options in municipal solid waste management (MSWM): increase or redistribution of existing resources. The obtained results show, first, that the concerns among key actors about MSWM can be translated into variables that are statistically significant in the quantitative models to predict probability of adopting recycling. Second, the analysed policy options have different impacts. The increase of the average probability for adoption by redistributing one percentage point of MSWM expenses, is similar to one-half percentage point increased in all municipalities. Third, neither redistribution nor overall resource increases would ensure adoption of recycling in the entire metropolitan area. Finally, we discuss the obtained results in light of qualitative interviews. The specific policy alternatives to implement resource increases are a landfill tax and rising council taxes: both seem politically unfeasible to actors from the MSWM sector. Using an innovative mixed-methods approach, we are able to illustrate both the importance of resource redistribution in the supply-side, and the institutional and political complexity of policy implementation.</t>
  </si>
  <si>
    <t>davila, sebastian/HSG-4377-2023; Valenzuela-Levi, Nicolás/ABA-9419-2020</t>
  </si>
  <si>
    <t>Valenzuela-Levi, Nicolas/0000-0003-1174-9976; Vasquez, Oscar C./0000-0002-1393-4692</t>
  </si>
  <si>
    <t>0921-3449</t>
  </si>
  <si>
    <t>1879-0658</t>
  </si>
  <si>
    <t>JAN</t>
  </si>
  <si>
    <t>10.1016/j.resconrec.2020.105173</t>
  </si>
  <si>
    <t>WOS:000592565500059</t>
  </si>
  <si>
    <t>Leiguarda, C; Potilinski, C; Rubione, J; Tate, P; Villar, MJ; Montaner, A; Bisagno, V; Constandil, L; Brumovsky, PR</t>
  </si>
  <si>
    <t>Leiguarda, Candelaria; Potilinski, Constanza; Rubione, Julia; Tate, Pablo; Villar, Marcelo J.; Montaner, Alejandro; Bisagno, Veronica; Constandil, Luis; Brumovsky, Pablo R.</t>
  </si>
  <si>
    <t>IMT504 Provides Analgesia by Modulating Cell Infiltrate and Inflammatory Milieu in a Chronic Pain Model</t>
  </si>
  <si>
    <t>JOURNAL OF NEUROIMMUNE PHARMACOLOGY</t>
  </si>
  <si>
    <t>IMT504 is a non-CPG, non-coding synthetic oligodeoxinucleotide (ODN) with immunomodulatory properties and a novel inhibitory role in pain transmission, exerting long-lasting analgesic effects upon multiple systemic administrations. However, its mechanisms of anti-nociceptive action are still poorly understood. In the present study in male adult rats undergoing complete Freund's adjuvant-induced hindpaw inflammation, we focused in the analysis of the immunomodulatory role of IMT504 over the cellular infiltrate, the impact on the inflammatory milieu, and the correlation with its anti-allodynic role. By means of behavioral analysis, we determined that a single subcutaneous administration of 6 mg/kg of IMT504 is sufficient to exert a 6-week-long full reversal of mechanical and cold allodynia, compromising neither acute pain perception nor locomotor activity. Importantly, we found that the anti-nociceptive effects of systemic IMT504, plus quick reductions in hindpaw edema, were associated with a modulatory action upon cellular infiltrate of B-cells, macrophages and CD8(+) T-cells populations. Accordingly, we observed a profound downregulation of several inflammatory leukocyte adhesion proteins, chemokines and cytokines, as well as of beta-endorphin and an increase in the anti-inflammatory cytokine, interleukin-10. Altogether, we demonstrate that at least part of the anti-nociceptive actions of IMT504 relate to the modulation of the peripheral immune system at the site of injury, favoring a switch from pro- to anti-inflammatory conditions, and provide further support to its use against chronic inflammatory pain. GA short description - IMT504 systemic Administration. Systemic administration of the non-CpG ODN IMT504 results in a 6-week long blockade of pain-like behavior in association with anti-inflammatory responses at the site of injury. These include modulation of lymphoid and myeloid populations plus downregulated expression levels of multiple pro-inflammatory cytokines and beta-endorphin. Nocifensive responses and locomotion remain unaltered.</t>
  </si>
  <si>
    <t>Villar, Marcelo/H-6596-2017; Brumovsky, Pablo/AAH-6903-2019</t>
  </si>
  <si>
    <t>Potilinski, Constanza/0000-0003-4116-5875; Constandil, Luis/0000-0002-2504-0119; Rubione, Julia/0000-0002-7119-8216</t>
  </si>
  <si>
    <t>1557-1890</t>
  </si>
  <si>
    <t>1557-1904</t>
  </si>
  <si>
    <t>10.1007/s11481-020-09971-2</t>
  </si>
  <si>
    <t>NOV 2020</t>
  </si>
  <si>
    <t>WOS:000591244200001</t>
  </si>
  <si>
    <t>Ojeda-Aravena, A; Herrera-Valenzuela, T; García-García, JM</t>
  </si>
  <si>
    <t>Ojeda-Aravena, Alex; Herrera-Valenzuela, Tomas; Manuel Garcia-Garcia, Jose</t>
  </si>
  <si>
    <t>Relationship between Body Composition characteristics and Physical Performance in male karate athletes: An observational study</t>
  </si>
  <si>
    <t>REVISTA ESPANOLA DE NUTRICION HUMANA Y DIETETICA</t>
  </si>
  <si>
    <t>Introduction: The purpose of this study was to examine the relationship between body composition characteristics and components of physical performance in male karate athletes from Chile. Material and Methods: Observational design with 18 male athletes competing in different age categories in regional and national competitions. Body Mass (MC), Fat Mass (MG), % Fat Mass (%MG), Muscle Mass (MM), Squat Jump (SJ), Countermovement Jump (CMJ), linear speed at 0-5 meters, Change of Direction (COD) and the 20 Meters Shuttle Run (20MSR) test were evaluated. Results: The sample was made up of 18 athletes with the following characteristics: 16.4 (3.5) years; 167.3 (7.3) cm; 69.5 (11.8) kg; 3 (1) years of experience regularly. Among the main findings of this study in terms of average, an increase in MC and MM was documented as age advances. MG fluctuated and a lower MG and %MG were documented in the 6-17 years category. In terms of the physical performance (RF) in SJ, CMJ, COD, superior performance was observed in the 16-17 years category. Furthermore, significant relationships (p&lt;0.05) were documented between MG and SJ (r=-0.49), CMJ (r=-0.55) and 10-M (r=0.53). So also between %MG and SJ (r=-0.61), CMJ (r=-0.64). As moderate to low relationships were documented between the MM and the variables analyzed. Conclusions: The data from the present study show that fat mass and % fat mass will be related more than muscle mass and body mass with physical performance in youth karate athletes. Coaches may consider strategies to decrease fat mass and maintain muscle mass to optimize performance in karate athletes.</t>
  </si>
  <si>
    <t>Herrera-Valenzuela, Tomas/L-1819-2019; Garcia-Garcia, Jose/P-9163-2019; Ojeda Aravena, Alex/KRQ-5703-2024</t>
  </si>
  <si>
    <t>Ojeda-Aravena, Alex/0000-0002-2406-9622</t>
  </si>
  <si>
    <t>2173-1292</t>
  </si>
  <si>
    <t>2174-5145</t>
  </si>
  <si>
    <t>10.14306/renhyd.24.4.1074</t>
  </si>
  <si>
    <t>WOS:000605104100008</t>
  </si>
  <si>
    <t>Nespolo, RF; Solano-Iguaran, JJ; Paleo-López, R; Quintero-Galvis, JF; Cubillos, FA; Bozinovic, F</t>
  </si>
  <si>
    <t>Nespolo, Roberto F.; Solano-Iguaran, Jaiber J.; Paleo-Lopez, Rocio; Quintero-Galvis, Julian F.; Cubillos, Francisco A.; Bozinovic, Francisco</t>
  </si>
  <si>
    <t>Performance, genomic rearrangements, and signatures of adaptive evolution: Lessons from fermentative yeasts</t>
  </si>
  <si>
    <t>ECOLOGY AND EVOLUTION</t>
  </si>
  <si>
    <t>The capacity of some yeasts to extract energy from single sugars, generating CO2 and ethanol (=fermentation), even in the presence of oxygen, is known as the Crabtree effect. This phenomenon represents an important adaptation as it allowed the utilization of the ecological niche given by modern fruits, an abundant source of food that emerged in the terrestrial environment in the Cretaceous. However, identifying the evolutionary events that triggered fermentative capacity in Crabtree-positive species is challenging, as microorganisms do not leave fossil evidence. Thus, key innovations should be inferred based only on traits measured under culture conditions. Here, we reanalyzed data from a common garden experiment where several proxies of fermentative capacity were recorded in Crabtree-positive and Crabtree-negative species, representing yeast phylogenetic diversity. In particular, we applied the lasso-OU algorithm which detects points of adaptive shifts, using traits that are proxies of fermentative performance. We tested whether multiple events or a single event explains the actual fermentative capacity of yeasts. According to the lasso-OU procedure, evolutionary changes in the three proxies of fermentative capacity that we considered (i.e., glycerol production, ethanol yield, and respiratory quotient) are consistent with a single evolutionary episode (a whole-genomic duplication, WGD), instead of a series of small genomic rearrangements. Thus, the WGD appears as the key event behind the diversification of fermentative yeasts, which by increasing gene dosage, and maximized their capacity of energy extraction for exploiting the new ecological niche provided by single sugars.</t>
  </si>
  <si>
    <t>Cubillos, Francisco/MIT-2389-2025; Quintero-Galvis, Julian F./D-5226-2017; Solano Iguaran, Jaiber Julian/O-8317-2015; Cubillos, Francisco/G-5195-2019; Nespolo, Roberto/D-5601-2015</t>
  </si>
  <si>
    <t>Quintero-Galvis, Julian F./0000-0001-9337-0606; Solano Iguaran, Jaiber Julian/0000-0002-1319-8568; Cubillos, Francisco/0000-0003-3022-469X; Nespolo, Roberto/0000-0003-0825-9618; Bozinovic, Francisco/0000-0003-3870-9624</t>
  </si>
  <si>
    <t>2045-7758</t>
  </si>
  <si>
    <t>10.1002/ece3.6208</t>
  </si>
  <si>
    <t>JUN 2020</t>
  </si>
  <si>
    <t>WOS:000536987400001</t>
  </si>
  <si>
    <t>Langner, J; Gidhagen, L; Bergström, R; Gramsch, E; Oyola, P; Reyes, F; Segersson, D; Aguilera, C</t>
  </si>
  <si>
    <t>Langner, Joakim; Gidhagen, Lars; Bergstrom, Robert; Gramsch, Ernesto; Oyola, Pedro; Reyes, Felipe; Segersson, David; Aguilera, Claudio</t>
  </si>
  <si>
    <t>Model-simulated Source Contributions to PM2.5 in Santiago and the Central Region of Chile</t>
  </si>
  <si>
    <t>AEROSOL AND AIR QUALITY RESEARCH</t>
  </si>
  <si>
    <t>The contributions to PM2.5 from different emission sectors across central Chile and the Santiago metropolitan area during summer/fall and winter have been evaluated using a chemical transport model. The simulations generally underestimate the mean PM2.5 concentrations compared to measurements conducted at stations in Santiago that belong to the Chilean National Air Quality Information System (SINCA). The potential reasons for this discrepancy include underestimated direct PM2.5 emissions, missing emissions for semi- and intermediately volatile organic compounds (SVOCs and IVOCs) and overestimated wind speeds in the simulations. The simulated winter PM2.5 concentrations in Santiago are lower and higher than the values observed during nighttime, and daytime and late evening, respectively, which may be related to excessive simulated wind speeds, as well as to uncertainties in the diurnal variation in the emissions. During summer/fall, the simulated diurnal variation better agrees with the observations, but the peak concentrations during the morning are underestimated, whereas those during the evening are overestimated. The simulated contributions of different aerosol components to the PM2.5 at one station in Santiago are all lower than the observed values, except for elemental carbon equivalent black carbon (BCe), which exhibit comparable or higher levels in the simulations. The absolute differences are the largest for the total organic matter, whereas the relative differences are the largest for BCe and ammonium. The simulated sector contributions indicate that emissions originating from transport and construction machinery dominate the PM2.5 in Santiago; however, residential wood combustion is the primary source in other urban areas of central Chile, except near major point sources. Away from urban areas, traffic routes and major industrial sources, secondary inorganic aerosol (SIA) is estimated to be the largest component of the aerosol, whereas the simulated secondary organic aerosol (SOA) only contributes a small fraction.</t>
  </si>
  <si>
    <t>Segersson, David/AAP-3056-2021; Bergstrom, Robert/D-6249-2014; Gramsch, Ernesto/M-5507-2017</t>
  </si>
  <si>
    <t>Bergstrom, Robert/0000-0003-2910-747X; Gramsch, Ernesto/0000-0002-6787-7355; Segersson, David/0000-0002-5935-962X</t>
  </si>
  <si>
    <t>1680-8584</t>
  </si>
  <si>
    <t>2071-1409</t>
  </si>
  <si>
    <t>10.4209/aaqr.2019.08.0374</t>
  </si>
  <si>
    <t>WOS:000530887900019</t>
  </si>
  <si>
    <t>Arnold, J; Martínez, W; Oksenberg, S; Oksenberg, D</t>
  </si>
  <si>
    <t>Arnold, Jorge; Martinez, Waldo; Oksenberg, Sebastian; Oksenberg, Danny</t>
  </si>
  <si>
    <t>Acute pancreatitis due to hypercalcemia during pregnancy. Report of one case</t>
  </si>
  <si>
    <t>REVISTA MEDICA DE CHILE</t>
  </si>
  <si>
    <t>Acute pancreatitis during pregnancy is uncommon and usually associated with gallstones. However other etiologies must be considered. We report a 24 years old woman with a 32 weeks pregnancy consulting for abdominal pain, nausea and vomiting. She had elevated lipase and amylase levels, a corrected serum calcium of 13.1 mg/dl and a serum phosphate of 1.6 mg/dl. A magnetic resonance colangiopancreatography showed an enlarged pancreas with inflammatory changes and a normal Wirsung duct. A parathyroid nodule was found on cervical ultrasonography. The patient was treated initially with cinacalcet with partial response. A parathyroidectomy was performed at 39 weeks of pregnancy with a good maternal and fetal evolution.</t>
  </si>
  <si>
    <t>0034-9887</t>
  </si>
  <si>
    <t>0717-6163</t>
  </si>
  <si>
    <t>AUG</t>
  </si>
  <si>
    <t>WOS:000493302200018</t>
  </si>
  <si>
    <t>Mokrane, A; Boutaous, M; Xin, SH; Siginer, D</t>
  </si>
  <si>
    <t>ASME</t>
  </si>
  <si>
    <t>Mokrane, Aoulaiche; Boutaous, M'hamed; Xin, Shihe; Siginer, Dennis</t>
  </si>
  <si>
    <t>3D MODELING OF THE THERMAL PHENOMENA DURING LASER MELTING OF POLYMERS</t>
  </si>
  <si>
    <t>PROCEEDINGS OF THE ASME INTERNATIONAL MECHANICAL ENGINEERING CONGRESS AND EXPOSITION, 2018, VOL 7</t>
  </si>
  <si>
    <t>ASMEInternational Mechanical Engineering Congress and Exposition (IMECE2018)</t>
  </si>
  <si>
    <t>NOV 09-15, 2018</t>
  </si>
  <si>
    <t>Pittsburgh, PA</t>
  </si>
  <si>
    <t>Amer Soc Mech Engineers</t>
  </si>
  <si>
    <t>A comprehensive model of the selective laser sintering (SLS) process at the scale of the part is presented for application to polymeric powders. The powder bed is considered as a continuous medium with homogenized properties. A thermal model with detailed multiphysics coupling is presented. The model accounts for all elements of the thermal history : laser absorption, melting, coalescence, densification and volume shrinkage. For numerical resolution, a 3D in-house fortran code using FV method is developed. The proposed model is validated through the comparison of modeling data with experimental results available in the published literature. A parametric analysis about the thermal efficiency of the heating process against the laser energy input is proposed and the influence on the densification and thermal kinetics is discussed with regarding the evolution of the structure of the material.</t>
  </si>
  <si>
    <t>978-0-7918-5210-1</t>
  </si>
  <si>
    <t>V007T09A041</t>
  </si>
  <si>
    <t>WOS:000465191000041</t>
  </si>
  <si>
    <t>Ponce, HR; Mayer, RE; López, MJ; Loyola, MS</t>
  </si>
  <si>
    <t>Ponce, Hector R.; Mayer, Richard E.; Lopez, Mario J.; Loyola, Maria Soledad</t>
  </si>
  <si>
    <t>Adding interactive graphic organizers to a whole-class slideshow lesson</t>
  </si>
  <si>
    <t>INSTRUCTIONAL SCIENCE</t>
  </si>
  <si>
    <t>This study examines the effects of including interactive graphic organizers into a whole-class PowerPoint lesson as an instructional approach intended to improve student engagement and generative learning in schools. A software application was developed and integrated into PowerPoint that makes it possible for the instructor to fill in empty graphic organizers during PowerPoint projection mode. The participants were 152 fourth-grade students selected from three schools that were grouped in four classrooms. Each classroom was divided in two groupsgraphic organizer and content-based. The graphic organizer group was taught using an 11-slide PowerPoint presentation on a social study topic that included two empty graphic organizers plus two additional slides explaining how to make a comparison. The content-based group was taught using the same presentation but without these additional slides plus a set of questions students had to answer as a class activity. The lessons were recorded and the verbal statements between instructor and students examined using the Flanders Interaction Analysis System. Results indicated significant differences in how instructors and students interacted in each group, including more questions asked by teachers (d = 1.99) and more students participating in the classroom discussion in the graphic organizer group (d = 1.76). Learning outcomes showed that the graphic organizer group outperformed the content-based group on a memory test (d = .45) and a comprehension test (d = .44). These results encourage the use of graphic organizers as an instructional approach, and are consistent with a generative theory of learning.</t>
  </si>
  <si>
    <t>Mayer, Richard/ACN-3384-2022; Ponce, Hector/H-9545-2019</t>
  </si>
  <si>
    <t>Lopez, Mario/0000-0003-0909-7702; Loyola, Maria Soledad/0000-0003-1418-558X; Ponce, Hector R./0000-0002-7984-3945</t>
  </si>
  <si>
    <t>0020-4277</t>
  </si>
  <si>
    <t>1573-1952</t>
  </si>
  <si>
    <t>10.1007/s11251-018-9465-1</t>
  </si>
  <si>
    <t>WOS:000450933800007</t>
  </si>
  <si>
    <t>Hàn, H; Rödl, V; Szabó, T</t>
  </si>
  <si>
    <t>Han, Hiep; Rodl, Vojtech; Szabo, Tibor</t>
  </si>
  <si>
    <t>VERTEX FOLKMAN NUMBERS AND THE MINIMUM DEGREE OF MINIMAL RAMSEY GRAPHS</t>
  </si>
  <si>
    <t>SIAM JOURNAL ON DISCRETE MATHEMATICS</t>
  </si>
  <si>
    <t>We investigate the smallest possible minimum degree of r-color minimal Ramsey graphs for the k-clique. In particular, we obtain a bound of the form O(k(2) log(2) k), which is tight up to a (log(2) k)-factor whenever the number r &gt;= 2 of colors is fixed. This extends the work of Burr, Erdos, and Lovasz, who determined this extremal value for two colors and any clique size, and complements that of Fox, Grinshpun, Liebenau, Person, and Szabo, who gave essentially tight bounds when the order k of the clique is fixed. As a side product our result also yields an improved upper bound on the vertex Folkman number F (r, k, k + 1) of the k-clique. The proof relies on a reformulation of the corresponding extremal function by Fox et al. and combines and re fines methods used by Dudek, Eaton, and Rodl.</t>
  </si>
  <si>
    <t>Han, Hiep/IVV-0527-2023</t>
  </si>
  <si>
    <t>Han, Hiep/0000-0001-7757-7244</t>
  </si>
  <si>
    <t>0895-4801</t>
  </si>
  <si>
    <t>1095-7146</t>
  </si>
  <si>
    <t>10.1137/17M1116696</t>
  </si>
  <si>
    <t>WOS:000436975900002</t>
  </si>
  <si>
    <t>Boutaous, M; Refaa, Z; Xin, SH; Siginer, DA</t>
  </si>
  <si>
    <t>Boutaous, M'hamed; Refaa, Zakariaa; Xin, Shihe; Siginer, Dennis A.</t>
  </si>
  <si>
    <t>UNDERSTANDING THE CRYSTALLIZATION OF PLA EFFECTS OF TEMPERATURE AND SHEARING CONDITIONS</t>
  </si>
  <si>
    <t>PROCEEDINGS OF THE ASME INTERNATIONAL MECHANICAL ENGINEERING CONGRESS AND EXPOSITION, 2016, VOL. 7</t>
  </si>
  <si>
    <t>ASME International Mechanical Engineering Congress and Exposition (IMECE2016)</t>
  </si>
  <si>
    <t>NOV 11-17, 2016</t>
  </si>
  <si>
    <t>Phoenix, AZ</t>
  </si>
  <si>
    <t>Processing conditions of polymers governs the final part properties; in fact the thermomechanical history subjected by the polymer affects directly the crystalline microstructure and the crystallinity. In this work we aim to draw a global view about the crystallization kinetics and crystalline morphology of Polylactide (PLA). Unfortunately, the crystallization kinetics of PLA is very slow and limits the possibility to extend its application in several industrials domains. The enhancement of the PLA crystallization kinetic can be obtained by addition of nucleating agents of by ordering the molecular chains during flow, as in processing conditions. In this paper, we propose to highlight the competition between several parameters, as the shear rate, the temperature kinetics and the shearing time.</t>
  </si>
  <si>
    <t>REFAA, Zakariaa/AAA-1763-2020</t>
  </si>
  <si>
    <t>978-0-7918-5061-9</t>
  </si>
  <si>
    <t>V007T09A030</t>
  </si>
  <si>
    <t>WOS:000400877800030</t>
  </si>
  <si>
    <t>Gómez, F; Barrientos, J; Cárdenas, M</t>
  </si>
  <si>
    <t>Gomez, Fabiola; Barrientos, Jaime; Cardenas, Manuel</t>
  </si>
  <si>
    <t>Relation between HIV status, risky sexual behavior, and mental health in an MSM sample from three Chilean cities</t>
  </si>
  <si>
    <t>REVISTA PANAMERICANA DE SALUD PUBLICA-PAN AMERICAN JOURNAL OF PUBLIC HEALTH</t>
  </si>
  <si>
    <t>Objective. To explore the association among HIV status; negative psychological symptoms (anxiety, depression, and hostility); and risky sexual behaviors (multiple sexual partners and unprotected sexual intercourse) in a Chilean sample of men who have sex with men (MSM). Methods. This study had a cross-sectional design and a sample of 325 MSM whose ages ranged from 18 to 64 years (mean: 30.8; standard deviation: 9.8). Association tests (chi-squared) and group mean comparisons (Student's t-tests and F-tests) were performed. Results. No statistically significant differences were found for condom use or for the number of sexual partners between HIV-positive men and those who are not infected. In both groups, about 50% reported sexual encounters without condom use in the past six months. There were statistically significant differences in symptoms associated with depression between the two groups. Conclusions. These results reveal the need to strengthen messages about the importance of condom use, as the only way to prevent HIV, and as a means of preventing HIV infection and reinfection, in national prevention and self-care programs for sexually active subjects. More studies are needed in Latin America to advance HIV prevention efforts for the MSM population. The data generated by this study can be used to inform the development of HIV prevention programming strategies and interventions targeting the MSM population in Latin America.</t>
  </si>
  <si>
    <t>1020-4989</t>
  </si>
  <si>
    <t>e4</t>
  </si>
  <si>
    <t>WOS:000404644600019</t>
  </si>
  <si>
    <t>Fonseca, C; Ochoa, A; Ulloa, MT; Alvarez, E; Canales, D; Zapata, PA</t>
  </si>
  <si>
    <t>Fonseca, Carmen; Ochoa, Almudena; Teresa Ulloa, Maria; Alvarez, Eduardo; Canales, Daniel; Zapata, Paula A.</t>
  </si>
  <si>
    <t>Poly(lactic acid)/TiO2 nanocomposites as alternative biocidal and antifungal materials</t>
  </si>
  <si>
    <t>MATERIALS SCIENCE &amp; ENGINEERING C-MATERIALS FOR BIOLOGICAL APPLICATIONS</t>
  </si>
  <si>
    <t>Poly(lactic acid) (PLA) composites with titanium oxide (TiO2) similar to 10-nm nanoparticles were produced by the melting process and their main properties were evaluated. The nanoparticles are homogeneously dispersed in the matrix with a low degree of agglomeration, as seen by transmission electron microscopy (TEM). The crystallinity temperature increased similar to 12% when 5 wt.% of TiO2 was added, showing that the nanoparticles acted as nucleating agents this trend was confirmed by optical images. The elastic modulus increased similar to 54% compared to neat PIA at 5 wt.% of nanoparticles. Despite these improvements, PLA/TiO2 nanocomposites showed lower shear viscosity than neat PIA, possibly reflecting degradation of the polymer due to the particles. Regarding biocidal properties, after 2 h of contact the PLA/TiO2 composites with 8 wt% TiO2 showed a reduction of Escherichia colt colonies of similar to 82% under no UVA irradiation compared to pure PIA This biocidal characteristic can be increased under UVA irradiation, with nanocomposites containing 8 wt.%TiO2 killing 94% of the bacteria. The PLA/TiO2 nanocomposites with 8 wt.% were also 99.99% effective against Aspergillus fumigatus under the UVA irradiation. (C) 2015 Elsevier B.V. All rights reserved.</t>
  </si>
  <si>
    <t>Canales Arévalo, Daniel/HSG-6748-2023; Duarte, Eduardo/Q-7341-2019; Alvarez Duarte, Eduardo/F-3174-2013</t>
  </si>
  <si>
    <t>Alvarez Duarte, Eduardo/0000-0001-6117-7916; Zapata, Paula Andrea/0000-0003-3361-6226; Canales, Daniel A./0000-0002-2691-6864</t>
  </si>
  <si>
    <t>0928-4931</t>
  </si>
  <si>
    <t>1873-0191</t>
  </si>
  <si>
    <t>10.1016/j.msec.2015.07.069</t>
  </si>
  <si>
    <t>WOS:000361779400038</t>
  </si>
  <si>
    <t>Adura, C; Guzman, F; Alvarez-Lueje, A; Kogan, MJ</t>
  </si>
  <si>
    <t>Adura, Carolina; Guzman, Fanny; Alvarez-Lueje, Alejandro; Kogan, Marcelo J.</t>
  </si>
  <si>
    <t>ION PAIR METHOD TO DETERMINE THE CTAB CONTENT IN GOLD NANORODS SAMPLES</t>
  </si>
  <si>
    <t>JOURNAL OF THE CHILEAN CHEMICAL SOCIETY</t>
  </si>
  <si>
    <t>In this work, we report a fast and accessible method for quantification of cetyltrimethylammonium bromide (CTAB) in solutions of gold nanorods (GNRs) by bromophenol blue (BPB) ion-paring formation and spectrophotometric detection. The ion-par method used to quantify CTAB exhibited adequate figures of merit and was applied to the quantification of CTAB present in solutions of GNRs-CTAB and in GNRs-CLPFFD samples obtained by the seed growth method. This type of methodology could be extensive to others surfactants employed for the synthesis of nanoparticles. In addition, this method allows screening CTAB in GNRs samples and consequently would help to know if CTAB concentration is lower than an acceptable cut-off for cell viability analysis.</t>
  </si>
  <si>
    <t>kogan, Marcelo/I-2868-2013; Guzman, Fanny/K-5592-2013; Alvarez-Lueje, Alejandro/N-3707-2019</t>
  </si>
  <si>
    <t>Kogan, Marcelo/0000-0003-0608-5087</t>
  </si>
  <si>
    <t>0717-9707</t>
  </si>
  <si>
    <t>10.4067/S0717-97072014000400015</t>
  </si>
  <si>
    <t>WOS:000347834700014</t>
  </si>
  <si>
    <t>Guerrero, L; Chamy, R; Jeison, D; Montalvo, S; Huiliñir, C</t>
  </si>
  <si>
    <t>Guerrero, Lorna; Chamy, Rolando; Jeison, David; Montalvo, Silvio; Huilinir, Cesar</t>
  </si>
  <si>
    <t>Behavior of the anaerobic treatment of tannery wastewater at different initial pH values and sulfate concentrations</t>
  </si>
  <si>
    <t>JOURNAL OF ENVIRONMENTAL SCIENCE AND HEALTH PART A-TOXIC/HAZARDOUS SUBSTANCES &amp; ENVIRONMENTAL ENGINEERING</t>
  </si>
  <si>
    <t>The influence of initial pH and sulfate concentration on the anaerobic digestion of tannery wastewater was studied using the specific methanogenic activity (SMA) test. The SMA tests were performed with a chemical oxygen demand (COD) concentration of 6.5g/L and SO2 4 concentrations of 1.95, 3.90, 6.50, 8.45 and 10.4g/L. The effect of pH was studied at pH 6.8; 6.4 and 6.1. It was found that methane production took place under all conditions, but the use of SO2 4 concentrations higher than 8.45g/L and initial pH levels lower than 6.4 caused a decrease of up to 73% of methane production. The influence of pH was significant only for SO2 4 concentrations lower than 8.45g/L, with up to 50% inhibition. Specific methanogenic activity for COD/SO2 4 ratios lower than 0.77 depends basically on this ratio and not on the initial pH value under the conditions of the study.</t>
  </si>
  <si>
    <t>Chamy, Rolando/M-3124-2014; Huilinir, Cesar/IYS-6899-2023; Jeison, David/M-5313-2017</t>
  </si>
  <si>
    <t>Chamy, Rolando/0000-0001-8718-9173; Huilinir, Cesar/0000-0002-3487-684X; Jeison, David/0000-0002-2234-8257</t>
  </si>
  <si>
    <t>1093-4529</t>
  </si>
  <si>
    <t>10.1080/10934529.2013.773827</t>
  </si>
  <si>
    <t>WOS:000317341700009</t>
  </si>
  <si>
    <t>Guzmán, D; Rivera, O; Aguilar, C; Ordoñez, S; Martínez, C; Serafini, D; Rojas, P</t>
  </si>
  <si>
    <t>Guzman, Danny; Rivera, Oscar; Aguilar, Claudio; Ordonez, Stella; Martinez, Carola; Serafini, Daniel; Rojas, Paula</t>
  </si>
  <si>
    <t>Mechanical alloying and subsequent heat treatment of Ag-Zn powders</t>
  </si>
  <si>
    <t>TRANSACTIONS OF NONFERROUS METALS SOCIETY OF CHINA</t>
  </si>
  <si>
    <t>Microstractural evolution during mechanical alloying of Ag and Zn, and subsequent heat treatments were investigated. The mechanical alloying was carried out in a SPEX 8000D miller. The microstructural characterization was obtained by X-ray diffraction (XRD), transmission electron microscopy (TEM) and scanning electron microscopy (SEM). The thermal behavior was studied using differential scanning calorimetry (DSC). Based on the results obtained, it can be concluded that at the early stages of milling was possible to detect the epsilon, beta, beta', alpha solid solutions and remaining Zn. Later, the epsilon, beta, beta' and Zn phases disappeared while the Zn concentration of the alpha solid solution was strongly increased. After 7.2 ks of milling, the mechanical alloying process reached a steady state. During this period, both the composition and crystallite size of the alpha solid solution remained practically unchanged. On the other hand, subsequent heat treatments of milled powders showed that the alpha solid solution could also be obtained by the combination of mechanical alloying and heat treatment. Finally, the evolution of the microstructure during milling and annealing was combined to propose an optimal processing route in order to obtain a alpha solid solution.</t>
  </si>
  <si>
    <t>Aguilar, Claudio/B-6774-2011; Rojas, Paula/AFS-1987-2022; Martinez Ugalde, Carola/P-5399-2018</t>
  </si>
  <si>
    <t>Rivera Li Kao, Oscar/0000-0002-6146-9828; Rojas, Paula/0000-0002-2529-993X; Serafini, Daniel/0000-0002-1764-5900; Aguilar, Claudio/0000-0002-9013-5835; Guzman Mendez, Danny/0000-0002-8020-9247; Martinez Ugalde, Carola/0000-0001-5247-6703</t>
  </si>
  <si>
    <t>1003-6326</t>
  </si>
  <si>
    <t>2210-3384</t>
  </si>
  <si>
    <t>JUL</t>
  </si>
  <si>
    <t>10.1016/S1003-6326(13)62698-9</t>
  </si>
  <si>
    <t>WOS:000325599600028</t>
  </si>
  <si>
    <t>Hernández, AJ; Román, D; Hooft, J; Cofre, C; Cepeda, V; Vidal, R</t>
  </si>
  <si>
    <t>Hernandez, A. J.; Roman, D.; Hooft, J.; Cofre, C.; Cepeda, V.; Vidal, R.</t>
  </si>
  <si>
    <t>Growth performance and expression of immune-regulatory genes in rainbow trout (Oncorhynchus mykiss) juveniles fed extruded diets with varying levels of lupin (Lupinus albus), peas (Pisum sativum) and rapeseed (Brassica napus)</t>
  </si>
  <si>
    <t>AQUACULTURE NUTRITION</t>
  </si>
  <si>
    <t>Varying levels of lupin (Lupinus albus), peas (Pisum sativum) and rapeseed (Brassica napus) meals were evaluated as partial replacements for fishmeal in extruded diets for rainbow trout, with particular emphasis on the effect on growth performance and the expression of three genes associated with immune response. A series of 10 isonitrogenous (450gkg1 crude protein) and isolipidic (17gkg1 crude lipid) diets were formulated to contain different levels of lupin (150gkg1, 250gkg1 and 350gkg1), rapeseed cake (100gkg1, 200gkg1 and 300gkg1) and pea (50gkg1, 150gkg1 and 250gkg1) meals. The control diet was prepared with fish meal as the sole source of protein. Triplicate groups of fish (37.08 +/- 3.58g) were assigned to each experimental diet. The feeding experiment was conducted for 9weeks at 14.3 +/- 0.4 degrees C. The fish were hand fed three times per day, 6days per week to apparent satiation level. Growth performance, feed utilization and immunological response were significantly affected by the type of plant protein as well as level of inclusion. Hepatosomatic index (HSI) increased in all groups of fish fed diets with pea and rapeseed cake meal. Dietary inclusion of lupin did not affect the expression of Mx-1 gene. Our results suggest that fish meal can be replaced by lupin in the diet of rainbow trout without any apparent adverse effects on key innate immunological genes.</t>
  </si>
  <si>
    <t>Hooft, Jeanin/AAT-3600-2020; Hernandez Arias, Adrian J./M-9374-2018</t>
  </si>
  <si>
    <t>Hernandez Arias, Adrian J./0000-0002-8209-2994</t>
  </si>
  <si>
    <t>1353-5773</t>
  </si>
  <si>
    <t>1365-2095</t>
  </si>
  <si>
    <t>10.1111/j.1365-2095.2012.00961.x</t>
  </si>
  <si>
    <t>WOS:000318278300009</t>
  </si>
  <si>
    <t>Ponce, HR; López, MJ; Mayer, RE</t>
  </si>
  <si>
    <t>Ponce, Hector R.; Lopez, Mario J.; Mayer, Richard E.</t>
  </si>
  <si>
    <t>Instructional effectiveness of a computer-supported program for teaching reading comprehension strategies</t>
  </si>
  <si>
    <t>COMPUTERS &amp; EDUCATION</t>
  </si>
  <si>
    <t>This article examines the effectiveness of a computer-based instructional program (e-PELS) aimed at direct instruction in a collection of reading comprehension strategies. In e-PELS, students learn to highlight and outline expository passages based on various types of text structures (such as comparison or cause-and-effect) as well as to paraphrase, self-question, and summarize. The study involved 1041 fourth-grade elementary students from 21 schools distributed in three regions in central Chile. Participant teachers integrated this program into the Spanish language curriculum, instructing their students during thirty sessions of 90 min each during one school semester. Pretest-to-posttest gains in reading comprehension scores were significantly greater for students instructed with this program than for students who received traditional instruction (d = .5), with particularly strong effects for lower-achieving students (d = .7). The findings support the efficacy of direct instruction in specific learning strategies in a computer-based environment. (C) 2012 Elsevier Ltd. All rights reserved.</t>
  </si>
  <si>
    <t>Ponce, Hector/H-9545-2019; Mayer, Richard/ACN-3384-2022</t>
  </si>
  <si>
    <t>Lopez, Mario/0000-0003-0909-7702; Ponce, Hector R./0000-0002-7984-3945</t>
  </si>
  <si>
    <t>0360-1315</t>
  </si>
  <si>
    <t>1873-782X</t>
  </si>
  <si>
    <t>10.1016/j.compedu.2012.05.013</t>
  </si>
  <si>
    <t>WOS:000309307300010</t>
  </si>
  <si>
    <t>Contreras, TE; Figueroa, JA; Abarca, L; Castro, SA</t>
  </si>
  <si>
    <t>Contreras, Tomas E.; Figueroa, Javier A.; Abarca, Luis; Castro, Sergio A.</t>
  </si>
  <si>
    <t>Fire regimen and spread of plants naturalized in central Chile</t>
  </si>
  <si>
    <t>REVISTA CHILENA DE HISTORIA NATURAL</t>
  </si>
  <si>
    <t>Setting fires is an old practice of land management in the Mediterranean region of central Chile. Fire in the region is currently of predominantly human origin and previously published material suggests that the scheduling of these activities is associated with the spread of naturalized exotic species. Research into the effects of fire on both native and exotic Mediterranean vegetation in central Chile has increased notably over recent years. The objective of our review is to highlight new knowledge in this area of research from the last 30 years and to contribute to systematization and an explicit conceptual model which takes into account the effect of a fire regimen on the spread of exotic plants and the mechanisms involved. We begin with analyses of the fire regimen which is currently observed in one Region of central Chile and a subsequent exploration of the literature to identify the attributes mainly of the germination of seeds which are sensitive to fire and which apply to the exotic species that are abundantly naturalized in central Chile. According to the studies consulted, diverse mechanisms have been described which involve the effect of fire on the spread of exotic plants in central Chile. Life-history traits, tolerance, facilitation, and positive feedback between exotic plants and fire frequency have been mechanisms reported in the literature. Finally, we propose a conceptual model which represents dispersal assisted by humans of exotic species and the spread of species naturalized by the effect of fire regimens, which helps explain the composition and structure of the matorral of central Chile in an early successional state.</t>
  </si>
  <si>
    <t>Figueroa, Javier/I-3451-2019</t>
  </si>
  <si>
    <t>0716-078X</t>
  </si>
  <si>
    <t>0717-6317</t>
  </si>
  <si>
    <t>10.4067/S0716-078X2011000300001</t>
  </si>
  <si>
    <t>WOS:000298514900001</t>
  </si>
  <si>
    <t>Sotomayor, SM; Atenas, GM; Garcia-Garcia, F; Valenzuela, M; Valero, E; Díaz, O</t>
  </si>
  <si>
    <t>Montes Sotomayor, Sergio; Atenas, Gonzalo Montes; Garcia-Garcia, Francisco; Valenzuela, Manuel; Valero, Eduardo; Diaz, Oscar</t>
  </si>
  <si>
    <t>Evaluation of an Adsorption-Desorption Process for Concentrating Heavy Metal Ions from Acidic Wastewaters</t>
  </si>
  <si>
    <t>ADSORPTION SCIENCE &amp; TECHNOLOGY</t>
  </si>
  <si>
    <t>Pine bark is a substrate which allows the attachment and de-activation of heavy metal ions, thereby cleansing the host solution. The present work was aimed at studying the removal of binary heavy metal ions from aqueous solutions using pine bark and to explore the possibility of elution as a subsequent stage for releasing and concentrating the metal ions. The application of the method to the cases of Cu(II) and Zn(II) ions is presented. The adsorption of each metal ion separately from binary mixtures onto pine bark was studied. Subsequently, the loaded bark was used to perform elution experiments leading to the concentration of the metal ions and their further retrieval. Tests showed that the adsorption capacity of pine bark towards Cu(II) and Zn(H) ions from a mixture of the same in aqueous solution was almost 0.35 mmol metal ion/g dry bark. The same value was obtained by adding the individual adsorption capacities, determined when each metal ion was adsorbed separately. Cyclic percolation processes resulted in the concentration of the metal ions, showing increases of almost 20- and 10-times for Cu(II) and Zn(II) ions, respectively.</t>
  </si>
  <si>
    <t>Diaz, Oscar/D-2822-2011; Valenzuela, Miryam/AAC-1073-2020; Montes Atenas, Gonzalo/H-4162-2018; Garcia-Garcia, Francisco J./P-4199-2014</t>
  </si>
  <si>
    <t>Montes Atenas, Gonzalo/0000-0001-9393-2015; Garcia-Garcia, Francisco J./0000-0001-5384-8249</t>
  </si>
  <si>
    <t>0263-6174</t>
  </si>
  <si>
    <t>2048-4038</t>
  </si>
  <si>
    <t>10.1260/0263-6174.27.5.513</t>
  </si>
  <si>
    <t>WOS:000274213900006</t>
  </si>
  <si>
    <t>Romero, V; Cerda, E; Witten, TA; Liang, T</t>
  </si>
  <si>
    <t>Romero, Victor; Cerda, Enrique; Witten, T. A.; Liang, Tao</t>
  </si>
  <si>
    <t>Force focusing in confined fibres and sheets</t>
  </si>
  <si>
    <t>JOURNAL OF PHYSICS D-APPLIED PHYSICS</t>
  </si>
  <si>
    <t>A thin fibre or sheet curled into a circular container has a detached region whose shape and force ratios are independent of material properties and container radius. We compute this shape and compare it with experiments. The discrete forces acting at either end of the detached region have a ratio that depends only on the length of the fibre or sheet relative to the circle radius. We calculate this force ratio in three regimes of circle radius.</t>
  </si>
  <si>
    <t>ROMERO, Victor/AAG-9796-2020</t>
  </si>
  <si>
    <t>ROMERO, Victor/0000-0001-6697-9918</t>
  </si>
  <si>
    <t>0022-3727</t>
  </si>
  <si>
    <t>JUL 7</t>
  </si>
  <si>
    <t>10.1088/0022-3727/41/13/132003</t>
  </si>
  <si>
    <t>WOS:000256928100004</t>
  </si>
  <si>
    <t>Cordero, RR; Seckmeyer, G; Pissulla, D; DaSilva, L; Labbe, F</t>
  </si>
  <si>
    <t>Cordero, Raul R.; Seckmeyer, Gunther; Pissulla, Darius; DaSilva, Luis; Labbe, Fernando</t>
  </si>
  <si>
    <t>Uncertainty evaluation of spectral UV irradiance measurements</t>
  </si>
  <si>
    <t>MEASUREMENT SCIENCE AND TECHNOLOGY</t>
  </si>
  <si>
    <t>The reference instruments to measure the surface UV irradiance are based on a double monochromator system. The spectral irradiance yielded by these instruments is influenced by temporal instabilities and nonlinearities in the signal, the cosine error as well as uncertainties introduced in the needed prior calibrations. In this paper, we have carried out an uncertainty analysis of the spectral irradiances measured by using a mobile spectroradiometer that complies with the requirements of the Network for the Detection of Atmospheric Composition Change (NDACC). The spectral measurements were performed on 9th June 2005 ( cloudless sky conditions) at the Izana Observatory (28.3. N, 16.5. E, 2367 m above sea level, Tenerife, Spain), during an international intercomparison campaign organized in the framework of the project Quality Assurance of Spectral Ultraviolet Measurements in Europe (QASUME). At solar zenith angles smaller than 30 degrees, we found that despite the variations due to wavelength shifts induced by the high environmental temperature the relative expanded uncertainty was about 7% in the UV-A part of the spectrum; an increment was observed at wavelengths shorter than 315 nm such that the expanded uncertainty of the UV-B irradiance at 300 nm wavelength was about 9%. The measurements of the other five teams that participated in the campaign were within the bound specified by these expanded uncertainties. We also found that, regardless of the influence of the cosine error, the uncertainties involved in the absolute calibration procedure accounted for about 65% of the irradiance uncertainty. Although only a double monochromator was used in this work, the methodology applied to evaluate the uncertainty is general and it agrees with recommendations of the ISO Guide to the Expression of Uncertainty in Measurement.</t>
  </si>
  <si>
    <t>Cordero, Raul/M-7979-2017</t>
  </si>
  <si>
    <t>Cordero, Raul R./0000-0001-7607-7993</t>
  </si>
  <si>
    <t>0957-0233</t>
  </si>
  <si>
    <t>1361-6501</t>
  </si>
  <si>
    <t>10.1088/0957-0233/19/4/045104</t>
  </si>
  <si>
    <t>WOS:000254406700006</t>
  </si>
  <si>
    <t>Cazanga, M; Gutierrez, M; Escudey, M; Galindo, G; Reyes, A; Chang, AC</t>
  </si>
  <si>
    <t>Cazanga, Marcia; Gutierrez, Marlen; Escudey, Mauricio; Galindo, Gerardo; Reyes, Antonio; Chang, Andrew C.</t>
  </si>
  <si>
    <t>Adsorption isotherms of copper, lead, nickel, and zinc in two Chilean soils in single- and multi-component systems: sewage sludge impact on the adsorption isotherms of Diguillin soil</t>
  </si>
  <si>
    <t>AUSTRALIAN JOURNAL OF SOIL RESEARCH</t>
  </si>
  <si>
    <t>The potential impact of the addition of sewage sludge from domestic waste water treatment plants on agricultural soils is a worldwide concern. A proportion of heavy metals in sewage sludge will be present in the soil solution; their equilibria can be modified by the competitive interactions between them, changing not only their mobility but also their adsorption pattern. The competitive adsorption of heavy metals by soils has been studied by several authors in simple model substrates and synthetic minerals, and also in soils but restricted to binary adsorption. In the present paper the modification of the Cu, Pb, Ni, and Zn interactions with soils as a consequence of a competitive adsorption on the available adsorption sites on Andisols were determined. The single- and multi-component adsorption of Cu, Pb, Ni, and Zn were carried out at constant ionic strength (0.1 M KNO3). The adsorption was monitored by ICP-OES and the Langmuir model was applied to fit the adsorption isotherms. Competitive adsorption isotherms indicate a reduction of the adsorption in the control soils when compared to the single adsorption isotherms. The maximum adsorption constants for single- and multi-component isotherms for Diguillin soil were 38.2 and 33.3 mmol/kg for Cu, 48.1 and 30.0 mmol/kg for Pb, 5.4 and 2.1 mmol/kg for Ni, and 18.0 and 8.1 mmol/kg for Zinc, respectively. With Ralun soil, lower values were obtained, but the same tendency was observed. The maximum adsorption and the affinity constant increased for all cations, after the addition of sewage sludge to Diguillin soil.</t>
  </si>
  <si>
    <t>0004-9573</t>
  </si>
  <si>
    <t>10.1071/SR07009</t>
  </si>
  <si>
    <t>WOS:000252979600006</t>
  </si>
  <si>
    <t>Juri, C; Chaná, P</t>
  </si>
  <si>
    <t>Juri C, Carlos; Chana C, Pedro</t>
  </si>
  <si>
    <t>Levodopa for Parkinson's disease.: What have we learned?</t>
  </si>
  <si>
    <t>Parkinson's disease (PD) is the second most common neurodegenerative disease in the world. Dopamine deficit is the cornerstone of its clinical manifestations. Levodopa, the main treatment for this condition, was first used for PD more than 40 years ago and today it still is the most powerful treatment for this disease. In recent years many advances have been made for understanding of the neurochemical mechanisms of this drug. Furthermore, new insights about the genesis of motor complications secondary to its use are known, specially related with the mode of its administration. This article updates the pharmacology of levodopa and its implications for the pathophysiology, and treatment of PD. The new available presentations of levodopa are also reviewed. The implications of these advances for the treatment of this disease are commented (Rev Med Chile 2006; 134: 893-901).</t>
  </si>
  <si>
    <t>Juri, Carlos/B-6213-2008; Chana, Pedro/ABG-9944-2020</t>
  </si>
  <si>
    <t>Juri, Carlos/0000-0002-1939-5976</t>
  </si>
  <si>
    <t>WOS:000240253900014</t>
  </si>
  <si>
    <t>Levicán, G; Bruscella, P; Guacunano, M; Inostroza, C; Bonnefoy, V; Holmes, DS; Jedlicki, E</t>
  </si>
  <si>
    <t>Characterization of the petI and res operons of Acidithiobacillus ferrooxidans</t>
  </si>
  <si>
    <t>JOURNAL OF BACTERIOLOGY</t>
  </si>
  <si>
    <t>DNA sequence analysis and bioinformatic interpretations have identified two adjacent clusters of genes potentially involved in the formation of a bell complex and in the maturation of a cytochrome c-type protein in two strains (ATCC 19859 and ATCC 33020) of the acidophilic, chemolithoautotrophic bacterium Acidithiobacillus ferrooxidans (formerly Thiobacillus ferrooxidans). Reverse transcriptase-PCR experiments suggest that the two clusters are organized as operons, and + 1 start sites of transcription for the operons have been determined by primer extension experiments. Potential promoters have been identified. The presence of these operons lends support to a recent model of reverse electron flow and is consistent with previous reports of phenotypic switching in this bacterium.</t>
  </si>
  <si>
    <t>Inostroza, Carolina/IXN-4181-2023; bruscella, patrice/R-6129-2018; Levican, Gloria/R-5191-2019</t>
  </si>
  <si>
    <t>inostroza, carolina/0000-0002-1176-9160; Levican, Gloria/0000-0002-1275-7399; Bruscella, Patrice/0000-0002-0719-0826; Holmes, David/0000-0001-9555-138X</t>
  </si>
  <si>
    <t>0021-9193</t>
  </si>
  <si>
    <t>10.1128/JB.184.5.1498-1501.2002</t>
  </si>
  <si>
    <t>WOS:000173932600038</t>
  </si>
  <si>
    <t>Silva, AJGC; Giotto, MTS; Mascarenhas, YP; Sepúlveda-Boza, S; Cassels, BK</t>
  </si>
  <si>
    <t>Crystal structures of (E)-l-(3,4,5-trimethoxyphenyl)-2-nitroethene and (E)-l-(3,4,5-trimethoxyphenyl)-2-nitropropene</t>
  </si>
  <si>
    <t>BOLETIN DE LA SOCIEDAD CHILENA DE QUIMICA</t>
  </si>
  <si>
    <t>The crystal and molecular structures of (E)-1-(3,4,5-trimethoxyphenyl)-2-nitroethene (1), C11H13NO5, M-r = 239.2, and (E)-1 -(3,4,5-trimethoxyphenyl)-2-nitropropene (2), C12H15NO5, M-r = 253.3, were determined by X-ray diffraction. Compound 1: monoclinic, space group P2(1)/c, a = 7.429(2), b = 9.828(3), c = 32.766(2) Angstrom, beta = 95.65(2)degrees, V = 2381(1) Angstrom(3), Z = 8. Compound 2: monoclinic, space group P2(1)/c, a = 8.888(3), b = 13.650(3), c = 10.369(3) Angstrom, beta = 94.04(2)degrees, V = 1255(1) Angstrom(3), Z = 4. Compound 1 exhibits no unusual structural features. Compound 2 shows a side chain out of the ring plane and with expanded valence angles.</t>
  </si>
  <si>
    <t>Cassels, Bruce/H-6937-2013; Mascarenhas, Yvonne/L-6914-2015</t>
  </si>
  <si>
    <t>Mascarenhas, Yvonne/0000-0003-1918-114X</t>
  </si>
  <si>
    <t>0366-1644</t>
  </si>
  <si>
    <t>WOS:000084664300003</t>
  </si>
  <si>
    <t>Bretón, N; García, A; Macías, A; Yáñez, G</t>
  </si>
  <si>
    <t>Colliding plane waves in terms of Jacobi functions</t>
  </si>
  <si>
    <t>JOURNAL OF MATHEMATICAL PHYSICS</t>
  </si>
  <si>
    <t>We present a general class of noncollinear colliding wave solutions of the Einstein-Maxwell equations given in terms of fourth order polynomials, which in turn can be expressed through Jacobi functions depending on generalized advanced and retarded time coordinates. The solutions are characterized by six free parameters. The parameters can be chosen in such a way as to avoid the generic focusing singularity. (C) 1998 American Institute of Physics. [S0022-2488(98)02611- 5].</t>
  </si>
  <si>
    <t>Macias, Alfredo/N-9655-2018; Breton, Nora/W-3189-2017</t>
  </si>
  <si>
    <t>Breton, Nora/0000-0002-1237-7134; Macias, Alfredo/0000-0003-2431-1199</t>
  </si>
  <si>
    <t>0022-2488</t>
  </si>
  <si>
    <t>1089-7658</t>
  </si>
  <si>
    <t>NOV</t>
  </si>
  <si>
    <t>10.1063/1.532627</t>
  </si>
  <si>
    <t>WOS:000077509100029</t>
  </si>
  <si>
    <t>Vallejos-Vidal, E; Santillán-Araneda, MJ; Goldstein, M; Solarte-Murillo, L; Maisey, K; Reyes-Cerpa, S; Vidal, M; Reyes-Lopez, FE</t>
  </si>
  <si>
    <t>Vallejos-Vidal, Eva; Santillan-Araneda, Maria J.; Goldstein, Merari; Solarte-Murillo, Laura, V; Maisey, Kevin; Reyes-Cerpa, Sebastian; Vidal, Mabel; Reyes-Lopez, Felipe E.</t>
  </si>
  <si>
    <t>Comparison of anticoagulant vacutainer blood collection tubes on rainbow trout (Oncorhynchus mykiss) leukocyte viability during long-term storage</t>
  </si>
  <si>
    <t>FISH &amp; SHELLFISH IMMUNOLOGY</t>
  </si>
  <si>
    <t>Peripheral blood leukocytes (PBL) are critical for understanding systemic immune responses and assessing the organism's health. In immunological studies, particularly with aquaculture-relevant species like Rainbow trout (Oncorhynchus mykiss), ensuring PBL viability during sample storage is important, especially when samples must be transported over long distances. Anticoagulants are essential for preventing blood clotting and preserving cellular integrity; however, their effects on leukocyte populations in salmonids remain poorly studied. This study aimed to evaluate the impact of four anticoagulants-ethylenediaminetetraacetic acid (EDTA), sodium citrate, sodium heparin, and lithium heparin-on the viability of PBL populations in rainbow trout, with a comparative analysis of human PBL. Blood samples were stored for up to seven days, and cell viability and leukocyte population percentages were assessed by flow cytometry at 0, 1-, 2-, 4-, and 7-days post-collection (dpc). Results showed that sodium heparin and lithium heparin were the most effective anticoagulants for preserving trout leukocyte viability, maintaining percentages greater than 70 % up to 4 dpc. In contrast, EDTA and sodium citrate were less effective in maintaining cell viability. In human PBL samples, EDTA was the most effective anticoagulant, with lymphocyte viability exceeding 80 % at 7 dpc. Sodium heparin and lithium heparin also preserved human PBL viability comparably up to 4 dpc, but their efficacy decreased significantly by 7 dpc. These findings highlight the species-specific effects of anticoagulants, recommending heparin-based anticoagulants for longterm leukocyte preservation in rainbow trout (up to 4 dpc). In addition, this study provides valuable information for blood handling protocols in immunological research.</t>
  </si>
  <si>
    <t>Solarte Murillo, Laura/KHX-0439-2024; Maisey, Kevin/AAP-2886-2021; Vallejos-Vidal, Eva/R-9606-2019; Reyes-López, Felipe/S-1760-2018; Vidal, Mabel/F-9968-2016</t>
  </si>
  <si>
    <t>Solarte Murillo, Laura/0000-0002-9097-0734; Goldstein, Merari/0000-0002-7006-964X; Vidal, Mabel/0000-0002-0800-1353; Santillan Araneda, Maria Jesus/0009-0008-1324-6970</t>
  </si>
  <si>
    <t>1050-4648</t>
  </si>
  <si>
    <t>1095-9947</t>
  </si>
  <si>
    <t>10.1016/j.fsi.2025.110291</t>
  </si>
  <si>
    <t>MAR 2025</t>
  </si>
  <si>
    <t>WOS:001460332900001</t>
  </si>
  <si>
    <t>Godoy, C; Balic, I; Moreno, AA; Diaz, O; Colarte, C; Larenas, T; Gamboa, A; Fuentes, N</t>
  </si>
  <si>
    <t>Alarcon Godoy, Carlos; Balic, Ivan; Moreno, Adrian A.; Diaz, Oscar; Arenas Colarte, Carla; Bruna Larenas, Tamara; Gamboa, Alexander; Caro Fuentes, Nelson</t>
  </si>
  <si>
    <t>Antimicrobial and Antibiofilm Activity of Chitosan Nanoparticles Against Staphylococcus aureus Strains Isolated from Bovine Mastitis Milk</t>
  </si>
  <si>
    <t>Background/Objectives: Bovine mastitis (BM), a prevalent and economically burdensome bacterial infection affecting dairy cattle, poses a significant challenge to the dairy industry. The traditional approach to combating BM, relying heavily on antibiotics, faces growing concerns due to the increasing antibiotic resistance exhibited by pathogens. The objective of this study was to evaluate and determine the antimicrobial and anti-biofilm potential of chitosan nanoparticles (NQo) on S. aureus strains isolated from milk samples obtained from dairy areas in southern Chile from cows diagnosed with BM. Methods: NQo were synthesized using the ionotropic gelation method and thoroughly characterized by transmission electron microscopy (TEM) and dynamic light scattering (DLS). Results: The NQo exhibit a robust positive charge (Z-potential of +55.4 +/- 2.5 mV) and an exceptionally small size (20.3 +/- 3.2 nm). This unique combination of properties makes NQo particularly well-suited for targeting and interacting with bacterial pathogens. To assess the effectiveness of NQo against BM, we conducted a series of experiments using a Staphylococcus aureus strain isolated from milk samples of cows diagnosed with BM in southern Chile. NQo demonstrated a remarkable ability to inhibit bacterial proliferation and effectively modulate biofilm formation in the S. aureus strains. Furthermore, the performance of NQo in comparison to established antibiotics like ampicillin and gentamicin strongly suggests that these nanoparticles hold immense potential as an attractive alternative for the control, prevention, and/or treatment of BM. Conclusions: NQo exhibit both antimicrobial and antibiofilm activity against a clinically relevant BM pathogen. Further investigations are necessary to develop a hydrogel formulation optimized for effective delivery to the target diseased tissue.</t>
  </si>
  <si>
    <t>Moreno, Adrian/IWD-8997-2023</t>
  </si>
  <si>
    <t>Balic, Ivan/0000-0002-5851-0340; Gamboa, Alexander/0000-0002-1423-9632</t>
  </si>
  <si>
    <t>10.3390/pharmaceutics17020186</t>
  </si>
  <si>
    <t>WOS:001429809200001</t>
  </si>
  <si>
    <t>González, A; Celentano, D; Cruchaga, M; Ponthot, JP</t>
  </si>
  <si>
    <t>Gonzalez, Alvaro; Celentano, Diego; Cruchaga, Marcela; Ponthot, Jean-Philippe</t>
  </si>
  <si>
    <t>The Triaxiality Effect on Damage Evolution in Al-2024 Tensile Samples</t>
  </si>
  <si>
    <t>METALS</t>
  </si>
  <si>
    <t>The effect of triaxiality on the evolution of damage in Al-2024 aluminum cylindrical specimens is studied in this work. Uncoupled and coupled damage models, all of them explicitly dependent on triaxiality, are assessed and compared. These models are characterized by tensile tests on cylindrical specimens without notches, to obtain the material parameters for each model. The capability of each model to predict fracture when different positive triaxial conditions evolve is then evaluated through tensile tests on notched cylindrical specimens. In particular, the damage index, evaluated at the fracture strain level, is compared with the experimental results validating the models. Moreover, the triaxiality evolution in the different specimens is studied in order to assess its effect on damage, demonstrating that the fracture strain decreases at greater triaxiality values. Observations through scanning electron microscopy confirm this pattern; i.e., an increase in triaxiality reveals a shift in the fracture mechanism from a more ductile condition in the original specimens to a more brittle one as the notch radius decreases. In addition, bilinear damage evolution is proposed to describe the physical behavior of the material when the Lemaitre coupled model is considered. In such a case, special attention must be devoted to the material characterization since coupling between hardening material parameters and damage affects the results.</t>
  </si>
  <si>
    <t>Celentano, Diego/JQW-5027-2023</t>
  </si>
  <si>
    <t>Gonzalez Ortega, Alvaro/0000-0003-0839-721X; Ponthot, Jean-Philippe/0000-0001-5970-8757</t>
  </si>
  <si>
    <t>2075-4701</t>
  </si>
  <si>
    <t>10.3390/met14101103</t>
  </si>
  <si>
    <t>WOS:001342535700001</t>
  </si>
  <si>
    <t>González, BA; Boloña, FI; Delgado, JB</t>
  </si>
  <si>
    <t>Gonzalez, Bladimir Aviles; Bolona, Florencia Insunza; Delgado, Jaime Barrientos</t>
  </si>
  <si>
    <t>Afrontamiento Del Prejuicio De Género En Las Personas Trans y No Binarias En Santiago De Chile: Comparaciones Clínicas y Despliegues Identitarios</t>
  </si>
  <si>
    <t>PUNTO GENERO</t>
  </si>
  <si>
    <t>In Chile, non-binary people have been invisible by the sex-gender system, being homologated in the trans binary category, which makes it difficult to understand their subjective and identity experiences. This study seeks to know and differentiate how trans (binary) people and nonbinary people from Santiago de Chile respond to gender bias, identifying the effects on identities and psychological. The population was made up of binary, non-binary trans people and health professionals who work with these populations. A total of 22 people participated in four focus groups and 15 individual semi-structured interviews. After an analysis using Grounded Theory, an explicit prejudice towards trans binary people and a mostly symbolic prejudice towards non-binary people is identified. There are differences in the strategies for coping with prejudice, although at the psychotherapeutic level similar symptomatic and clinical expressions are reported: depression, anxiety, hopelessness and suicidal ideation.</t>
  </si>
  <si>
    <t>Barrientos Delgado, Jaime/GMW-8081-2022</t>
  </si>
  <si>
    <t>0719-0417</t>
  </si>
  <si>
    <t>10.5354/2735-7473.2024.75190</t>
  </si>
  <si>
    <t>WOS:001266117000016</t>
  </si>
  <si>
    <t>de la Sotta, T; Chang, VLT; Pizarro, B; Henriquez, H; Alvear, N; Saavedra, JM</t>
  </si>
  <si>
    <t>de la Sotta, Tomas; Chang, Violeta; Pizarro, Benjamin; Henriquez, Hector; Alvear, Nicolas; Saavedra, Jose M.</t>
  </si>
  <si>
    <t>Impact of attention mechanisms for organ segmentation in chest x-ray images over U-Net model</t>
  </si>
  <si>
    <t>MULTIMEDIA TOOLS AND APPLICATIONS</t>
  </si>
  <si>
    <t>Chest x-ray images are one of the most commonly performed imaging tests, providing crucial clinical information about structures like the heart, lungs, ribs, bones, and blood vessels. In this context, image segmentation is a critical stage as it aims to separate significant parts of an image. However, manual image segmentation presents serious difficulties that can be tackled using deep learning-based methods, such as U-Net. Furthermore, attention mechanisms have attracted the interest of the machine-learning community and can bring improvements in medical image segmentation. This research aims to assess the impact of attention-based mechanisms for segmenting different organs in chest X-ray images, like heart, lungs, clavicles and ribs, over the well-known U-Net architecture as a baseline. We study five U-Net encoder variations, replacing the U-Net encoder with ResNet 18, 34 and 50, Swin Transformer and a simple residual structure comprised of a single ResNet-50 prior to each U-Net encoder layer. In the original U-Net, the skip layers are identity layers connecting each encoder block with its corresponding decoder one. Here, we replace these layers with different attention mechanisms: spatial attention, full spatial attention, double spatial attention, multiple spatial attention, spatial cross-attention and Swin spatial cross-attention. Each encoder variation and attention mechanism was evaluated from scratch and on a pre-trained scenario, independently for lungs, ribs, heart and clavicles. ResNet-UNet-18 achieves up to 0.96 and 0.53 of average overlapping with hand-segmented masks of lungs and clavicles, respectively. The best encoder for rib and heart segmentation was Residual U-Net, with 0.88 and 0.83 overlapping, respectively. Furthermore, for attention mechanisms, the most suitable were selected according to overlapping with hand-segmented masks as Spatial Attention U-Net for lungs (0.96), Three-Head Attention for ribs (0.88), Full Spatial Attention for the heart (0.82) and Spatial Cross-Attention for clavicles (0.54). Encoder variations and attention mechanism have a positive impact over a U-Net for segmentation of lungs, ribs, heart and clavicles from scratch, without transfer learning. Moreover, the encoder and the attention mechanism are not universal for segmenting different organs in chest X-ray images. While organs share the same backbone architecture (lungs and clavicles), the most appropriate attention mechanisms for each organ are all different, achieving up to 0.99 of overlapping in lung segmentation.</t>
  </si>
  <si>
    <t>Saavedra, Juan/HGE-4567-2022</t>
  </si>
  <si>
    <t>Saavedra Rondo, Jose Manuel/0000-0002-9644-5164</t>
  </si>
  <si>
    <t>1380-7501</t>
  </si>
  <si>
    <t>1573-7721</t>
  </si>
  <si>
    <t>2023 OCT 31</t>
  </si>
  <si>
    <t>10.1007/s11042-023-17220-w</t>
  </si>
  <si>
    <t>OCT 2023</t>
  </si>
  <si>
    <t>WOS:001090305500008</t>
  </si>
  <si>
    <t>Villalobos-Cid, M; Dorn, M; Contreras, A; Inostroza-Ponta, M</t>
  </si>
  <si>
    <t>Villalobos-Cid, Manuel; Dorn, Marcio; Contreras, Angela; Inostroza-Ponta, Mario</t>
  </si>
  <si>
    <t>An evolutionary algorithm based on parsimony for the multiobjective phylogenetic network inference problem</t>
  </si>
  <si>
    <t>APPLIED SOFT COMPUTING</t>
  </si>
  <si>
    <t>Phylogenetic networks can represent evolutionary phenomena that phylogenetic trees cannot describe, such as parallelism, convergence, reversion, hybridisation, recombination, and horizontal transference. The phylogenetic inference problem can be seen as an optimisation problem, searching for the most qualified network among the possible topologies, based on an inference criterion. However, different criteria may result in several topologies of networks, which could conflict with each other. Multi-objective optimisation can handle conflicting objectives, reducing the bias associated with the dependency on a specific criterion. In this work, we define the multi-objective phylogenetic inference problem based on networks to consider reticular phenomena and propose an ad-hoc evolutionary algorithm to treat it: MO-PhyNet. This algorithm is based on the Non-dominated Sorting Genetic Algorithm II designed to infer rooted phylogenetic networks by minimising three criteria: (1) parsimony hardwired, (2) parsimony softwired, and (3) the number of reticulations. The formalisation of the phylogenetic inference based on networks as a multi-objective optimisation problem allows us to obtain solutions considering conflicting inference criteria, resulting in different reticulated topologies representing distinct evolutionary hypotheses. The MO-PhyNet results identify Pareto set of solutions that show a relationship between the hardwired parsimony and the minimum reticulations criteria. Additionally, MO-PhyNet obtains better solutions than other strategies in terms of the optimised criteria by allowing to visualise incongruences and horizontal phenomena. This work is the first attempt to address the inference of phylogenetic networks considering multi-objective optimisation concerning the current literature to the best of our knowledge.&amp; COPY; 2023 Elsevier B.V. All rights reserved.</t>
  </si>
  <si>
    <t>Inostroza-Ponta, Mario/G-7548-2012; Villalobos-Cid, Manuel/AFK-0866-2022; Dorn, Marcio/D-3696-2009</t>
  </si>
  <si>
    <t>Dorn, Marcio/0000-0001-8534-3480</t>
  </si>
  <si>
    <t>1568-4946</t>
  </si>
  <si>
    <t>1872-9681</t>
  </si>
  <si>
    <t>10.1016/j.asoc.2023.110270</t>
  </si>
  <si>
    <t>APR 2023</t>
  </si>
  <si>
    <t>WOS:001029774900001</t>
  </si>
  <si>
    <t>Saint-Pierre, G; Conei, D; Cantillana, P; Raijmakers, M; Vera, A; Gutiérrez, D; Kennedy, C; Peralta, P; Ramonda, P</t>
  </si>
  <si>
    <t>Saint-Pierre, Gustavo; Conei, Daniel; Cantillana, Patricia; Raijmakers, Mariella; Vera, Andrea; Gutierrez, Daniela; Kennedy, Cristopher; Peralta, Paulina; Ramonda, Paulina</t>
  </si>
  <si>
    <t>Comparison of Two Tuberculosis Infection Tests in a South American Tertiary Hospital: STANDARD F TB-Feron FIA vs. QIAreach™ QuantiFERON-TB</t>
  </si>
  <si>
    <t>DIAGNOSTICS</t>
  </si>
  <si>
    <t>Introduction: Tuberculosis (TB) is one of the most prevalent respiratory diseases in the world. In 2020 there were at least 9.9 million new infections, with 1.5 million deaths. Approximately 10% of people infected with Mycobacterium tuberculosis develop the disease during the first 2 to 5 years after infection. In South America, the diagnosis of Latent Tuberculosis Infections (LTBI) continues to be performed through the Mantoux tuberculin skin test (TST). Objective: The objective of our study was to compare the sensitivity of a new immunofluorescence IGRA test against a widely available IGRA kit on the market. Material and method: Close contact with infectious TB patients, HIV patients, or immunocompromised for another cause were recruited. Two interferon-gamma release assay (IGRA) diagnostic kits were used and compared with TST. Results: 76 patients were recruited, 93.42% were Chilean nationality, and 98.68% of the patients did not have immunosuppression. The sensitivity of the new technique was 88.89%, and the specificity was 92.50% in the study population compared to the IGRA previously used. In the subgroup older than 36 years, the sensitivity was 95.65%, and the specificity was 89.47%. Conclusion: IGRA techniques are a new resource in clinical laboratories to make an accurate diagnosis of LTBI in the region of the Americas. In our population, the greatest benefit of this new IGRA would be observed in people over 36 years of age, where the sensitivity of the technique was like that of the currently available test.</t>
  </si>
  <si>
    <t>Raijmakers, Mariella/ABD-8342-2021; Contreras, Gustavo/AAA-7291-2021</t>
  </si>
  <si>
    <t>Saint-Pierre, Gustavo/0000-0002-6099-5084; Conei, Daniel/0000-0001-6583-0177</t>
  </si>
  <si>
    <t>2075-4418</t>
  </si>
  <si>
    <t>10.3390/diagnostics13061162</t>
  </si>
  <si>
    <t>WOS:000968410700001</t>
  </si>
  <si>
    <t>Tortolini, C; Gigli, V; Angeloni, A; Galantini, L; Tasca, F; Antiochia, R</t>
  </si>
  <si>
    <t>Tortolini, Cristina; Gigli, Valeria; Angeloni, Antonio; Galantini, Luciano; Tasca, Federico; Antiochia, Riccarda</t>
  </si>
  <si>
    <t>Disposable Voltammetric Immunosensor for D-Dimer Detection as Early Biomarker of Thromboembolic Disease and of COVID-19 Prognosis</t>
  </si>
  <si>
    <t>BIOSENSORS-BASEL</t>
  </si>
  <si>
    <t>In this work, we report on the development of a simple electrochemical immunosensor for the detection of D-dimer protein in human plasma samples. The immunosensor is built by a simple drop-casting procedure of chitosan nanoparticles (CSNPs) as biocompatible support, Protein A (PrA), to facilitate the proper orientation of the antibody sites to epitopes as a capture biomolecule, and the D-dimer antibody onto a carboxyl functionalized multi-walled carbon nanotubes screen printed electrode (MWCNTs-SPE). The CSNPs have been morphologically characterized by Scanning Electron Microscopy (SEM) and Dynamic Light Scattering (DLS) techniques. Successively, the electrochemical properties of the screen-printed working electrode after each modification step have been characterized by differential pulse voltammetry (DPV) and electrochemical impedance spectroscopy (EIS). The resulting MWCNTs-CSNPs-PrA-D-dimer Ab immunosensor displays an optimal and promising platform for antibody immobilization and specific D-dimer detection. DPV has been used to investigate the antigen/antibody interaction at different D-dimer concentrations. The proposed voltammetric immunosensor allowed a linear range from 2 to 500 mu g L-1 with a LOD of 0.6 mu g L-1 and a sensitivity of 1.3 mu A L mu g(-1) cm(-2). Good stability and a fast response time (5 s) have been reported. Lastly, the performance of the voltammetric immunosensor has been tested in human plasma samples, showing satisfactory results, thus attesting to the promising feasibility of the proposed platform for detecting D-dimer in physiological samples.</t>
  </si>
  <si>
    <t>Galantini, Luciano/AGZ-4330-2022; Tasca, Federico/J-4134-2015; Galantini, Luciano/T-3041-2017</t>
  </si>
  <si>
    <t>Galantini, Luciano/0000-0001-5484-2658; Gigli, Valeria/0000-0002-4806-3313; TORTOLINI, CRISTINA/0000-0002-6437-7312; ANTIOCHIA, RICCARDA/0000-0001-8990-8506; Tasca, Federico/0000-0002-4111-4624</t>
  </si>
  <si>
    <t>2079-6374</t>
  </si>
  <si>
    <t>10.3390/bios13010043</t>
  </si>
  <si>
    <t>WOS:000917001000001</t>
  </si>
  <si>
    <t>Palominos, P; Ortega, C; Alfaro, M; Fuertes, G; Vargas, M; Camargo, M; Parada, V; Gatica, G</t>
  </si>
  <si>
    <t>Palominos, Pedro; Ortega, Carla; Alfaro, Miguel; Fuertes, Guillermo; Vargas, Manuel; Camargo, Mauricio; Parada, Victor; Gatica, Gustavo</t>
  </si>
  <si>
    <t>Chaotic Honeybees Optimization Algorithms Approach for Traveling Salesperson Problem</t>
  </si>
  <si>
    <t>COMPLEXITY</t>
  </si>
  <si>
    <t>Due to the difficulty in solving combinatorial optimization problems, it is necessary to improve the performance of the algorithms by improving techniques to deal with complex optimizations. This research addresses the metaheuristics of marriage in honey-bees optimization (MBO) based on the behavior of bees. The current study proposes a technique for solving combinatorial optimization problems within proper computation times. The purpose of this study focuses on the travelling salesperson problem and the application of chaotic methods in important sections of the MBO metaheuristic. Three experiments were conducted to measure the efficiency and quality of the solutions: (1) MBO with chaos to generate initial solutions (MBO2); (2) MBO with chaos in the workers (MBO3); and (3) MBO with chaos to generate initial solutions and the workers (MBO4). The application of chaotic functions in MBO was significantly better at solving the travelling salesperson problem.</t>
  </si>
  <si>
    <t>Parada, Victor/M-5840-2014; CAMARGO, Mauricio/HJP-7111-2023; vargas, manuel/AAG-4780-2020; gatica, gustavo/KXR-7308-2024; Fuertes, Guillermo/Q-2341-2016</t>
  </si>
  <si>
    <t>Gustavo, Gatica/0000-0002-1816-6856; Fuertes, Guillermo/0000-0003-3044-5919; Palominos, Pedro/0000-0002-5695-3025; Parada, Victor/0000-0002-8649-5694; Alfaro, Miguel/0000-0002-1633-8853</t>
  </si>
  <si>
    <t>1076-2787</t>
  </si>
  <si>
    <t>1099-0526</t>
  </si>
  <si>
    <t>OCT 11</t>
  </si>
  <si>
    <t>10.1155/2022/8903005</t>
  </si>
  <si>
    <t>WOS:000876528800003</t>
  </si>
  <si>
    <t>Ganoza-Yupanqui, ML; Muñoz-Acevedo, A; Ybañez-Julca, RO; Mantilla-Rodríguez, E; Zavala, E; Gajardo, S; Ríos, M; Benites, J; Martínez, JL</t>
  </si>
  <si>
    <t>Ganoza-Yupanqui, Mayar L.; Munoz-Acevedo, Amner; Ybanez-Julca, Roberto O.; Mantilla-Rodriguez, Elena; Zavala, Ewaldo; Gajardo, Sandra; Rios, Miguel; Benites, Julio; Martinez, Jose L.</t>
  </si>
  <si>
    <t>Potential antioxidant effect of fruit peels for human use from northern Peru, compared by 5 different methods</t>
  </si>
  <si>
    <t>BOLETIN LATINOAMERICANO Y DEL CARIBE DE PLANTAS MEDICINALES Y AROMATICAS</t>
  </si>
  <si>
    <t>The objective of the work was to determine the antioxidant potential in vitro of freeze-dried peel extracts of 20 fruits from the northern region of Peru through five tests (Folin-Ciocalteu, DPPH center dot, ABTS(+center dot), FRAP and CUPRAC). According to multivariate statistical analyzes, five groups were found: (i.) peel extracts with the highest values of antioxidant capacity (AC) from custard apple, and star fruit; (ii.) rind extracts with high AC values from quince, sweet granadilla, guava, and black grape; (iii.) husk extracts with middle values of AC from passion fruit, and red mombin; (iv.) shell extracts with low AC values from tangerine, mandarine, and bitter orange; and, (v.) coating extracts with the lowest AC values from pawpaw, red pawpaw, muskmelon, dragon fruit, yellow and red indian figs, pear, apple, and green grape. To conclude, the fruit lyophilized-husk extracts of custard apple, star fruit, quince, sweet granadilla, guava, and black grape obtained the best AC.</t>
  </si>
  <si>
    <t>Ybañez Julca, Roberto Osmundo/HNJ-0615-2023; Martinez, Jose/AAA-1725-2020; Benites, Julio/AAV-1672-2020; Urtecho, Ewaldo/R-7222-2018; MANTILLA RODRIGUEZ, ANA ELENA/HLQ-4259-2023; Ganoza-Yupanqui, Mayar Luis/W-8934-2018</t>
  </si>
  <si>
    <t>Gajardo, Sandra/0000-0003-0025-4169; Martinez, Jose/0000-0002-0177-4847; Ybanez-Julca, Roberto Osmundo/0000-0003-0011-7957; Munoz-Acevedo, Amner/0000-0003-2145-1495; MANTILLA RODRIGUEZ, ANA ELENA/0000-0002-9925-0581; Ganoza-Yupanqui, Mayar Luis/0000-0002-6114-1451</t>
  </si>
  <si>
    <t>0717-7917</t>
  </si>
  <si>
    <t>10.37360/blacpma.21.20.6.44</t>
  </si>
  <si>
    <t>WOS:000674618600004</t>
  </si>
  <si>
    <t>Cumsille, P; Rojas-Díaz, O; de Espanés, PM; Verdugo-Hernández, P</t>
  </si>
  <si>
    <t>Cumsille, Patricio; Rojas-Diaz, Oscar; Moisset de Espanes, Pablo; Verdugo-Hernandez, Paula</t>
  </si>
  <si>
    <t>Forecasting COVID-19 Chile' second outbreak by a generalized SIR model with constant time delays and a fitted positivity rate</t>
  </si>
  <si>
    <t>MATHEMATICS AND COMPUTERS IN SIMULATION</t>
  </si>
  <si>
    <t>The COVID-19 disease has forced countries to make a considerable collaborative effort between scientists and governments to provide indicators to suitable follow-up the pandemic's consequences. Mathematical modeling plays a crucial role in quantifying indicators describing diverse aspects of the pandemic. Consequently, this work aims to develop a clear, efficient, and reproducible methodology for parameter optimization, whose implementation is illustrated using data from three representative regions from Chile and a suitable generalized SIR model together with a fitted positivity rate. Our results reproduce the general trend of the infected's curve, distinguishing the reported and real cases. Finally, our methodology is robust, and it allows us to forecast a second outbreak of COVID-19 and the infection fatality rate of COVID-19 qualitatively according to the reported dead cases. (C) 2021 International Association for Mathematics and Computers in Simulation (IMACS). Published by Elsevier B.V. All rights reserved.</t>
  </si>
  <si>
    <t>Rojas, Oscar/ABG-3625-2021; Cumsille, Patricio/AAE-7493-2020</t>
  </si>
  <si>
    <t>Rojas Diaz, Oscar/0000-0002-7754-9996</t>
  </si>
  <si>
    <t>0378-4754</t>
  </si>
  <si>
    <t>1872-7166</t>
  </si>
  <si>
    <t>10.1016/j.matcom.2021.09.016</t>
  </si>
  <si>
    <t>OCT 2021</t>
  </si>
  <si>
    <t>WOS:000711956400001</t>
  </si>
  <si>
    <t>Clemente, R; Marcos, DJ; Ubilla, P</t>
  </si>
  <si>
    <t>Clemente, Rodrigo; Marcos, do O. Joao; Ubilla, Pedro</t>
  </si>
  <si>
    <t>On supercritical problems involving the Laplace operator</t>
  </si>
  <si>
    <t>PROCEEDINGS OF THE ROYAL SOCIETY OF EDINBURGH SECTION A-MATHEMATICS</t>
  </si>
  <si>
    <t>We discuss the existence, nonexistence and multiplicity of solutions for a class of elliptic equations in the unit ball with zero Dirichlet boundary conditions involving nonlinearities with supercritical growth. By using Pohozaev type identity we prove a nonexistence result for a class of supercritical problems with variable exponent which allow us to complement the analysis developed in (Calc. Var. (2016) 55:83). Moreover, we establish existence results of positive solutions for semilinear elliptic equations involving nonlinearities which are subcritical at infinity just in a part of the domain, and can be supercritical in a suitable sense.</t>
  </si>
  <si>
    <t>Clemente, Rodrigo/Z-4345-2019</t>
  </si>
  <si>
    <t>Clemente, Rodrigo/0000-0001-9941-8199; do O, Joao Marcos/0000-0001-7039-4365</t>
  </si>
  <si>
    <t>0308-2105</t>
  </si>
  <si>
    <t>1473-7124</t>
  </si>
  <si>
    <t>PII S0308210520000098</t>
  </si>
  <si>
    <t>10.1017/prm.2020.9</t>
  </si>
  <si>
    <t>WOS:000609102100010</t>
  </si>
  <si>
    <t>Castillo-Caceres, C; Duran-Meza, E; Nova, E; Araya-Secchi, R; Monasterio, O; Diaz-Espinoza, R</t>
  </si>
  <si>
    <t>Castillo-Caceres, Claudio; Duran-Meza, Eva; Nova, Esteban; Araya-Secchi, Raul; Monasterio, Octavio; Diaz-Espinoza, Rodrigo</t>
  </si>
  <si>
    <t>Functional characterization of the ATPase-like activity displayed by a catalytic amyloid</t>
  </si>
  <si>
    <t>BIOCHIMICA ET BIOPHYSICA ACTA-GENERAL SUBJECTS</t>
  </si>
  <si>
    <t>Background: Amyloids are highly ordered polypeptide aggregates stabilized by a beta-sheet structural core. Though classically associated to pathology, reports on novel functional roles of these proteins have increasingly emerged in the past decade. Moreover, the recent discovery that amyloids formed with rationally designed small peptides can exhibit catalytic reactivity has opened up new opportunities in both biology and biotechnology. The observed activities typically require the binding of divalent metals, giving rise to active metal-amyloid complexes. Methods: Peptide (SDIDVFI) was aggregated in vitro. The structure of the self-assembled species was analyzed using fluorescence, transmission electron microscopy, circular dichroism and computational modeling. A kinetic characterization of the emerging catalytic activity was performed. Results: The peptide self-assembled into canonical amyloids that exhibited catalytic activity towards hydrolysis of the phosphoanhydride bonds of adenosine triphosphate (ATP), partially mimicking an ATPase-like enzyme. Both amyloid formation and activity are shown to depend on manganese (Mn2+) binding. The activity was not restricted to ATP but also affected all other ribonucleotides (GTP, CTP and UTP). Peptides carrying a single aspartate exhibited a similar activity. Conclusions: The phosphoanhydride bonds appear as the main specificity target of the Mn2+-amyloid complex. A single aspartate per peptide is sufficient to enable the hydrolytic activity. General significance: Catalytic amyloids are shown for the first time to catalyze the hydrolysis of all four ribo-nucleotides. Our results should contribute towards understanding the biological implications of amyloid-mediated reactivity as well as in the design of future catalytic amyloids for biotechnological applications.</t>
  </si>
  <si>
    <t>Araya Secchi, Raul/AAA-4944-2020; Diaz-Espinoza, Rodrigo/HDM-8819-2022</t>
  </si>
  <si>
    <t>Araya Secchi, Raul/0000-0002-4872-3553</t>
  </si>
  <si>
    <t>0304-4165</t>
  </si>
  <si>
    <t>1872-8006</t>
  </si>
  <si>
    <t>10.1016/j.bbagen.2020.129729</t>
  </si>
  <si>
    <t>WOS:000594131800002</t>
  </si>
  <si>
    <t>Farías-Valenzuela, C; Ferrero-Hernández, P; Alvarez-Arangua, S; Marchan-Gutiérrez, ; Adasme-Sandoval, P; Carrera-Figueroa, ; Ferrari, G</t>
  </si>
  <si>
    <t>Farias-Valenzuela, C.; Ferrero-Hernandez, P.; Alvarez-Arangua, S.; Marchan-Gutierrez, V; Adasme-Sandoval, P.; Carrera-Figueroa, V; Ferrari, G.</t>
  </si>
  <si>
    <t>ABSOLUTE AND RELATIVE HAND GRIP STRENGTH AND CARDIOMETABOLIC RISK IN CHILEAN SCHOOLCHILDREN: ANALYSIS BY SEX</t>
  </si>
  <si>
    <t>JOURNAL OF SPORT AND HEALTH RESEARCH</t>
  </si>
  <si>
    <t>Muscle strength is considered an important predictor of functionality and health in schoolchildren. Higher levels of strength are inversely correlated with the risk of contracting cardiometabolic diseases from the early stages. The objective of the present study was to compare and correlate the relative and absolute strength of the hand grip with anthropometric measurements of cardiometabolic risk among Chilean boys and girls. Cross-sectional study, with a sample made up of 139 primary school students, age 8,7 (+/- 2,7 years) belonging to two educational centers in the Metropolitan Region, Chile. The anthropometric measurements considered cardiometabolic risk markers used were: body mass index (BMI), waist circumference (WC) and waist-height ratio (WHtR). Absolute strength was measured using a hand dynamometer and relative strength was calculated according to body weight. When making comparisons between both genders, results showed significant differences (p &lt;= 0,05) in favor of boys in the absolute and relative strength levels. A greater correlation was found between relative rather than absolute hand grip strength with the cardiometabolic risk markers in both sexes, this relationship being more noticeable in girls than boys. Relative hand grip strength is mainly correlated with cardiometabolic risk than absolute hand grip strength in Chilean schoolchildren.</t>
  </si>
  <si>
    <t>Ferrari, Gerson/HHM-6173-2022; Arangua, Sebastian/AAQ-3480-2021; Ferrari, Gerson/P-1152-2014</t>
  </si>
  <si>
    <t>Farias Valenzuela, Claudio/0000-0002-4027-4415; Ferrari, Gerson/0000-0003-3177-6576; Alvarez Arangua, Sebastian/0000-0002-1930-5512</t>
  </si>
  <si>
    <t>1989-6239</t>
  </si>
  <si>
    <t>S1</t>
  </si>
  <si>
    <t>WOS:000709411800007</t>
  </si>
  <si>
    <t>Pizarro, P; Díaz, M; Rojas, F; Espinoza, M; Tarisciotti, L; Gomis-Bellmunt, O</t>
  </si>
  <si>
    <t>Pizarro, Patricio; Diaz, Matias; Rojas, Felix; Espinoza, Mauricio; Tarisciotti, Luca; Gomis-Bellmunt, Oriol</t>
  </si>
  <si>
    <t>A Decoupled Control Strategy for a Shunt-Series Modular Multilevel Converter in Wind Energy Conversion System Applications</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</si>
  <si>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</si>
  <si>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</si>
  <si>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</si>
  <si>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</si>
  <si>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</si>
  <si>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In recent years, the rated power of Wind Energy Conversion Systems (WECS) has been growing significantly, to this date, reaching power ratings above 10 MW per wind turbine. Consequently, Modular Multilevel Converters appear as a proper solution to replace conventional power converter in the power conversion stage of multi-megawatts WECS. This paper abords the application of a Shunt-Series Modular Multilevel Converters that interface a single WECS with a medium-voltage AC grid. It is proposed and studied a new control strategy that enables the decoupled operation at both ports of the converter as well as enables to track the maximum power point at the generator side. Simulation results are presented to validate both the proposed topology in WECS application and the control strategy applied.</t>
  </si>
  <si>
    <t>Gonzalez-Pizarro, Patricio/HMD-9320-2023; Rojas, Felix/U-3305-2019; Gomis-Bellmunt, Oriol/I-3557-2014; Tarisciotti, Luca/V-6093-2019; Espinoza, Mauricio/AAH-8647-2019; Diaz, Matias/R-7570-2018</t>
  </si>
  <si>
    <t>Diaz, Matias/0000-0003-4489-9532</t>
  </si>
  <si>
    <t>978-1-6654-0127-2</t>
  </si>
  <si>
    <t>10.1109/ICAACCA51523.2021.9465265</t>
  </si>
  <si>
    <t>WOS:000855764500085</t>
  </si>
  <si>
    <t>Mojica, M; Alzogaray, RA; Mengoni, SL; Reynoso, MMN; Pinto, CF; Niemeyer, HM; Echeverría, J</t>
  </si>
  <si>
    <t>Mojica, Marycruz; Adolfo Alzogaray, Raul; Laura Mengoni, Sofia; Noel Reynoso, Mercedes Maria; Fernando Pinto, Carlos; Niemeyer, Hermann M.; Echeverria, Javier</t>
  </si>
  <si>
    <t>Repellent activity of the essential oil from Laurelia sempervirens (Ruiz &amp; Pay.) Tul. (Monimiaceae) on Triatoma infestans (Klug) (Reduviidae)</t>
  </si>
  <si>
    <t>Triatoma infestans (Klug) is the principal vector of Chagas disease in Bolivia and neighboring countries. The objective of this study was to determine the chemical composition of the EO of the Chilean laurel, Laurelia sempervirens (Ruiz &amp; Pay.) Tul. (Monimiaceae) and to evaluate its repellent effect on fifth-instar nymphs of T. infestans. The EO from L. sempervirens was obtained by hydrodistillation and analyzed by gas chromatography coupled to mass spectrometry (GC-MS). Their main components were cis-isosafrole (89.8%), beta-terpinene (3.9%), trans-ocimene (2.7%) and methyleugenol (2.2%). Repellency was evaluated on a circle of filter paper divided into two equal zones which were impregnated with test substances [EO or N,N-diethyl-3-methylbenzamide (DEET) as positive control] and acetone as blank control, respectively. Several concentrations of test substances between 4.125 and 132 mu g/cm(2) were tested. The EO from L. sempervirens produced significant repellency at concentrations equal or above 66.0 mu g/cm(2), while DEET repelled starting at 16.5 mu g/cm(2). Future works will be oriented to the study of repellent properties of cis-isosafrole alone and mixed with beta-terpinene, trans-ocimene and methyleugenol on T. infestans.</t>
  </si>
  <si>
    <t>Niemeyer, Hermann/I-1100-2013; Echeverría, Javier/AAK-3323-2020</t>
  </si>
  <si>
    <t>10.37360/blacpma.20.19.4.26</t>
  </si>
  <si>
    <t>WOS:000592117200005</t>
  </si>
  <si>
    <t>He, JW; Lizama, C; Zhou, Y</t>
  </si>
  <si>
    <t>He, Jia Wei; Lizama, Carlos; Zhou, Yong</t>
  </si>
  <si>
    <t>The Cauchy problem for discrete time fractional evolution equations</t>
  </si>
  <si>
    <t>JOURNAL OF COMPUTATIONAL AND APPLIED MATHEMATICS</t>
  </si>
  <si>
    <t>This paper is devoted to the study of discrete-time fractional evolution equations involving the Riemann-Liouville-like difference operator. Based on the relationship between C-0-semigroups and a distinguished class of sequences of operators, we show the structure of the solutions for the inhomogeneous Cauchy problem of abstract fractional difference equations. Further, we establish two criteria for the existence and uniqueness of solutions for the semilinear Cauchy problem. Some examples are also provided to illustrate our main results. (C) 2019 Elsevier B.V. All rights reserved.</t>
  </si>
  <si>
    <t>He, Jia/AAF-9253-2019; Lizama, Carlos/E-5909-2011; Zhou, Yong/K-7875-2015</t>
  </si>
  <si>
    <t>Lizama, Carlos/0000-0002-9807-1100; Zhou, Yong/0000-0002-4099-8077</t>
  </si>
  <si>
    <t>0377-0427</t>
  </si>
  <si>
    <t>1879-1778</t>
  </si>
  <si>
    <t>MAY 15</t>
  </si>
  <si>
    <t>10.1016/j.cam.2019.112683</t>
  </si>
  <si>
    <t>WOS:000510957900024</t>
  </si>
  <si>
    <t>Molina-Roco, M; Escudey, M; Antilén, M; Arancibia-Miranda, N; Manquián-Cerda, K</t>
  </si>
  <si>
    <t>Molina-Roco, Mauricio; Escudey, Mauricio; Antilen, Monica; Arancibia-Miranda, Nicolas; Manquian-Cerda, Karen</t>
  </si>
  <si>
    <t>Distribution of contaminant trace metals inadvertently provided by phosphorus fertilisers: movement, chemical fractions and mass balances in contrasting acidic soils</t>
  </si>
  <si>
    <t>ENVIRONMENTAL GEOCHEMISTRY AND HEALTH</t>
  </si>
  <si>
    <t>The frequent use of phosphorus (P) fertilisers accompanied by nitrogen and potassium sources may lead to a serious long-term environmental issue because of the presence of potentially hazardous trace metals (TM) in P fertilisers and unknown effects on the TM chemical fractions in agricultural soils. A 16-month-long column experiment was conducted to investigate the mobility and chemical forms of Cd, Cu, Cr, Ni, and Zn introduced into a Mollisol and an Andisol through surface incorporation (0-2cm) of triple superphosphate (TSP) fertiliser. The effects of urea and potassium chloride (KCl) applications were investigated as well. After 15 cycles of 300-mm irrigation, TSP addition increased the 4M HNO3 extractable TM concentration in the upper (0-5cm) section of soils. Beyond this depth, metals showed no significant mobility, with minimal leaching losses (&lt;1.9%, 25-cm depth). The TM chemical forms in the 0-5cm section were significantly (p &lt; 0.01) affected by the soil type and fertilisers addition. Cadmium, Ni, and Zn were the elements which appeared in a larger proportion (up to 30%) in the most labile fraction (KNO3 extractable) in fertilised soils. The impact of urea depended on the nitrification-related changes in soil pH, while fertilisation with KCl tended to increase the KNO3 fraction of most metals probably due to K+ exchange reactions. Chromium remained minimally affected by the urea and KCl applications since this contaminant is strongly bound to the less labile solid phases. The low mobility of TM was governed mainly by their interaction with the solid phases rather than by their speciation at soil pH. The mass balance showed that the geochemical processes underwent in time by the P fertiliser increased the amount of TM extracted by the chemical fractionation scheme, therefore the reaction period of TSP with soil particles should be taken into account for evaluating TM availability. Long-term soil fertilisation could inadvertently contribute to an increased concentration and availability of these P fertilisers-born contaminants in the cultivated layer of acidic soils.</t>
  </si>
  <si>
    <t>Arancibia-Miranda, Nicolás/I-6743-2013</t>
  </si>
  <si>
    <t>Antilen-Lizana, Monica/0000-0003-0512-4267</t>
  </si>
  <si>
    <t>0269-4042</t>
  </si>
  <si>
    <t>1573-2983</t>
  </si>
  <si>
    <t>10.1007/s10653-018-0115-y</t>
  </si>
  <si>
    <t>WOS:000452307100015</t>
  </si>
  <si>
    <t>Géminard, JC; Pastenes, JC; Melo, F</t>
  </si>
  <si>
    <t>Geminard, J. -C.; Pastenes, J. C.; Melo, F.</t>
  </si>
  <si>
    <t>Foam rheology at large deformation</t>
  </si>
  <si>
    <t>Large deformations are prone to cause irreversible changes in materials structure, generally leading to either material hardening or softening. Aqueous foam is a metastable disordered structure of densely packed gas bubbles. We report on the mechanical response of a foam layer subjected to quasistatic periodic shear at large amplitude. We observe that, upon increasing shear, the shear stress follows a universal curve that is nearly exponential and tends to an asymptotic stress value interpreted as the critical yield stress at which the foam structure is completely remodeled. Relevant trends of the foam mechanical response to cycling are mathematically reproduced through a simple law accounting for the amount of plastic deformation upon increasing stress. This view provides a natural interpretation to stress hardening in foams, demonstrating that plastic effects are present in this material even for minute deformation.</t>
  </si>
  <si>
    <t>Melo, Francisco/M-3923-2014; Pastenes, Javier/M-4205-2019</t>
  </si>
  <si>
    <t>Melo, Francisco Esteban/0000-0001-6818-5476; GEMINARD, Jean-Christophe Nicolas Denis/0000-0002-9773-4806</t>
  </si>
  <si>
    <t>APR 4</t>
  </si>
  <si>
    <t>10.1103/PhysRevE.97.042601</t>
  </si>
  <si>
    <t>WOS:000429117200007</t>
  </si>
  <si>
    <t>Araya-Córdova, PJ; Díaz-Nuñez, F; Moraga, J; Quezada, F; Rojo-González, L; Vásquez, OC</t>
  </si>
  <si>
    <t>Cerulli, R; Raiconi, A; Voss, S</t>
  </si>
  <si>
    <t>Araya-Cordova, Patricio J.; Diaz-Nunez, Fabian; Moraga, Javier; Quezada, Franco; Rojo-Gonzalez, Luis; Vasquez, Oscar C.</t>
  </si>
  <si>
    <t>The Balanced Dispatching Problem in Passengers Transport Services on Demand</t>
  </si>
  <si>
    <t>COMPUTATIONAL LOGISTICS (ICCL 2018)</t>
  </si>
  <si>
    <t>Lecture Notes in Computer Science</t>
  </si>
  <si>
    <t>9th International Conference on Computational Logistics (ICCL)</t>
  </si>
  <si>
    <t>OCT 01-03, 2018</t>
  </si>
  <si>
    <t>Vietri sul Mare, ITALY</t>
  </si>
  <si>
    <t>We introduce the balanced dispatching problem in passengers transport services on demand, such as taxi services, and propose an easy-to-implement algorithm in an online scenario, where all necessary information is only revealed with the arrival of requested transport services, seeking to guarantee quality of service for the passengers as well as balancing the income received by the drivers of the vehicles who perform the transportation services. The algorithm is based on theoretical results from the balanced incomes per worked time through the income variance minimization problem for two transport vehicles, considering the incoming service tariff, the performed services and the worked time by the transport vehicle drivers during the pay period in an online scenario. We compare our algorithm with the online dispatching algorithm currently used by Chilean companies on real instances. The numerical experiments are based on three different data sets of real instances such a labour day, one week, and one month, respectively. The obtained results show that the proposed algorithm is able to efficiently reduce the income dispersion among transport vehicle drivers within reduced running times, allowing a practical implementation into an automated dispatching system.</t>
  </si>
  <si>
    <t>Vasquez, Oscar C./0000-0002-1393-4692</t>
  </si>
  <si>
    <t>0302-9743</t>
  </si>
  <si>
    <t>1611-3349</t>
  </si>
  <si>
    <t>978-3-030-00898-7; 978-3-030-00897-0</t>
  </si>
  <si>
    <t>10.1007/978-3-030-00898-7_25</t>
  </si>
  <si>
    <t>WOS:000477928100025</t>
  </si>
  <si>
    <t>Fuertes, G; Alfaro, M; Soto, I; Carrasco, R; Iturralde, D; Lagos, C</t>
  </si>
  <si>
    <t>Dzitac, I; Filip, FG; Manolescu, MJ; Dzitac, S; Oros, H; Dzitac, D</t>
  </si>
  <si>
    <t>Fuertes, Guillermo; Alfaro, Miguel; Soto, Ismael; Carrasco, Raul; Iturralde, Daniel; Lagos, Carolina</t>
  </si>
  <si>
    <t>Optimization Model for Location of RFID Antennas in a Supply Chain</t>
  </si>
  <si>
    <t>2018 7TH INTERNATIONAL CONFERENCE ON COMPUTERS COMMUNICATIONS AND CONTROL (ICCCC 2018)</t>
  </si>
  <si>
    <t>7th International Conference on Computers Communications and Control (ICCCC)</t>
  </si>
  <si>
    <t>MAY 08-12, 2018</t>
  </si>
  <si>
    <t>Oradea, ROMANIA</t>
  </si>
  <si>
    <t>IEEE,IEEE Reg 08,Agora Univ Oradea,R &amp; D Agora, Cercetare Dezvoltare Agora</t>
  </si>
  <si>
    <t>It is presented the methodology to place properly height antennas over the surface of a storage cellar, in a link of electromagnetic waves between an identification radio frequency antenna (RFID) and a Passive label starting from a radioelectric profile. It is described the effect of different external dimensions and distributions of the internal space over the signs of radio frequency; the parameters used and the analyzes of the system are adjusted to a dynamic real model of transmission. The main objective of this study is to determine the sturdiness of a genetic algorithm using a simple model of communication which finds the suitable position of the antenna and allows the needed polarization for the identification of all the passive RFID labels, using as measure the minimum power received by the RFID. Through a location model and with the help of a genetic algorithm (GA), it is searched the proper position of the antennas that allows the need polarization for the identification of all the labels, using as a measure the minimum power received by the RFID antenna.</t>
  </si>
  <si>
    <t>Fuertes, Guillermo/Q-2341-2016; Carrasco, Raul/G-5440-2015</t>
  </si>
  <si>
    <t>Iturralde, Daniel/0000-0003-2134-0453; Carrasco, Raul/0000-0002-5023-9349; Soto, Ismael/0000-0002-5501-5651</t>
  </si>
  <si>
    <t>978-1-5386-1934-6</t>
  </si>
  <si>
    <t>WOS:000437157500030</t>
  </si>
  <si>
    <t>Fierro, A; Grez, AA; Vergara, PM; Ramírez-Hernández, A; Micó, E</t>
  </si>
  <si>
    <t>Fierro, Andres; Grez, Audrey A.; Vergara, Pablo M.; Ramirez-Hernandez, Alfredo; Mico, Estefania</t>
  </si>
  <si>
    <t>How does the replacement of native forest by exotic forest plantations affect the diversity, abundance and trophic structure of saproxylic beetle assemblages?</t>
  </si>
  <si>
    <t>FOREST ECOLOGY AND MANAGEMENT</t>
  </si>
  <si>
    <t>Native forest in central Chile has been increasingly replaced by exotic forest plantations. In particular, saproxylic beetles could be highly sensitive to exotic forest plantations due to the clear-cutting management decreases deadwood accumulation while promoting the incompleteness of the decay cycle. We assessed the diversity and density of saproxylic beetle species at two spatial levels (habitat and microhabitat) and compared them among native Maulino forest (Native), Blue-gum eucalyptus plantations (Eucalyptus) and Monterrey pine plantations (Pine). We sampled for adult beetles at 972 logs and stumps. Although exotic plantations and Native had relatively similar amounts of deadwood, beetle species were less diverse and abundant in exotic plantations. Such a decreased density and diversity of saproxylic beetles in plantations depended on the substrate type (logs or stamps), decay stage of wood and trophic level. With the exception of Polyphagous, the richness of all species and trophic guilds decreased in forest plantations, with Eucalyptus supporting the lowest density and richness. The microclimate and the toxic leaf litter in Eucalyptus probably caused the woody biomass to be unsuitable for beetles. Although the guilds of late-successional species were underrepresented in Pine, our results provide the first evidence that saproxylic beetles benefit from exotic woody debris available in Chilean pine plantations. An increased beetle density at expenses of reduced species richness in Pine indicates that ecosystem services provided by saproxylic beetles are not limited in Pine. We suggest the conservation of saproxylic beetles in Pine plantations involves the retention of woody debris along the management cycle.</t>
  </si>
  <si>
    <t>Vergara, Pablo/F-2519-2010; Grez, Audrey/G-8677-2013; Mico, Estefania/H-1983-2015; Ramirez-Hernandez, Alfredo/P-1866-2014</t>
  </si>
  <si>
    <t>Mico, Estefania/0000-0002-7361-4770; Vergara, Pablo/0000-0002-0024-1678; Ramirez-Hernandez, Alfredo/0000-0002-7261-7443</t>
  </si>
  <si>
    <t>0378-1127</t>
  </si>
  <si>
    <t>1872-7042</t>
  </si>
  <si>
    <t>10.1016/j.foreco.2017.09.026</t>
  </si>
  <si>
    <t>WOS:000413878500023</t>
  </si>
  <si>
    <t>Vergara, PM; Meneses, LO; Saavedra, M; Diaz, FE; Norambuena, K; Fierro, A; Rodewald, AD; Soto, GE</t>
  </si>
  <si>
    <t>Vergara, Pablo M.; Meneses, Luis O.; Saavedra, Marcelo; Diaz, Felipe E.; Norambuena, Katherine; Fierro, Andres; Rodewald, Amanda D.; Soto, Gerardo E.</t>
  </si>
  <si>
    <t>Magellanic Woodpeckers in three national parks of central-southern Chile: habitat effects and population variation over the last two decades</t>
  </si>
  <si>
    <t>AVIAN CONSERVATION AND ECOLOGY</t>
  </si>
  <si>
    <t>A major challenge for protected areas is providing wildlife with enough suitable habitat to cope with stochastic environment and increased pressure from the surrounding landscapes. In this study, we addressed changes in local populations of Magellanic Woodpeckers (Campephilus magellanicus) occupying three national parks of central-southern Chile. We compared the breeding and postbreeding abundance of woodpeckers during the 1990s with the present (2016) abundance (n = 4 years), and assessed the extent to which abundance was explained by forest type and quality of foraging habitat (as quantified through the plant senescence reflectance index; PSRI). Results show a distinctive temporal variation in woodpecker abundance at each park, with local populations of Magellanic Woodpeckers declining by 42.2% in Conguillio National Park, but increasing by 34.3% in Nahuelbuta National Park. Woodpeckers responded to forest conditions within each park such that their abundance increased with high quality of foraging habitat, i. e., large PSRI values, and the presence of old-growth Monkey puzzle (Araucaria araucana) -Nothofagus pumilio mixed forest. Anecdotal evidence suggests that populations of woodpeckers in Conguillio National Park might have responded negatively to large-scale disturbances from recent forest fires affecting part of the forest area within park. Because stochastic events seemed to strongly mediate population changes, our findings suggest that regional conservation of Magellanic Woodpeckers requires expanding the current conservation area network in central-southern Chile.</t>
  </si>
  <si>
    <t>Soto, Gerardo/JAX-4165-2023; Vergara, Pablo/F-2519-2010; Rodewald, Amanda/I-6308-2016</t>
  </si>
  <si>
    <t>Vergara, Pablo/0000-0002-0024-1678; Soto, Gerardo/0000-0002-9706-6588; Rodewald, Amanda/0000-0002-6719-6306</t>
  </si>
  <si>
    <t>1712-6568</t>
  </si>
  <si>
    <t>10.5751/ACE-01106-120215</t>
  </si>
  <si>
    <t>WOS:000419347000018</t>
  </si>
  <si>
    <t>Kuckuk, S; Haase, G; Vasco, DA; Köstler, H</t>
  </si>
  <si>
    <t>Kuckuk, Sebastian; Haase, Gundolf; Vasco, Diego A.; Koestler, Harald</t>
  </si>
  <si>
    <t>Towards generating efficient flow solvers with the ExaStencils approach</t>
  </si>
  <si>
    <t>CONCURRENCY AND COMPUTATION-PRACTICE &amp; EXPERIENCE</t>
  </si>
  <si>
    <t>ExaStencils aims at providing intuitive interfaces for the specification of numerical problems and resulting solvers, particularly those from the class of (geometric) multigrid methods. It envisions a multi-layered domain-specific language and a sophisticated code generation framework ultimately emitting source code in a chosen target language. We present our recent advances in fully generating solvers applied to 3D fluid mechanics for nonisothermal/non-Newtonian flows. In detail, a system of time-dependent, nonlinear partial differential equations is discretized on a cubic, nonuniform, and staggered grid using finite volumes. We examine the contained problem of coupled Navier-Stokes and temperature equations, which are linearized and solved using the SIMPLE algorithm and geometric multigrid solvers, as well as the incorporation of non-Newtonian properties. Furthermore, we provide details on necessary extensions to our domain-specific language and code generation framework, in particular, those concerning the handling of boundary conditions, support for nonequidistant staggered grids, and supplying specialized functions to express operations reoccurring in the scope of finite volume discretizations. Many of these enhancements are generalizable and thus suitable for utilization in similar projects. Lastly, we demonstrate the applicability of our code generation approach by providing convincing performance results for fully generated and automatically parallelized solvers.</t>
  </si>
  <si>
    <t>Koestler, Harald/AAK-9385-2021; Vasco, Diego/Y-2934-2019</t>
  </si>
  <si>
    <t>Haase, Gundolf/0000-0002-3439-6117; Koestler, Harald/0000-0002-6992-2690; Vasco, Diego Andres/0000-0001-7456-4683</t>
  </si>
  <si>
    <t>1532-0626</t>
  </si>
  <si>
    <t>1532-0634</t>
  </si>
  <si>
    <t>SEP 10</t>
  </si>
  <si>
    <t>SI</t>
  </si>
  <si>
    <t>e4062</t>
  </si>
  <si>
    <t>10.1002/cpe.4062</t>
  </si>
  <si>
    <t>WOS:000407650600007</t>
  </si>
  <si>
    <t>Arias, P; Das, AK; Camboa, J; Méndez, F</t>
  </si>
  <si>
    <t>Arias, Paola; Das, Ashok K.; Camboa, Jorge; Mendez, Fernando</t>
  </si>
  <si>
    <t>Generalized Dirac duality and CP violation in a two-photon theory</t>
  </si>
  <si>
    <t>MODERN PHYSICS LETTERS A</t>
  </si>
  <si>
    <t>A kinetic mixing term, which generalizes the duality symmetry of Dirac, is studied in a theory with two photons (visible and hidden). This theory can be either CP conserving or CP violating depending on the transformation of fields in the hidden sector. However, if CP is violated, it necessarily occurs in the hidden sector. This opens up an interesting possibility of new sources of CP violation.</t>
  </si>
  <si>
    <t>Gamboa, Jorge/R-8744-2019; Das, Ashok/K-7202-2017; Arias, Paola/Q-5912-2017</t>
  </si>
  <si>
    <t>Gamboa, Jorge/0000-0001-7992-7199; Arias, Paola/0000-0001-5551-9182; Das, Ashok/0000-0002-4958-6706; Mendez, Fernando/0000-0002-9257-9552</t>
  </si>
  <si>
    <t>0217-7323</t>
  </si>
  <si>
    <t>1793-6632</t>
  </si>
  <si>
    <t>FEB 20</t>
  </si>
  <si>
    <t>10.1142/S0217732317500328</t>
  </si>
  <si>
    <t>WOS:000441355200003</t>
  </si>
  <si>
    <t>Villanueva, AA; Falcón, P; Espinoza, N; Solano, RL; Milla, LA; Hernandez-SanMiguel, E; Torres, VA; Sanchez-Gomez, P; Palma, V</t>
  </si>
  <si>
    <t>Villanueva, Andrea A.; Falcon, Paulina; Espinoza, Natalie; Solano, Luis R.; Milla, Luis A.; Hernandez-SanMiguel, Esther; Torres, Vicente A.; Sanchez-Gomez, Pilar; Palma, Veronica</t>
  </si>
  <si>
    <t>The Netrin-4/ Neogenin-1 axis promotes neuroblastoma cell survival and migration</t>
  </si>
  <si>
    <t>ONCOTARGET</t>
  </si>
  <si>
    <t>Neogenin-1 (NEO1) is a transmembrane receptor involved in axonal guidance, angiogenesis, neuronal cell migration and cell death, during both embryonic development and adult homeostasis. It has been described as a dependence receptor, because it promotes cell death in the absence of its ligands (Netrin and Repulsive Guidance Molecule (RGM) families) and cell survival when they are present. Although NEO1 and its ligands are involved in tumor progression, their precise role in tumor cell survival and migration remain unclear. Public databases contain extensive information regarding the expression of NEO1 and its ligands Netrin-1 (NTN1) and Netrin-4 (NTN4) in primary neuroblastoma (NB) tumors. Analysis of this data revealed that patients with high expression levels of both NEO1 and NTN4 have a poor survival rate. Accordingly, our analyses in NB cell lines with different genetic backgrounds revealed that knocking-down NEO1 reduces cell migration, whereas silencing of endogenous NTN4 induced cell death. Conversely, overexpression of NEO1 resulted in higher cell migration in the presence of NTN4, and increased apoptosis in the absence of ligand. Increased apoptosis was prevented when utilizing physiological concentrations of exogenous Netrin-4. Likewise, cell death induced after NTN4 knock-down was rescued when NEO1 was transiently silenced, thus revealing an important role for NEO1 in NB cell survival. In vivo analysis, using the chicken embryo chorioallantoic membrane (CAM) model, showed that NEO1 and endogenous NTN4 are involved in tumor extravasation and metastasis. Our data collectively demonstrate that endogenous NTN4/NEO1 maintain NB growth via both pro-survival and pro-migratory molecular signaling.</t>
  </si>
  <si>
    <t>Torres, Vicente/I-2437-2013; Milla, Luis/AAU-5222-2020; Sanchez-Gomez, Pilar/K-8256-2014; Hernandez-SanMiguel, Esther/H-2767-2015</t>
  </si>
  <si>
    <t>Sanchez-Gomez, Pilar/0000-0002-0709-4973; Milla, Luis/0000-0001-9738-6234; Torres, Vicente A/0000-0002-5973-7248; Falcon Urrutia, Paulina/0000-0003-4759-8540; Hernandez-SanMiguel, Esther/0000-0003-4135-860X; Palma, Veronica/0000-0002-4320-7525</t>
  </si>
  <si>
    <t>1949-2553</t>
  </si>
  <si>
    <t>FEB 7</t>
  </si>
  <si>
    <t>10.18632/oncotarget.14213</t>
  </si>
  <si>
    <t>WOS:000394181800071</t>
  </si>
  <si>
    <t>Escobar, RA; Castillo-Sepúlveda, S; Allende, S; Altbir, D; Sergelius, P; Goerlitz, D; Nielsch, K</t>
  </si>
  <si>
    <t>Escobar, Roberto A.; Castillo-Sepulveda, Sebastian; Allende, Sebastian; Altbir, Dora; Sergelius, Philip; Goerlitz, Detlef; Nielsch, Kornelius</t>
  </si>
  <si>
    <t>Towards Independent Behavior of Magnetic Slabs</t>
  </si>
  <si>
    <t>IEEE MAGNETICS LETTERS</t>
  </si>
  <si>
    <t>The magnetic stability of a multilayer system formed by N slabs separated by nonmagnetic spacers has been studied, emphasizing the role of dipolar interactions among magnetic slabs. By means of numerical and analytical calculations, we have identified a regime in which the magnetic slabs behave independently, i.e., a critical thickness of the spacer at which dipolar interactions can be safely disregarded. The methodology used to establish this critical distance can be used for other geometries, as it is a useful tool to identify regimes of non-interacting magnetic slabs.</t>
  </si>
  <si>
    <t>Nielsch, Kornelius/S-3196-2016; Görlitz, Detlef/D-8530-2012; Altbir, Dora/R-6781-2018</t>
  </si>
  <si>
    <t>Altbir, Dora/0000-0002-2945-4909; Nielsch, Kornelius/0000-0003-2271-7726</t>
  </si>
  <si>
    <t>1949-307X</t>
  </si>
  <si>
    <t>10.1109/LMAG.2017.2664038</t>
  </si>
  <si>
    <t>WOS:000398703200001</t>
  </si>
  <si>
    <t>Saghir, MZ; Siginer, DA; Kulacki, FA</t>
  </si>
  <si>
    <t>Saghir, M. Ziad; Siginer, Dennis A.; Kulacki, Frank A.</t>
  </si>
  <si>
    <t>Special Section on the International Conference on Thermal Engineering and Applications</t>
  </si>
  <si>
    <t>JOURNAL OF HEAT TRANSFER-TRANSACTIONS OF THE ASME</t>
  </si>
  <si>
    <t>Saghir, Ziad/0000-0002-6199-0314</t>
  </si>
  <si>
    <t>0022-1481</t>
  </si>
  <si>
    <t>1528-8943</t>
  </si>
  <si>
    <t>10.1115/1.4033324</t>
  </si>
  <si>
    <t>WOS:000383784700001</t>
  </si>
  <si>
    <t>López-Alegría, F; Poblete, OQ; De Lorenzi, DS; Oyanedel, JCS</t>
  </si>
  <si>
    <t>Lopez-Alegria, Fanny; Quezada Poblete, Orlando; Soares De Lorenzi, Dino; Sepulveda Oyanedel, Juan Carlos</t>
  </si>
  <si>
    <t>Clinical management of the first ASCUS report in Chile. Prospective single-cohort study</t>
  </si>
  <si>
    <t>SAO PAULO MEDICAL JOURNAL</t>
  </si>
  <si>
    <t>CONTEXT AND OBJECTIVE: Worldwide, there is no single strategy for optimal management of patients with ASCUS (atypical squamous cells of undetermined significance) cytology reports. The objective of this study was to determine the kind of clinical management conducted among women with a first ASCUS Pap smear report. DESIGN AND SETTING: Prospective single cohort study at a cervical pathology unit in Santiago, Chile. METHODS: This was an epidemiological, descriptive, observational and quantitative follow-up study on a cohort of women with ASCUS cytological reports. RESULTS: In the screening phase, 92,001 cervical cytological smears were collected in primary healthcare clinics. In the diagnostic phase, all women with a first ASCUS report were selected (n = 446). These women were asked to undergo the Pap test again and it was found that 301 women had normal results, 62 women had abnormal results and 83 did not repeat the test. In the diagnostic confirmation phase, the 62 women with abnormal results underwent colposcopy and, from these results, 58 of them underwent a biopsy. The results from the biopsies showed that 16 women had negative histological reports, 13 had CIN 1 and 29 had CIN 2+. In the treatment phase, the 42 women with lesions underwent a variety of treatments, according to the type of lesion. In the post-treatment phase, cytological and colposcopic monitoring was instituted. CONCLUSION: The clinical management consisted of traditional management of screening, diagnosis, diagnostic confirmation, treatment and post-treatment monitoring.</t>
  </si>
  <si>
    <t>Oyanedel, Juan/V-2833-2019</t>
  </si>
  <si>
    <t>Oyanedel, Juan/0000-0003-4023-6926; Lopez-Alegria, Fanny/0000-0001-7293-1347</t>
  </si>
  <si>
    <t>1516-3180</t>
  </si>
  <si>
    <t>NOV-DEC</t>
  </si>
  <si>
    <t>10.1590/1516-3180.2014.9142511</t>
  </si>
  <si>
    <t>WOS:000368271900005</t>
  </si>
  <si>
    <t>Ponce, HR; Mayer, RE</t>
  </si>
  <si>
    <t>Ponce, Hector R.; Mayer, Richard E.</t>
  </si>
  <si>
    <t>An eye movement analysis of highlighting and graphic organizer study aids for learning from expository text</t>
  </si>
  <si>
    <t>COMPUTERS IN HUMAN BEHAVIOR</t>
  </si>
  <si>
    <t>This study uses eye tracking technology to examine how study aids such as highlighting and graphic organizers affect cognitive processing during learning. Participants were 130 college students randomly assigned to one of five experimental conditions. In the control group, students read a plain text; in two behaviorally passive conditions, students read a text with key words colored in red or read the same text along with a filled-in graphic organizer; and in two behaviorally active conditions, students either highlighted key words in a text or filled in an empty graphic organizer. Students took tests of rote memory (doze test) and comprehension (summary test). Asking students to fill in a graphic organizer or providing a filled-in graphic organizer resulted in improvements in performance on both tests, whereas asking students to highlight the text or providing highlighted text improved performance only in the rote memory test compared to students who did not receive any study aids. Eye tracking measures showed that highlighting (in both conditions) primed the cognitive process of selecting: students spent more time fixating on those words colored in red compared with the control condition. In contrast, eye tracking measures showed that graphic organizers (in both conditions) primed the cognitive processes of selecting, organizing and integrating since the inclusion of an organizer substantially affected both where their eyes fixated and moved (i.e. transitions) within the text. (C) 2014 Elsevier Ltd. All rights reserved.</t>
  </si>
  <si>
    <t>Ponce, Hector R./0000-0002-7984-3945</t>
  </si>
  <si>
    <t>0747-5632</t>
  </si>
  <si>
    <t>1873-7692</t>
  </si>
  <si>
    <t>10.1016/j.chb.2014.09.010</t>
  </si>
  <si>
    <t>WOS:000347755000004</t>
  </si>
  <si>
    <t>Damiani, A; Cordero, RR; Cabrera, S; Laurenza, M; Rafanelli, C</t>
  </si>
  <si>
    <t>Damiani, A.; Cordero, R. R.; Cabrera, S.; Laurenza, M.; Rafanelli, C.</t>
  </si>
  <si>
    <t>Cloud cover and UV index estimates in Chile from satellite-derived and ground-based data</t>
  </si>
  <si>
    <t>ATMOSPHERIC RESEARCH</t>
  </si>
  <si>
    <t>Data of Lambertian equivalent reflectivity (LER) in ultraviolet (UV)-A range recorded by Total Ozone Mapping Spectrometer (TOMS) series aboard Nimbus 7 and Earth Probe and by Ozone Monitoring Instrument (OMI) on EOS Aura have been analyzed over eight Chilean locations spanning from about 18 degrees to 62 degrees S (i.e. including Profesor Julio Escudero station, Antarctic peninsula), covering years 1978-2011. Generally the distribution of the reflectivity is similar for both TOMS datasets. A slightly better agreement has been found for the most southern locations while a small discordance appears for northern locations. The latter could be partly due to actual differences in the cloud cover conditions. On the other hand, OMI LER data differ from TOMS ones in almost all locations. Daily cloud modification factor (CMF) values from ground-based global solar irradiance measurements have been compared with OMI LER-based CMF data. The northernmost and southernmost locations characterized by prevalent clear sky and winter snow conditions, respectively, showed the worse agreement with a correlation coefficient r = 0.63 and 0.71, while other stations showed a better correlation (i.e. r = 0.83 and r = 85). Clear sky ground UV index values for Santiago de Chile have been estimated for years 1979-2011 by means of an empirical reconstruction model based on data recorded by a multichannel radiometer. It allowed computing a ground-based CMF for years 1996-2011 and comparing it with satellite data. Results show that OMI CMF based on gridded cell LER data introduces significant differences with respect to equivalent TOMS CMF. On the contrary, the use of overpass LER data allows to evaluate changes in cloudiness and, by using the model, reconstructing the actual UV index. Nevertheless, LER CMF overestimates actual cloud cover conditions in winter. The trend in reconstructed satellite (ground) based UV index during summer months is +3.3 +/- 0.9% ( +11.9 +/- 2.5%)/decade for years 1979-2011 (1997-2011). Further comparisons concerning the Total Cloud Fraction product of Modem-Era Retrospective analysis for Research and Applications (MERRA) suggest that it could be used a further proxy of cloudiness for UV reconstruction models; nevertheless additional analysis is necessary. (C) 2013 Elsevier B.V. All rights reserved.</t>
  </si>
  <si>
    <t>Cordero, Raul/M-7979-2017; Laurenza, Monica/HMD-8729-2023; Damiani, Alessandro/X-4677-2019</t>
  </si>
  <si>
    <t>LAURENZA, Monica/0000-0001-5481-4534; Damiani, Alessandro/0000-0003-3014-6193; Cordero, Raul R./0000-0001-7607-7993</t>
  </si>
  <si>
    <t>0169-8095</t>
  </si>
  <si>
    <t>1873-2895</t>
  </si>
  <si>
    <t>MAR 1</t>
  </si>
  <si>
    <t>10.1016/j.atmosres.2013.11.006</t>
  </si>
  <si>
    <t>WOS:000333504300011</t>
  </si>
  <si>
    <t>Del-Cid, A; Ubilla, P; Ravanal, MC; Medina, E; Vaca, I; Levicán, G; Eyzaguirre, J; Chávez, R</t>
  </si>
  <si>
    <t>Del-Cid, Abdiel; Ubilla, Pamela; Ravanal, Maria-Cristina; Medina, Exequiel; Vaca, Inmaculada; Levican, Gloria; Eyzaguirre, Jaime; Chavez, Renato</t>
  </si>
  <si>
    <t>Cold-Active Xylanase Produced by Fungi Associated with Antarctic Marine Sponges</t>
  </si>
  <si>
    <t>APPLIED BIOCHEMISTRY AND BIOTECHNOLOGY</t>
  </si>
  <si>
    <t>Despite their potential biotechnological applications, cold-active xylanolytic enzymes have been poorly studied. In this work, 38 fungi isolated from marine sponges collected in King George Island, Antarctica, were screened as new sources of cold-active xylanases. All of them showed xylanase activity at 15 and 23 A degrees C in semiquantitative plate assays. One of these isolates, Cladosporium sp., showed the highest activity and was characterized in detail. Cladosporium sp. showed higher xylanolytic activity when grown on beechwood or birchwood xylan and wheat bran, but wheat straw and oat bran were not so good inducers of this activity. The optimal pH for xylanase activity was 6.0, although pH stability was slightly wider (pH 5-7). On the other hand, Cladosporium sp. showed high xylanase activity at low temperatures and very low thermal stability. Interestingly, thermal stability was even lower after culture media were removed and replaced by buffer, suggesting that low molecular component(s) of the culture media could be important in the stabilization of cold-active xylanase activity. To the best of our knowledge, this study is the first report on extracellular xylanase production by fungi associated with Antarctic marine sponges.</t>
  </si>
  <si>
    <t>Ravanal, Maria/G-8682-2018; Medina, Exequiel/AAA-9367-2022; Levican, Gloria/R-5191-2019; Vaca, Inmaculada/I-2758-2013</t>
  </si>
  <si>
    <t>Chavez, Renato/0000-0003-1754-3610; Ravanal, Maria Cristina/0000-0003-2462-6270; Vaca, Inmaculada/0000-0002-8952-9036; Levican, Gloria/0000-0002-1275-7399; Medina, Exequiel/0000-0002-1040-6720</t>
  </si>
  <si>
    <t>0273-2289</t>
  </si>
  <si>
    <t>1559-0291</t>
  </si>
  <si>
    <t>10.1007/s12010-013-0551-1</t>
  </si>
  <si>
    <t>WOS:000331005200043</t>
  </si>
  <si>
    <t>Vasco, DA; Moraga, NO; Haase, G</t>
  </si>
  <si>
    <t>Vasco, Diego A.; Moraga, Nelson O.; Haase, Gundolf</t>
  </si>
  <si>
    <t>PARALLEL FINITE VOLUME METHOD SIMULATION OF THREE-DIMENSIONAL FLUID FLOW AND CONVECTIVE HEAT TRANSFER FOR VISCOPLASTIC NON-NEWTONIAN FLUIDS</t>
  </si>
  <si>
    <t>NUMERICAL HEAT TRANSFER PART A-APPLICATIONS</t>
  </si>
  <si>
    <t>Three-dimensional fluid mechanics and heat transfer for viscoplastic flows are described by finite volume method, FVM. The open multi-processing approach has been implemented to parallelize the numerical code. Results for the elapsed times, speed-ups and efficiencies are presented. The code was used to describe the natural convection (Ra = 10(4); 10(6)) and the lid-driven cavity (Re = 100; 1000) processes with Bingham, Casson and Herschel-Bulkley fluids (Bn = 0.01; 1.0). Results describing isotherms, velocity distributions and stream-traces, as a function of Ra, Re, Pr and Bn numbers are shown. The grid size analysis shows that different sizes are required to obtain precise results for Nusselt number and friction factor.</t>
  </si>
  <si>
    <t>Vasco, Diego/Y-2934-2019</t>
  </si>
  <si>
    <t>Haase, Gundolf/0000-0002-3439-6117; Vasco, Diego Andres/0000-0001-7456-4683</t>
  </si>
  <si>
    <t>1040-7782</t>
  </si>
  <si>
    <t>1521-0634</t>
  </si>
  <si>
    <t>10.1080/10407782.2014.894387</t>
  </si>
  <si>
    <t>WOS:000339327100002</t>
  </si>
  <si>
    <t>Ravanal, MC; Espinosa, Y; Rosa, L; Vaca, I; Polanco, R; Eyzaguirre, J; Levicán, G; Chávez, R</t>
  </si>
  <si>
    <t>Ravanal, Maria-Cristina; Espinosa, Yeison; Rosa, Lorena; Vaca, Inmaculada; Polanco, Ruben; Eyzaguirre, Jaime; Levican, Gloria; Chavez, Renato</t>
  </si>
  <si>
    <t>Glucose-induced production of a Penicillium purpurogenum xylanase by Aspergillus nidulans</t>
  </si>
  <si>
    <t>MYCOSCIENCE</t>
  </si>
  <si>
    <t>The heterologous secretion of xylanase B from Penicillium purpurogenum using glucose as inducer was performed in Aspergillus nidulans. For this purpose, plasmid pEVXB, containing the xylanase B cDNA (including its own signal peptide) under the control of the glyceraldehyde-3-phosphate dehydrogenase promoter, was constructed and used to transform A. nidulans. Analysis of transformed clones showed that several of them secreted extracellular xylanase activity when grown in a medium containing glucose. The clone showing the highest xylanase activity was chosen for further work. When this clone was grown on glucose, xylanase activity (0.72 U/ml), was detected in the culture supernatant. This was confirmed by a zymogram analysis and by the amplification of xynB cDNA from this clone. To our knowledge, this is the first example of the production of a xylanase from Penicillium in heterologous fungal hosts using glucose as inducer.</t>
  </si>
  <si>
    <t>Levican, Gloria/R-5191-2019; Ravanal, Maria/G-8682-2018; Rosa, Lorena/AAO-1740-2021; Vaca, Inmaculada/I-2758-2013</t>
  </si>
  <si>
    <t>Ravanal, Maria Cristina/0000-0003-2462-6270; Chavez, Renato/0000-0003-1754-3610; Levican, Gloria/0000-0002-1275-7399; Vaca, Inmaculada/0000-0002-8952-9036</t>
  </si>
  <si>
    <t>1340-3540</t>
  </si>
  <si>
    <t>1618-2545</t>
  </si>
  <si>
    <t>10.1007/s10267-011-0144-1</t>
  </si>
  <si>
    <t>WOS:000301638800010</t>
  </si>
  <si>
    <t>Figueiredo, LCS; Janegitz, BC; Faria, RC; Fatibello, O; Marcolino, LH; Caetano, FR; de Mattos, IL</t>
  </si>
  <si>
    <t>Figueiredo-Filho, Luiz Carlos S.; Janegitz, Bruno C.; Faria, Ronaldo C.; Fatibello-Filho, Orlando; Marcolino-Junior, Luiz H.; Caetano, Fabio Roberto; Luiz de Mattos, Ivanildo</t>
  </si>
  <si>
    <t>CONSTRUCTION AND APPLICATION OF A BISMUTH-FILM MINI SENSOR USING LOW COST MATERIALS FOR IN LOCO VOLTAMMETRIC DETERMINATIONS</t>
  </si>
  <si>
    <t>QUIMICA NOVA</t>
  </si>
  <si>
    <t>CONSTRUCTION AND APPLICATION OF A BISMUTH-FILM MINI SENSOR USING LOW COST MATERIALS FOR IN LOCO VOLTAMMETRIC DETERMINATIONS. The construction of a low cost mini sensor containing a bismuth-film electrode (BiFE), as work electrode, a silver electrode as pseudo reference electrode, and copper as counter electrode is proposed. The application of this mini sensor using a low cost electrochemical cell for in loco voltammetric determinations of inorganic and organic analytes is also described.</t>
  </si>
  <si>
    <t>CAETANO, FABIO/JRX-3917-2023; Faria, Ronaldo/B-5405-2012; Marcolino-Junior, Luiz/AAB-5428-2019; Janegitz, Bruno/I-3248-2012; Censi Faria, Ronaldo/B-4130-2008; Fatibello-Filho, Orlando/D-2228-2012; Figueiredo, Luiz/D-4874-2013</t>
  </si>
  <si>
    <t>Censi Faria, Ronaldo/0000-0003-1094-9597; Caetano, Fabio Roberto/0000-0002-9180-9686; Marcolino-Junior, Luiz Humberto/0000-0002-6279-469X; Janegitz, Bruno/0000-0001-9707-9795; Fatibello-Filho, Orlando/0000-0002-6923-2227; Figueiredo, Luiz/0000-0001-6152-2871</t>
  </si>
  <si>
    <t>0100-4042</t>
  </si>
  <si>
    <t>1678-7064</t>
  </si>
  <si>
    <t>10.1590/S0100-40422012000500027</t>
  </si>
  <si>
    <t>WOS:000306136000027</t>
  </si>
  <si>
    <t>Latorre, R; Brauchi, S; Madrid, R; Orio, P</t>
  </si>
  <si>
    <t>Latorre, Ramon; Brauchi, Sebastian; Madrid, Rodolfo; Orio, Patricio</t>
  </si>
  <si>
    <t>A Cool Channel in Cold Transduction</t>
  </si>
  <si>
    <t>PHYSIOLOGY</t>
  </si>
  <si>
    <t>Transient receptor potential melastatin 8 (TRPM8), a calcium-permeable cation channel activated by cold, cooling compounds and voltage, is the main molecular entity responsible for detection of cold temperatures in the somatosensory system. Here, we review the biophysical properties, physiological role, and near-membrane trafficking of this exciting polymodal ion channel.</t>
  </si>
  <si>
    <t>Madrid, Rodolfo/MCJ-4974-2025; Orio, Patricio/F-6207-2010; Brauchi, Sebastian/ITT-0529-2023</t>
  </si>
  <si>
    <t>Latorre, Ramon/0000-0002-6044-5795; Madrid, Rodolfo/0000-0002-8623-5761; Orio, Patricio/0000-0003-0332-8098; Brauchi, Sebastian/0000-0002-8494-9912</t>
  </si>
  <si>
    <t>1548-9213</t>
  </si>
  <si>
    <t>1548-9221</t>
  </si>
  <si>
    <t>10.1152/physiol.00004.2011</t>
  </si>
  <si>
    <t>WOS:000293829900007</t>
  </si>
  <si>
    <t>Zou, XQ; Liu, YX; Chen, ZZ; Cárdenas-Jirón, GI; Schulten, K</t>
  </si>
  <si>
    <t>Zou, Xueqing; Liu, Yanxin; Chen, Zhongzhou; Ines Cardenas-Jiron, Gloria; Schulten, Klaus</t>
  </si>
  <si>
    <t>Flow-Induced β-Hairpin Folding of the Glycoprotein Ibα β-Switch</t>
  </si>
  <si>
    <t>BIOPHYSICAL JOURNAL</t>
  </si>
  <si>
    <t>Flow-induced shear has been identified as a regulatory driving force in blood clotting. Shear induces beta-hairpin folding of the glycoprotein Ib alpha beta-switch which increases affinity for binding to the von Willebrand factor, a key step in blood clot formation and wound healing. Through 2.1-mu s molecular dynamics simulations, we investigate the kinetics of flow-induced beta-hairpin folding. Simulations sampling different flow velocities reveal that under flow, beta-hairpin folding is initiated by hydrophobic collapse, followed by interstrand hydrogen-bond formation and turn formation. Adaptive biasing force simulations are employed to determine the free energy required for extending the unfolded beta-switch from a loop to an elongated state. Lattice and freely jointed chain models illustrate how the folding rate depends on the entropic and enthalpic energy, the latter controlled by flow. The results reveal that the free energy landscape of the beta-switch has two stable conformations imprinted on it, namely, loop and hairpin with flow inducing a transition between the two.</t>
  </si>
  <si>
    <t>Schulten, Klaus/D-5561-2009; Chen, Zhongzhou/I-4149-2017; Cardenas-Jiron, Gloria/H-9508-2012; Liu, Yanxin/D-8633-2011</t>
  </si>
  <si>
    <t>Zou, Xueqing/0000-0003-1143-1028; Cardenas-Jiron, Gloria/0000-0003-4305-8088; Liu, Yanxin/0000-0002-2253-3698</t>
  </si>
  <si>
    <t>0006-3495</t>
  </si>
  <si>
    <t>1542-0086</t>
  </si>
  <si>
    <t>AUG 18</t>
  </si>
  <si>
    <t>10.1016/j.bpj.2010.05.035</t>
  </si>
  <si>
    <t>WOS:000281103200022</t>
  </si>
  <si>
    <t>Chacón, M; Nuñez, N; Henríquez, C; Panerai, RB</t>
  </si>
  <si>
    <t>Chacon, M.; Nunez, N.; Henriquez, C.; Panerai, R. B.</t>
  </si>
  <si>
    <t>Unconstrained parameter estimation for assessment of dynamic cerebral autoregulation</t>
  </si>
  <si>
    <t>PHYSIOLOGICAL MEASUREMENT</t>
  </si>
  <si>
    <t>Measurement of dynamic cerebral autoregulation (CA), the transient response of cerebral blood flow (CBF) to changes in arterial blood pressure (ABP), has been performed with an index of autoregulation (ARI), related to the parameters of a second-order differential equation model, namely gain (K), damping factor (D) and time constant (T). Limitations of the ARI were addressed by increasing its numerical resolution and generalizing the parameter space. In 16 healthy subjects, recordings of ABP (Finapres) and CBF velocity (ultrasound Doppler) were performed at rest, before, during and after 5% CO2 breathing, and for six repeated thigh cuff maneuvers. The unconstrained model produced lower predictive error (p&lt;0.001) than the original model. Unconstrained parameters (K'-D'-T') were significantly different from K -D -T but were still sensitive to different measurement conditions, such as the under-regulation induced by hypercapnia. The intra-subject variability of K' was significantly lower than that of the ARI and this parameter did not show the unexpected occurrences of zero values as observed with the ARI and the classical value of K. These results suggest that K' could be considered as a more stable and reliable index of dynamic autoregulation than ARI. Further studies are needed to validate this new index under different clinical conditions.</t>
  </si>
  <si>
    <t>Henriquez Berroeta, Claudio Alex/0000-0002-5163-8704</t>
  </si>
  <si>
    <t>0967-3334</t>
  </si>
  <si>
    <t>1361-6579</t>
  </si>
  <si>
    <t>10.1088/0967-3334/29/10/003</t>
  </si>
  <si>
    <t>WOS:000259693900004</t>
  </si>
  <si>
    <t>Vargas, P; Knobel, M; Altbir, D</t>
  </si>
  <si>
    <t>Magnetic relaxation in nanocrystalline systems: linking Monte Carlo steps with time</t>
  </si>
  <si>
    <t>ZEITSCHRIFT FUR METALLKUNDE</t>
  </si>
  <si>
    <t>The magnetic relaxation of a noninteracting two-dimensional ensemble of magnetic nanoparticles is simulated as a function of temperature using a Monte Carlo technique. By properly fitting the decay of magnetization using real parameters it is possible to make, at any finite temperature, a clear correspondence between Monte Carlo steps and time measured in seconds. The results allow one to visualize the intrinsic problems related to the simulation of nonequilibrium systems, and to understand the limits and range of validity of a particular system.</t>
  </si>
  <si>
    <t>Vargas, Patricio/AAL-2633-2020; Altbir, Dora/R-6781-2018; Knobel, Marcelo/A-2843-2009</t>
  </si>
  <si>
    <t>vargas, patricio/0000-0001-9235-9747; Altbir, Dora/0000-0002-2945-4909; Knobel, Marcelo/0000-0002-6540-9267</t>
  </si>
  <si>
    <t>0044-3093</t>
  </si>
  <si>
    <t>10.3139/146.020974</t>
  </si>
  <si>
    <t>WOS:000179591100007</t>
  </si>
  <si>
    <t>Ureta-Zañartu, MS; Bustos, P; Diez, MC; Mora, ML; Gutiérrez, C</t>
  </si>
  <si>
    <t>Electro-oxidation of chlorophenols at a gold electrode</t>
  </si>
  <si>
    <t>ELECTROCHIMICA ACTA</t>
  </si>
  <si>
    <t>The electrooxidation of chlorophenols (CPs) with one to five chlorine atoms at gold electrodes was studied by cyclic voltammetry (CV) and the electrochemical quartz crystal microbalance (EQCM). The results obtained indicate that the oxidation of CPs at gold electrodes depends on the pH, the phenol concentration, the number of chlorine atoms in the aromatic ring, and the position of these Cl atoms with respect to the phenolic OH. At low scan rates and/or high CP concentrations, for mono- and di-CPs the phenoxi radicals condense forming polymers, or at least oligomers, that precipitate at the electrode surface, the resulting film behaving as an insulator that passivates the gold electrode. On the contrary, at high potential scan rates and/or low CP concentrations the film can be porous enough for charge transfer to continue. (C) 2001 Elsevier Science Ltd. All rights reserved.</t>
  </si>
  <si>
    <t>Mora Gil, Maria Luz/AAT-4081-2021; Diez, Cristina/C-9130-2015; Ureta-Zañartu, Maria/G-5239-2019</t>
  </si>
  <si>
    <t>Mora, Maria Luz/0000-0002-7474-1595; Diez, Maria Cristina/0000-0002-9494-1551</t>
  </si>
  <si>
    <t>0013-4686</t>
  </si>
  <si>
    <t>1873-3859</t>
  </si>
  <si>
    <t>10.1016/S0013-4686(01)00448-0</t>
  </si>
  <si>
    <t>WOS:000169043700011</t>
  </si>
  <si>
    <t>Carrizo, JP; Martínez, J; González, J; Mosteiro, A; Torné, R; Di Somma, A; Ríos, J; Enseñat, J; Fuster, S</t>
  </si>
  <si>
    <t>Carrizo, Jose Poblete; Martinez, Jesus; Gonzalez, Julio; Mosteiro, Alejandra; Torne, Ramon; Di Somma, Alberto; Rios, Jose; Ensenat, Joaquim; Fuster, Salvador</t>
  </si>
  <si>
    <t>Influence of spine biomechanics and sagittal balance on the outcome of lumbar discectomy</t>
  </si>
  <si>
    <t>FRONTIERS IN SURGERY</t>
  </si>
  <si>
    <t>Purpose Spine biomechanics, particularly sagittal balance and spino-pelvic angulation are determinant factors in the understanding of lumbar degenerative disease. These concepts translated into objective measurements are progressively being integrated into clinical practice. The present study explores them as prognostic factors in patients undergoing lumbar microdiscectomy, which could help identify those at higher risk of surgical failure. Methods Prospective analysis of patients treated with lumbar microdiscectomy (n = 52) and healthy control subjects (n = 45) in a single tertiary centre. Follow up of 12 and 24 months after surgery, with radicular and lumbar pain evaluation according to the Visual Analogue Scale (VAS) and Oswestry Disability Index (ODI). Comparison of several objective spinal biomechanic factors, measured by a single experienced radiologist. Assessment of spinal sagittal balance as a prognostic factor after lumbar discectomy. Results Compared to healthy individuals, patients with symptomatic lumbar disc herniation showed lower thoracic kyphosis (39.03 vs. 34.42 degrees p = 0.034), lower thoraco-lumbar transition T10-L2 angulation (6.79 vs. 2.08 degrees p = 0.005), lower lumbar lordosis (59.54 vs. 48.36 degrees p &lt; 0.001) and lumbo-sacral angulation L4-S1 (40.20 vs. 29.16 degrees p &lt; 0.001), lower pelvic incidence (54.71vs 49.86 degrees p = 0.014) and lower sacral slope (42.07 vs. 33.34 degrees p &lt; 0.001). Sagittal balance (SVA) was negative in healthy subjects -3.09 mm and positive lumbar-disc patients 15.04 (p = 0.013). Noteworthy, the radicular and lumbar pain and disability outcomes 12 and 24 months after surgery were significantly better in the group with normal sagittal balance (ODI 14.52 vs. 40.06 p &lt; 0.001; radicular VAS 2.74 vs. 5.58 p &lt; 0.001; lumbar VAS 3.61 vs. 4.06 p &lt; 0.001). Conclusion Lumbar degenerative disc disease represents a major burden for healthcare systems; thus, its management is determinant. Lumbar discectomy shows overall positive results, with a significant reduction of pain and disability in the majority of cases. However, a subgroup of patients, still not well defined, may experience persistent pain after the intervention. The use of objective measurements of sagittal balance may help identify these patients for which simple discectomy may not suffice and contribute to treatment planification.</t>
  </si>
  <si>
    <t>Mosteiro, Alejandra/LKL-8952-2024; Torné, Ramon/ABI-3299-2020; Di Somma, Alberto/AAG-5690-2020; Rios, Jose/AAZ-2341-2020</t>
  </si>
  <si>
    <t>Rios, Jose/0000-0002-0716-8784</t>
  </si>
  <si>
    <t>2296-875X</t>
  </si>
  <si>
    <t>FEB 12</t>
  </si>
  <si>
    <t>10.3389/fsurg.2025.1494780</t>
  </si>
  <si>
    <t>WOS:001432204100001</t>
  </si>
  <si>
    <t>Martínez, JP; Yañez, C; Gómez, H; Navarrete-Astorga, E; Pereyra, CJ; Valente, P; Valdivia, P; Dalchiele, EA; Marotti, RE</t>
  </si>
  <si>
    <t>Martinez, Juan P.; Yanez, Consuelo; Gomez, Humberto; Navarrete-Astorga, Elena; Pereyra, Carlos J.; Valente, Paulo; Valdivia, Patricio; Dalchiele, Enrique A.; Marotti, Ricardo E.</t>
  </si>
  <si>
    <t>Tuning the optical depolarization and absorption in freestanding ZnO nanorod/nanotube arrays decorated with SnS nanoparticles through control of the synthesis parameters</t>
  </si>
  <si>
    <t>The combination of ZnO nanotubes and SnS nanoparticles in core-shell nanoarchitectures has potential advantages for photoelectrochemical applications due to increased absorption, optimized band alignment, improved stability and large surface to volume ratios. The fabrication of these structures usually involves a three-step process, limiting their application when high throughput is required. This work presents a synthesis method based on SILAR deposition, a low cost technique, that successfully deposits the nanoparticles while simultaneously forming nanotubes, reducing the number of synthesis steps to two. In order to evaluate the resulting nanostructures for photoelectrochemical applications, morphological and optical characterizations of the resulting nanorod and nanotube arrays are performed. The absorption spectra of each sample is reconstructed through the Tauc plot method, with the samples showing both a direct and an indirect bandgap of SnS. It is shown that the formation of nanotubes affects the strain in the SnS shell, modifying the Urbach tail by generating mid-gaps states, which has potential as a control parameter to tailor optical performance. Lastly, the polarization properties of the 1D nanostructures associated with their elongated morphology are explored, which showed a clear relationship between underlying nanorod and nanotube morphology, the scattering properties and the polarization state of light.</t>
  </si>
  <si>
    <t>Martinez, Juan Pablo/LVS-5459-2024; VALDIVIA, PATRICIO/KMA-0184-2024</t>
  </si>
  <si>
    <t>VALDIVIA, PATRICIO/0000-0002-7457-1346; Martinez, Juan Pedro/0009-0004-3897-1934</t>
  </si>
  <si>
    <t>JAN 31</t>
  </si>
  <si>
    <t>10.1016/j.jallcom.2024.178339</t>
  </si>
  <si>
    <t>JAN 2025</t>
  </si>
  <si>
    <t>WOS:001399729900001</t>
  </si>
  <si>
    <t>Duarte, G; Sanduvete-Chaves, S; López-Arenas, D; Chacón-Moscoso, S</t>
  </si>
  <si>
    <t>Duarte, Giuliano; Sanduvete-Chaves, Susana; Lopez-Arenas, Daniel; Chacon-Moscoso, Salvador</t>
  </si>
  <si>
    <t>Digital strategies and behavior change techniques for preventing sexually transmitted infections: Protocol for an overview of systematic reviews</t>
  </si>
  <si>
    <t>INTRODUCTION Sexually transmitted infections (STIs) are a leading cause of premature mortality, with unsafe sex as a predominant risk factor. Changing risky sexual behaviors and adopting healthy habits is key to preventing STIs, including HIV, essential for public health. Technological advances in digital interventions have revealed significant opportunities, and systematic reviews have evaluated their effectiveness. These digital interventions, using technologies such as mobile phones, apps, and wearable devices, have shown great potential to reduce STIs, particularly among young people, who are a key population for their implementation. OBJECTIVE This protocol aims to describe in advance a systematic review intended to gather, evaluate, and synthesize the available evidence on digital behavior change interventions for STI prevention. In particular, it seeks to identify the most effective behavior change techniques to guide the design of evidence-based interventions that contribute to reducing STIs. METHODS This protocol outlines a review of systematic reviews. The methodological quality of the included reviews will be assessed using the AMSTAR-2 tool, following the PRISMA-P guidelines. Comprehensive searches will be conducted in Cochrane, PubMed, Epistemonikos, and PsycINFO. The inclusion criteria will focus on systematic reviews evaluating the effect of digital behavior change interventions for STI prevention, covering technologies such as mobile phones, apps, and websites. Data extraction will identify key components using the Behavior Change Techniques Taxonomy version 1 (BCTTv1). The protocol is registered in PROSPERO EXPECTED RESULTS This review is expected to provide theoretical insights into behavior change in STI prevention through digital interventions, identifying the most effective techniques. These findings will help design scalable, evidence-based interventions, aimed especially at youth, and guide policymakers in implementing more effective strategies to reduce STI transmission around the world.</t>
  </si>
  <si>
    <t>Duarte, Giuliano/GYA-2853-2022; Chacón-Moscoso, Salvador/AAD-5858-2021; Sanduvete-Chaves, Susana/C-6098-2011</t>
  </si>
  <si>
    <t>Duarte Anselmi, Giuliano/0000-0001-9724-0796; Lopez-Arenas, Daniel/0009-0007-3716-6249; Sanduvete-Chaves, Susana/0000-0001-8568-6168</t>
  </si>
  <si>
    <t>e3020</t>
  </si>
  <si>
    <t>10.5867/medwave.2025.02.3020</t>
  </si>
  <si>
    <t>WOS:001460603700002</t>
  </si>
  <si>
    <t>Yang, MB; Abrantes, J; Ubilla, P; Zhou, JZ</t>
  </si>
  <si>
    <t>Yang, Minbo; Abrantes, Jefferson; Ubilla, Pedro; Zhou, Jiazheng</t>
  </si>
  <si>
    <t>Global multiplicity of positive solutions for a sublinear elliptic equation in RN</t>
  </si>
  <si>
    <t>JOURNAL OF DIFFERENTIAL EQUATIONS</t>
  </si>
  <si>
    <t>We establish global multiplicity of positive solutions (existence and nonexistence theory) for the following problem {Delta u + lambda h(x) f(u) = 0 in R-N, u &gt; 0 in R-N, u is an element of D-1 ,D-2(R-N), where N &gt;= 3, lambda &gt; 0 is a parameter, 0 &lt;= h is an element of L-infinity(R-N) and f is a sublinear nonlinearity at infinity . In order to obtain our results we use a combination of the sub- super solution method and variational techniques. For instance, we need to implement a relevant result of type D-1 ,D-2(R-N) versus X local minimizer for some appropriate space X . (c) 2024 Elsevier Inc. All rights are reserved, including those for text and data mining, AI training, and similar technologies.</t>
  </si>
  <si>
    <t>Zhou, Jiazheng/GRX-7440-2022; , 杨敏波/AAJ-3372-2020</t>
  </si>
  <si>
    <t>ZHOU, JIAZHENG/0000-0003-2182-7499</t>
  </si>
  <si>
    <t>0022-0396</t>
  </si>
  <si>
    <t>1090-2732</t>
  </si>
  <si>
    <t>JAN 25</t>
  </si>
  <si>
    <t>10.1016/j.jde.2024.09.052</t>
  </si>
  <si>
    <t>OCT 2024</t>
  </si>
  <si>
    <t>WOS:001330762800001</t>
  </si>
  <si>
    <t>Muñoz, H; Molina, P; Urzua-Parra, IA; Vasco, DA; Walczak, M; Rodríguez-Grau, G; Chateau, F; Sancy, M</t>
  </si>
  <si>
    <t>Munoz, Hugo; Molina, Paulo; Urzua-Parra, Ignacio A.; Vasco, Diego A.; Walczak, Magdalena; Rodriguez-Grau, Gonzalo; Chateau, Francisco; Sancy, Mamie</t>
  </si>
  <si>
    <t>Applicability of Paper and Pulp Industry Waste for Manufacturing Mycelium-Based Materials for Thermoacoustic Insulation</t>
  </si>
  <si>
    <t>SUSTAINABILITY</t>
  </si>
  <si>
    <t>Cellulose and paper produce significant waste such as ash, activated sludge, and sludge from the pulp and paper industry. Depending on the raw material, legislation, and subprocesses, these sludges contain around 30-50% organic matter, mainly composed of less than 0.02 mm cellulose fibers and hemicellulose and lignin. This work used sludge from the pulp and paper industry as a substrate for manufacturing mycelium-based biomaterials using the white rot fungus Trametes versicolor. Chemical and surface analyses revealed the formation of new materials. Acoustic impedance analyses revealed that these materials have a noise reduction coefficient and sound absorption average comparable to extruded polystyrene and polyurethane. In addition, the material's thermal conductivity was near that of sheep wool. Therefore, the biomaterials fabricated using sludge and Trametes versicolor have the potential to be a game-changer in the industry as promising thermoacoustic insulators.</t>
  </si>
  <si>
    <t>Rodriguez-Grau, Gonzalo/AAV-6086-2020; Walczak, Magdalena/F-9259-2013; Chateau, Francisco/KVB-2521-2024; Muñoz, Hugo/HMV-5842-2023; Vasco, Diego/AAA-4480-2020; Sancy, Mamie/L-6270-2014</t>
  </si>
  <si>
    <t>Sancy, Mamie/0000-0001-9523-2629; Vasco, Diego Andres/0000-0001-7456-4683; Munoz, Hugo/0000-0001-5091-0457; Molina, Paulo/0009-0009-1604-1011; Rodriguez-Grau, Gonzalo/0000-0003-1068-3741</t>
  </si>
  <si>
    <t>2071-1050</t>
  </si>
  <si>
    <t>10.3390/su16188034</t>
  </si>
  <si>
    <t>WOS:001323031300001</t>
  </si>
  <si>
    <t>Ganga-Contreras, F; Suarez-Amaya, W; Alarcón-Henríquez, N; Viancos-González, P; Henríquez-Fuentes, F; Abello-Romero, J</t>
  </si>
  <si>
    <t>Ganga-Contreras, Francisco; Suarez-Amaya, Wendolin; Alarcon-Henriquez, Nancy; Viancos-Gonzalez, Patricio; Henriquez-Fuentes, Fernando; Abello-Romero, Juan</t>
  </si>
  <si>
    <t>SCIENTIFIC PRODUCTION OF THE RELATIONSHIP BETWEEN LEADERSHIP, HIGHER EDUCATION AND DIGITAL TRANSFORMATION: A BIBLIOMETRIC ANALYSIS</t>
  </si>
  <si>
    <t>INTERCIENCIA</t>
  </si>
  <si>
    <t>Digital transformation is a process of cultural change that has impacted all spheres of human endeavor, which is why it has become a strategic component to guarantee the success and competitiveness of all types of organizations; In this same category is leadership, considered by many scholars as the true differentiating factor and developer of competitive advantages. Higher education institutions do not escape this reality, and for this reason, given the relevance of this research topic, this work has been set as a central objective, to carry out a bibliometric analysis of the production of scientific articles that address the relationship between the leadership, higher education and digital transformation in the Web of Science database, in order to identify the state of the art of knowledge, the contributions on the subject and future research lines of development. The methodology used is documentary review through bibliometric indicators that show trends in scientific production. Among the most significant results, it can be mentioned that it was found that digital transformation is an emerging issue, in sustained growth and scarcely addressed in the field of higher education, so it represents an opportunity to develop research on the subject.</t>
  </si>
  <si>
    <t>Ganga-Contreras, Francisco/AAV-2527-2021; Abello-Romero, Juan Bautista/ABD-3002-2021; Viancos Gonzalez, Patricio/R-2165-2018</t>
  </si>
  <si>
    <t>Viancos Gonzalez, Patricio/0000-0003-4550-3608</t>
  </si>
  <si>
    <t>0378-1844</t>
  </si>
  <si>
    <t>WOS:001163316600006</t>
  </si>
  <si>
    <t>Manquian-Cerda, K; Calderon, R; Molina-Roco, M; Maldonado, T; Arancibia-Miranda, N; Di Palma, L; Gulino, A</t>
  </si>
  <si>
    <t>Manquian-Cerda, Karen; Calderon, Raul; Molina-Roco, Mauricio; Maldonado, Tamara; Arancibia-Miranda, Nicolas; Di Palma, Luca; Gulino, Antonino</t>
  </si>
  <si>
    <t>Cd2+ Sorption Alterations in Ultisol Soils Triggered by Different Engineered Nanoparticles and Incubation Times</t>
  </si>
  <si>
    <t>NANOMATERIALS</t>
  </si>
  <si>
    <t>The progressive influx of engineered nanoparticles (ENPs) into the soil matrix catalyses a fundamental transformation in the equilibrium dynamics between the soil and the edaphic solution. This all-encompassing investigation is geared towards unravelling the implications of an array of ENP types, diverse dosages and varying incubation durations on the kinetics governing Cd2+ sorption within Ultisol soils. These soils have been subjected to detailed characterizations probing their textural and physicochemical attributes in conjunction with an exhaustive exploration of ENP composition, structure and morphology. To decipher the intricate nuances of kinetics, discrete segments of Ultisol soils were subjected to isolated systems involving ENP dosages of 20 and 500 mg ENPskg(-1) (AgNPs, CuNPs and FeNPs) across intervals of 1, 3 and 6 months. The comprehensive kinetic parameters were unveiled by applying the pseudo-first-order and pseudo-second-order models. At the same time, the underlying sorption mechanisms were studied via the intra-particle diffusion model. This study underscores the substantial impact of this substrate on the kinetic behaviours of contaminants such as Cd, emphasizing the need for its consideration in soil-linked economic activities and regulatory frameworks to optimize resource management.</t>
  </si>
  <si>
    <t>Calderon, Raul/AAP-5930-2020; Arancibia-Miranda, Nicolás/I-6743-2013; Gulino, Antonino/B-7480-2012</t>
  </si>
  <si>
    <t>Calderon Araya, Raul Alexis/0000-0002-1094-9661; Maldonado Hernandez, Tamara/0000-0002-3863-3001</t>
  </si>
  <si>
    <t>2079-4991</t>
  </si>
  <si>
    <t>10.3390/nano13243115</t>
  </si>
  <si>
    <t>WOS:001131943000001</t>
  </si>
  <si>
    <t>Ponce, HR; Mayer, RE; Méndez, EE</t>
  </si>
  <si>
    <t>Ponce, Hector R.; Mayer, Richard E.; Mendez, Ester E.</t>
  </si>
  <si>
    <t>Effects of learner-generated outlining and instructor-provided outlining on learning from text: A meta-analysis</t>
  </si>
  <si>
    <t>EDUCATIONAL RESEARCH REVIEW</t>
  </si>
  <si>
    <t>Learning from printed text is a central academic task that may be challenging for students. Two ways to improve learning from text are to encourage learners to engage in generative learning strategies while reading, such as constructing an outline, or for instructors to include effective instructional design features, such as providing an outline with the text. A meta-analysis of studies comparing a group that was asked to generate an outline while reading a text to a control group that was not asked to outline found an average effect size of g+ = 0.59 on memory tests, g+ = 0.59 on comprehension tests, and g+ = 0.52 on writing assignments favoring learner-generated outlining. A meta-analysis of studies comparing a group that read a text containing an outline with a control group that read the same text without an outline found an effect size of g+ = 0.61 for memory tests and g+ = 0.34 for comprehension tests favoring instructor-provided outlining. Overall, there is encouraging evidence for the effectiveness of outlining as a generative learning strategy and for the effectiveness of outlining as an instructional design feature based on signaling, consistent with generative learning theory.</t>
  </si>
  <si>
    <t>1747-938X</t>
  </si>
  <si>
    <t>1878-0385</t>
  </si>
  <si>
    <t>10.1016/j.edurev.2023.100538</t>
  </si>
  <si>
    <t>MAY 2023</t>
  </si>
  <si>
    <t>WOS:001009476000001</t>
  </si>
  <si>
    <t>Antonova, EE; Stepanova, MV; Kirpichev, IP</t>
  </si>
  <si>
    <t>Antonova, E. E.; Stepanova, M. V.; Kirpichev, I. P.</t>
  </si>
  <si>
    <t>Main features of magnetospheric dynamics in the conditions of pressure balance</t>
  </si>
  <si>
    <t>JOURNAL OF ATMOSPHERIC AND SOLAR-TERRESTRIAL PHYSICS</t>
  </si>
  <si>
    <t>We analyzed the applicability of a hydrodynamic approach to the analysis of large-scale magnetospheric dy-namics in the conditions of quiet geomagnetic activity. The main parameter, determining the applicability of the ideal MHD, is the ratio between the Alfve ' n and plasma velocities. We obtained the 2D distribution of this parameter using data of the THEMIS mission at geocentric distances &lt;20 RE, and showed that not only the ring current region can be described suggesting full pressure balance. The external part of the ring current, which is localized in the surrounding the Earth plasma ring and earlier considered as a plasma sheet continuation, can be regarded as a stress balance region as well. Azimuthal plasma pressure gradients in this region create a system of large-scale field-aligned currents. Their closing in the ionosphere generates a large-scale convection in the ionosphere and magnetosphere. The mechanism of the large-scale convection control due to penetration of large-scale solar wind magnetic field is discussed. We discuss the role of turbulent transport in the analysis of magnetospheric regions, in which high level of turbulence is observed simultaneously with large-scale stress balance.</t>
  </si>
  <si>
    <t>Kirpichev, Igor/HHM-2487-2022; Stepanova, Marina/D-6329-2011; Antonova, Elizaveta/A-2716-2012</t>
  </si>
  <si>
    <t>Stepanova, Marina/0000-0002-1053-3375; Antonova, Elizaveta/0000-0001-6980-3993</t>
  </si>
  <si>
    <t>1364-6826</t>
  </si>
  <si>
    <t>1879-1824</t>
  </si>
  <si>
    <t>10.1016/j.jastp.2022.105994</t>
  </si>
  <si>
    <t>DEC 2022</t>
  </si>
  <si>
    <t>WOS:000897610600001</t>
  </si>
  <si>
    <t>Cayupe, B; Troncoso, B; Morgan, C; Sáez-Briones, P; Sotomayor-Zárate, R; Constandil, L; Hernández, A; Morselli, E; Barra, R</t>
  </si>
  <si>
    <t>Cayupe, Bernardita; Troncoso, Blanca; Morgan, Carlos; Saez-Briones, Patricio; Sotomayor-Zarate, Ramon; Constandil, Luis; Hernandez, Alejandro; Morselli, Eugenia; Barra, Rafael</t>
  </si>
  <si>
    <t>The Role of the Paraventricular-Coerulear Network on the Programming of Hypertension by Prenatal Undernutrition</t>
  </si>
  <si>
    <t>INTERNATIONAL JOURNAL OF MOLECULAR SCIENCES</t>
  </si>
  <si>
    <t>A crucial etiological component in fetal programming is early nutrition. Indeed, early undernutrition may cause a chronic increase in blood pressure and cardiovascular diseases, including stroke and heart failure. In this regard, current evidence has sustained several pathological mechanisms involving changes in central and peripheral targets. In the present review, we summarize the neuroendocrine and neuroplastic modifications that underlie maladaptive mechanisms related to chronic hypertension programming after early undernutrition. First, we analyzed the role of glucocorticoids on the mechanism of long-term programming of hypertension. Secondly, we discussed the pathological plastic changes at the paraventricular nucleus of the hypothalamus that contribute to the development of chronic hypertension in animal models of prenatal undernutrition, dissecting the neural network that reciprocally communicates this nucleus with the locus coeruleus. Finally, we propose an integrated and updated view of the main neuroendocrine and central circuital alterations that support the occurrence of chronic increases of blood pressure in prenatally undernourished animals.</t>
  </si>
  <si>
    <t>Moruno-Manchon, Jose Felix/AAC-5958-2022</t>
  </si>
  <si>
    <t>Troncoso Gonzalez, Blanca Irene/0000-0002-3763-1450; Constandil, Luis/0000-0002-2504-0119; Morselli, Eugenia/0000-0002-7840-8351; Cayupe Rivas, Bernardita/0000-0003-3563-6677; barra pezo, rafael/0000-0002-2898-3729; Sotomayor-Zarate, Ramon/0000-0002-1239-5367</t>
  </si>
  <si>
    <t>1661-6596</t>
  </si>
  <si>
    <t>1422-0067</t>
  </si>
  <si>
    <t>10.3390/ijms231911965</t>
  </si>
  <si>
    <t>WOS:000867718000001</t>
  </si>
  <si>
    <t>Díaz-Silva, M; Maldonado, J; Veloso, P; Delgado, N; Silva, H; Gallardo, JA</t>
  </si>
  <si>
    <t>Diaz-Silva, Monica; Maldonado, Jonathan; Veloso, Pamela; Delgado, Nicol; Silva, Herman; Gallardo, Jose A.</t>
  </si>
  <si>
    <t>RNA-seq analysis and transcriptome assembly of Salicornia neei reveals a powerful system for ammonium detoxification</t>
  </si>
  <si>
    <t>ELECTRONIC JOURNAL OF BIOTECHNOLOGY</t>
  </si>
  <si>
    <t>Background: Salicornia neei is a halophyte plant that has been proposed for use in the phytoremediation of the saline wastewater generated by land-based aquaculture. To identify the molecular mechanisms related to ammonium response, we analyzed the transcriptome of S. neei in response to growth in saline water containing 3 mM ammonium. Results: The RNA sequencing generated a total of 14,680,108 paired-end reads from the control and stressed conditions. De novo assembly using the CLC Genomic Workbench produced 86,020 transcripts and a reference transcriptome with an N50 of 683 base pair. A total of 45,327 genes were annotated, representing 51.2% of the contig predicted from de novo assembly. As regards differentially expressed genes, a total of 9,140 genes were differentially expressed in response to ammonium in saline water; of these, 7,396 could be annotated against functional databases. The upregulated genes were mainly involved in cell wall biosynthesis, transmembrane transport and antiporter activities, including biological Kyoto Encyclopedia of Genes and Genomes, pathways linked to the biosynthesis of secondary metabolites, plant hormone signal transduction, autophagy, and nitrogen metabolism. In addition, a set of 72 genes was directly involved in ammonium metabolism, including glutamine synthetase 1, glutamate synthase 1, and ferredoxin-dependent glutamate synthase chloroplastic. Conclusions: Our results support the hypothesis that an ammonium detoxification system mediated by glutamine and glutamate synthase was activated in S. neei when exposed to ammonium and saline water. The present transcriptome profiling method could be useful when investigating the response of halo-phyte plants to saline wastewater from land-based aquaculture.</t>
  </si>
  <si>
    <t>Maldonado, Jonathan/J-6429-2012; Silva, Herman/C-7252-2012; Gallardo-Matus, Jose/F-3261-2010</t>
  </si>
  <si>
    <t>Silva, Herman/0000-0003-1007-7442; Gallardo-Matus, Jose/0000-0002-7717-8726</t>
  </si>
  <si>
    <t>0717-3458</t>
  </si>
  <si>
    <t>10.1016/j.ejbt.2022.05.003</t>
  </si>
  <si>
    <t>WOS:000824683200003</t>
  </si>
  <si>
    <t>Reyes-Bozo, L; Salazar, JL; Valdés-González, H; Sandoval-Yáñez, C; Vivanco-Soffia, ME; Bilartello, L; Poblete, V; Soto, A; Urrea, MJ</t>
  </si>
  <si>
    <t>Reyes-Bozo, Lorenzo; Luis Salazar, Jose; Valdes-Gonzalez, Hector; Sandoval-Yanez, Claudia; Elena Vivanco-Soffia, Maria; Bilartello, Luna; Poblete, Valentina; Soto, Antonella; Jose Urrea, Maria</t>
  </si>
  <si>
    <t>Viability analysis for use of methane obtained from green hydrogen as a reducing agent in copper smelters</t>
  </si>
  <si>
    <t>RESULTS IN ENGINEERING</t>
  </si>
  <si>
    <t>This study explores the use of green hydrogen as a flexible and environmentally-friendly energy vector in copper mining. The refining of copper sulphide ores involves several stages, such as comminution, froth flotation and smelting. The latter produces a higher concentration of copper through chemical transformations of copper sulphide ores. Reducing agents such as coal, coke, ferrosilicon and diesel are typically used in this step, but these reagents unfortunately have a considerable environmental footprint. The main goal of this work was therefore to perform a techno-economic analysis for methane production from the use of green hydrogen as a reducing agent for the smelting stage. The methodology involved the evaluation of the project based on a Net Present Value calculation and a sensitivity analysis of the main parameters which were performed using Oracle Crystal Ball software. The main results show a Net Present Value of 5.459 M USD and an 11.8-year pay-back. Multiparametric analysis shows that NPV is positive with 97.32% of confidence and that the main variable affecting the NPV is the methane price (contribution to variance of 97,8%). We conclude that the use of green hydrogen in copper smelting is a technically viable solution with economic and environmental benefits. The economic evaluation could be further improved with the incorporation of the heat and oxygen by-product, further reducing the CO2 emission.</t>
  </si>
  <si>
    <t>Salazar, Jose/KHC-7260-2024; sandoval, claudia/AAT-1665-2020</t>
  </si>
  <si>
    <t>SALAZAR, JOSE LUIS/0000-0002-9922-9424; Valdes Gonzalez, Hector/0009-0007-2010-886X</t>
  </si>
  <si>
    <t>2590-1230</t>
  </si>
  <si>
    <t>10.1016/j.rineng.2021.100286</t>
  </si>
  <si>
    <t>SEP 2021</t>
  </si>
  <si>
    <t>WOS:000746595000002</t>
  </si>
  <si>
    <t>Hàn, H; Retter, T; Rödl, V; Schacht, M</t>
  </si>
  <si>
    <t>Han, Hiep; Retter, Troy; Roedl, Vojtech; Schacht, Mathias</t>
  </si>
  <si>
    <t>Ramsey-type numbers involving graphs and hypergraphs with large girth</t>
  </si>
  <si>
    <t>COMBINATORICS PROBABILITY AND COMPUTING</t>
  </si>
  <si>
    <t>Erdos asked if, for every pair of positive integers r and k, there exists a graph H having girth(H) = k and the property that every r-colouring of the edges of H yields a monochromatic cycle C-k. The existence of such graphs H was confirmed by the third author and Rucinski. We consider the related numerical problem of estimating the order of the smallest graph H with this property for given integers r and k. We show that there exists a graph H on R-10k2 k(15k3) vertices (where R = R(C-k; r) is the r-colour Ramsey number for the cycle C-k) having girth(H) = k and the Ramsey property that every r-colouring of the edges of H yields a monochromatic C-k. Two related numerical problems regarding arithmetic progressions in subsets of the integers and cliques in graphs are also considered.</t>
  </si>
  <si>
    <t>Han, Hiep/IVV-0527-2023; Schacht, Mathias/B-6933-2013</t>
  </si>
  <si>
    <t>Schacht, Mathias/0000-0003-1762-4090</t>
  </si>
  <si>
    <t>0963-5483</t>
  </si>
  <si>
    <t>1469-2163</t>
  </si>
  <si>
    <t>10.1017/S0963548320000383</t>
  </si>
  <si>
    <t>WOS:000753893300004</t>
  </si>
  <si>
    <t>Villarroel, M; Jara, P; Herrera, S; Charrier, R</t>
  </si>
  <si>
    <t>Villarroel, Matias; Jara, Pamela; Herrera, Sebastian; Charrier, Reynaldo</t>
  </si>
  <si>
    <t>Influence of the orientation of cohesive blocks upon the structural grain of fold-and-thrust belts: An appraisal by means of analogue modeling</t>
  </si>
  <si>
    <t>JOURNAL OF SOUTH AMERICAN EARTH SCIENCES</t>
  </si>
  <si>
    <t>Analogue sand-box experiments have been set up to illustrate and analyze the control exerted by lithological heterogeneities on the evolution of a model fold-and-thrust belt (FTB). The structural architecture within many FTBs is highly sensitive to pretectonic obstacles (e.g., basement highs or intrusive bodies). To address FTB evolution with emphasis on the latter, we perform a series of experiments that include tabular cohesive blocks surrounded by a layered sandpack of negligible cohesion. Two degrees of cohesion are tested (low vs high cohesion) as well as different geometrical boundary conditions (longer axis parallel vs oblique relative to the main far-field stress). Modeling results show a tendency of sequential faults to avoid rigid obstacles, enhancing frontal accretion and propagation of the deformation front. Structural traces have arcuate patterns in map-view, strongly consistent with the geometry of the underlying block/obstacle. High-cohesion models show major deviations on the structural pattern with respect to models with low-cohesion blocks. We find that the rheological contrasts between rock types have an important effect on the structure of the upper crust, controlled by the degree of the contrast and the geometry (orientation) of the discordant block. An interesting aspect of our results is that orientation of the block plays a considerable role on whether new thrusts cut the block or stresses propagate towards the foreland through the cohesive body. Block obliquity also influences the generation of back-thrusts. These features are compared to natural cases as well as to other physical models of FTBs. We suggest that irregular structural patterns in FTBs may shed light on the presence of buried rock bodies (intrusive bodies, metamorphic complexes or crystalline basement highs) within the components of the deformed rock sequence.</t>
  </si>
  <si>
    <t>Herrera, Sebastian/IAO-7096-2023</t>
  </si>
  <si>
    <t>Jara, Pamela/0000-0002-9717-9283; Villarroel Lastra, Matias/0009-0005-1524-351X</t>
  </si>
  <si>
    <t>0895-9811</t>
  </si>
  <si>
    <t>1873-0647</t>
  </si>
  <si>
    <t>10.1016/j.jsames.2020.102725</t>
  </si>
  <si>
    <t>WOS:000572378600003</t>
  </si>
  <si>
    <t>Muñoz-Becerra, K; Venegas, R; Duque, L; Zagal, JH; Recio, FJ</t>
  </si>
  <si>
    <t>Munoz-Becerra, Karina; Venegas, Ricardo; Duque, Luis; Heraclito Zagal, Jose; Javier Recio, Francisco</t>
  </si>
  <si>
    <t>Recent advances of Fe-N-C pyrolyzed catalysts for the oxygen reduction reaction</t>
  </si>
  <si>
    <t>CURRENT OPINION IN ELECTROCHEMISTRY</t>
  </si>
  <si>
    <t>This review summarizes recent advances in the development of pyrolyzed M-N-C catalysts for the oxygen reduction reaction, focusing on activity, stability, and the reactivity de scriptors proposed for the rational design of pyrolyzed M-N-C catalysts. We discuss the last advances in achieving high catalytic activity and stability and the new insights into the characterization of FeN4 active sites by Mossbauer spectroscopy in combination with Density Functional Theory (DFT) calculations of the Fe-N-C catalysts. In addition, we present the different reactivity descriptors proposed in the literature for the rational design of Fe-N-C pyrolyzed materials: (i) structural descriptors determined by X-Ray Photoelectron Spectroscopy (XPS) and Mossbauer spectroscopy and (ii) the redox potential of the active center MNx.</t>
  </si>
  <si>
    <t>Muñoz-Becerra, Karina/GPP-1386-2022; zagal, jose/L-9648-2014; Venegas, Ricardo/U-6376-2019; Recio, Javier/GVU-5031-2022; Duque Guillen, Luis/MEP-9436-2025</t>
  </si>
  <si>
    <t>Munoz-Becerra, Karina/0000-0001-9882-6342; Venegas, Ricardo/0000-0001-7440-484X; Recio, Francisco/0000-0002-5181-3197; Duque Guillen, Luis/0000-0003-1589-6957</t>
  </si>
  <si>
    <t>2451-9103</t>
  </si>
  <si>
    <t>10.1016/j.coelec.2020.08.006</t>
  </si>
  <si>
    <t>WOS:000599420500024</t>
  </si>
  <si>
    <t>Caceres-Jensen, L; Rodriguez-Becerra, J; Escudey, M; Joo-Nagata, J; Villagra, CA; Dominguez-Vera, V; Neira-Albornoz, A; Cornejo-Huentemilla, M</t>
  </si>
  <si>
    <t>Caceres-Jensen, Lizethly; Rodriguez-Becerra, Jorge; Escudey, Mauricio; Joo-Nagata, Jorge; Villagra, Cristian A.; Dominguez-Vera, Valentina; Neira-Albornoz, Angelo; Cornejo-Huentemilla, Maribel</t>
  </si>
  <si>
    <t>Nicosulfuron sorption kinetics and sorption/desorption on volcanic ash-derived soils: Proposal of sorption and transport mechanisms</t>
  </si>
  <si>
    <t>Nicosulfuron sorption/desorption kinetics were studied through batch sorption studies in ten volcanic ash-derived Andisol and Ultisol soils with acidic pH and variable surface charge. Two different kinetic models were used to fit the experimental data: i) Models to establish kinetic parameters (Pseudo-First and Pseudo-SecondOrder), and ii) Models to describe solute transport mechanisms of organic compounds on sorbents (Intrapartide Diffusion, Dimensionless Intraparticle, Boyd, and Two-Site Nonequilibrium). Sorption kinetic data best fit the pseudo-second-order model. Application of these models to describe solute transport suggests that underlying mechanisms are complex in all soils due to: i) surface sorption, with mass transfers controlling sorption kinetics across the boundary layer; and ii) pore diffusion (i.e. intraparticle diffusion into macropores and micropores). The Freundlich model explained equilibrium sorption data in all cases (R-2 &gt; 0.9979) with K-f values higher than those reported for different class of soils (6.85-16.08 mu g(1-1/n )mL(1/n) g(-1)). The hysteresis was significant in all studied soils. The lower sorption rate on Ultisols must be considered in regards to Nicosulfuron leaching potential.</t>
  </si>
  <si>
    <t>Cáceres-Jensen, Lizethly/AAC-8527-2020; Joo Nagata, Jorge Cristian/I-1719-2014; Rodriguez-Becerra, Jorge/F-8714-2017</t>
  </si>
  <si>
    <t>Caceres-Jensen, Lizethly/0000-0002-5903-7356; Joo Nagata, Jorge Cristian/0000-0001-8023-0858; Neira Albornoz, Angelo/0000-0002-8895-3628; Rodriguez-Becerra, Jorge/0000-0003-1496-8410</t>
  </si>
  <si>
    <t>MAR 5</t>
  </si>
  <si>
    <t>10.1016/j.jhazmat.2019.121576</t>
  </si>
  <si>
    <t>WOS:000509618300054</t>
  </si>
  <si>
    <t>Mujica-Alvarez, J; Gil-Castell, O; Barra, PA; Ribes-Greus, A; Bustos, R; Faccini, M; Matiacevich, S</t>
  </si>
  <si>
    <t>Mujica-Alvarez, Javiera; Gil-Castell, O.; Barra, Pabla A.; Ribes-Greus, A.; Bustos, Ruben; Faccini, Mirko; Matiacevich, Silvia</t>
  </si>
  <si>
    <t>Encapsulation of Vitamins A and E as Spray-Dried Additives for the Feed Industry</t>
  </si>
  <si>
    <t>MOLECULES</t>
  </si>
  <si>
    <t>Encapsulated fat-soluble powders containing vitamin A (VA) and E (VE) were prepared as a feasible additive for extruded feed products. The effect of the encapsulating agents (Capsul-CAP((R)), sodium caseinate-SC) in combination with Tween 80 (TW) as an emulsifier and maltodextrin (MD) as a wall material on the physicochemical properties of emulsions and powders was evaluated. First, nanoemulsions containing MD:CAP:TW:VA/VE and MD:SC:TW:VA/VE were prepared and characterized. Then, powders were obtained by means of spray-drying and analyzed in terms of the product yield, encapsulation efficiency, moisture content, porosity, surface morphology, chemical structure, and thermal properties and thermo-oxidative/thermal stability. Results showed that although nanoemulsions were obtained for all the compositions, homogeneous microcapsules were found after the drying process. High product yield and encapsulation efficiency were obtained, and the presence of the vitamins was corroborated. The characteristics of the powders were mainly influenced by the encapsulating agent used and also by the type of vitamin. In general, the microcapsules remained thermally stable up to 170 degrees C and, therefore, the proposed encapsulation systems for vitamins A and E were suitable for the preparation of additives for the feed manufacturing through the extrusion process.</t>
  </si>
  <si>
    <t>Ribes-Greus, Amparo/ABB-7643-2020; Bustos, Ruben/AAM-2029-2020; Ribes-Greus, Amparo/K-1089-2014; Gil-Castell, Oscar/C-5812-2015</t>
  </si>
  <si>
    <t>Mujica, Javiera/0000-0001-7229-9214; Ribes-Greus, Amparo/0000-0003-2460-8291; Gil-Castell, Oscar/0000-0001-6293-080X; Bustos, Ruben/0000-0003-0183-0324</t>
  </si>
  <si>
    <t>1420-3049</t>
  </si>
  <si>
    <t>MAR 2</t>
  </si>
  <si>
    <t>10.3390/molecules25061357</t>
  </si>
  <si>
    <t>WOS:000530248700100</t>
  </si>
  <si>
    <t>Espinosa-Bustos, C; Vázquez, K; Varela, J; Cerecetto, H; Paulino, M; Segura, R; Pizarro, J; Vera, B; González, M; Zarate, AM; Salas, CO</t>
  </si>
  <si>
    <t>Espinosa-Bustos, Christian; Vazquez, Karina; Varela, Javier; Cerecetto, Hugo; Paulino, Margot; Segura, Rodrigo; Pizarro, Jaime; Vera, Brenda; Gonzalez, Mercedes; Zarate, Ana M.; Salas, Cristian O.</t>
  </si>
  <si>
    <t>New aryloxy-quinone derivatives with promising activity on Trypanosoma cruzi</t>
  </si>
  <si>
    <t>ARCHIV DER PHARMAZIE</t>
  </si>
  <si>
    <t>Continuing with a program to develop new quinone derivatives as biologically active compounds, we designed and synthesized a new series of aryloxy-quinones, which were evaluated in vitro against Trypanosoma cruzi in epimastigote form. Chemical modifications in three specific moieties on the aryloxy-quinone core were considered for developing new anti-T. cruzi agents. The majority of our new quinones showed higher potency (IC50 values of &lt;0.70 mu M) than nifurtimox, a known pharmaceutical used as a baseline drug (IC50 values of 7.00 mu M); however, only two of them elicited higher selectivity than nifurtimox against Vero cells. A structure-activity relationship analysis provided information about the stereoelectronic features of these compounds, which are responsible for an increase in trypanosomicidal activity. Using a pharmacophore model, we mapped the substitution patterns of the five pharmacophoric features of trypanosomicidal activity. We chose the E-pc1 compounds and found no relationship with the trypanosomicidal effects. These results provided useful information about the structural characteristics for developing new aryloxy-quinones with higher potency against the protozoan parasite T. cruzi.</t>
  </si>
  <si>
    <t>Espinosa-Bustos, Christian/E-8127-2012; Cerecetto, Hugo/AGJ-1293-2022; Segura, Rodrigo/J-6696-2016; Salas, Cristian/IZE-2326-2023</t>
  </si>
  <si>
    <t>Segura, Rodrigo/0000-0001-5747-2357; Cerecetto, Hugo/0000-0003-1256-3786; Espinosa-Bustos, Christian/0000-0001-6038-8439; Vazquez Cisneros, Karina Wendoline/0000-0001-8592-7515; Salas, Cristian/0000-0001-7620-2459</t>
  </si>
  <si>
    <t>0365-6233</t>
  </si>
  <si>
    <t>1521-4184</t>
  </si>
  <si>
    <t>e1900213</t>
  </si>
  <si>
    <t>10.1002/ardp.201900213</t>
  </si>
  <si>
    <t>NOV 2019</t>
  </si>
  <si>
    <t>WOS:000495562100001</t>
  </si>
  <si>
    <t>Brandenbourger, M; Dorbolo, S; Texier, BD</t>
  </si>
  <si>
    <t>Brandenbourger, M.; Dorbolo, S.; Darbois Texier, B.</t>
  </si>
  <si>
    <t>Toy geyser experiment: periodicity, operating conditions and coupling</t>
  </si>
  <si>
    <t>EUROPEAN JOURNAL OF PHYSICS</t>
  </si>
  <si>
    <t>A natural geyser can be reproduced by a toy experiment composed of a water pool located above a water reservoir, the two being connected by a long and narrow tube. When the bottom reservoir is heated, the system may experience periodic eruptions of hot water and steam at the top similarly to the geyser effect occurring in nature. The eruption frequency of a toy geyser is inspected experimentally as a function of the heating power and the height of the setup. We propose a thermodynamic model of this system that predicts the time between eruptions. A phase diagram that takes into account the thermal energy provided to the geyser and the geometry was constructed for the toy geyser. The conditions to obtain the geyser effect have been determined. The study of the toy geyser is then extended to the case of two reservoirs connected to the same tube. Such a coupled system adopts a complex time evolution that reflects the dynamics of natural geysers. We analyze the behavior of a toy geyser with two reservoirs by way of statistical tools and develop a theoretical model in order to rationalize our observations.</t>
  </si>
  <si>
    <t>Brandenbourger, Martin/AAC-4715-2021; Darbois Texier, Baptiste/F-2747-2015</t>
  </si>
  <si>
    <t>Darbois Texier, Baptiste/0000-0002-8772-3433; Brandenbourger, Martin/0000-0002-5550-1895</t>
  </si>
  <si>
    <t>0143-0807</t>
  </si>
  <si>
    <t>1361-6404</t>
  </si>
  <si>
    <t>10.1088/1361-6404/aafbf4</t>
  </si>
  <si>
    <t>WOS:000458524700002</t>
  </si>
  <si>
    <t>Salinas, A; Artigas, A; Perez-Ipiña, J; Castro-Cerda, F; Garza-Montes-de-Oca, N; Colás, R; Petrov, R; Monsalve, A</t>
  </si>
  <si>
    <t>Salinas, Alvaro; Artigas, Alfredo; Perez-Ipina, Juan; Castro-Cerda, Felipe; Garza-Montes-de-Oca, Nelson; Colas, Rafael; Petrov, Roumen; Monsalve, Alberto</t>
  </si>
  <si>
    <t>Effects of Heat Treatment on Morphology, Texture, and Mechanical Properties of a MnSiAl Multiphase Steel with TRIP Behavior</t>
  </si>
  <si>
    <t>The effect that the microstructure exerts on the Transformation-Induced Plasticity (TRIP) phenomenon and on the mechanical properties in a multiphase steel was studied. Samples of an initially cold-rolled ferrite-pearlite steel underwent different intercritical annealing treatments at 750 degrees C until equal fractions of austenite/ferrite were reached; the intercritical treatment was followed by isothermal bainitic treatments before cooling the samples to room temperature. Samples in the first treatment were heated directly to the intercritical temperature, whereas other samples were heated to either 900 degrees C or 1100 degrees C to obtain a fully homogenized, single-phase austenitic microstructure before performing the intercritical treatment. The high-temperature homogenization of austenite resulted in a decrease in its stability, so a considerable austenite fraction transformed into martensite by cooling to room temperature after the bainitic heat treatment. Most of the retained austenite transformed during the tensile tests, and, consequently, the previously homogenized steels showed the highest Ultimate Tensile Strength (UTS). In turn, the steel with a ferritic-pearlitic initial microstructure exhibited higher ductility than the other steels and texture components that favor forming processes.</t>
  </si>
  <si>
    <t>Artigas, Alfredo/Y-1185-2019; Petrov, Roumen/A-5066-2008; Perez Ipiña, Juan/IZE-2438-2023; Castro Cerda, Felipe Manuel/Q-2714-2016; Perez Ipina, Juan E./N-2620-2016</t>
  </si>
  <si>
    <t>Petrov, Roumen/0000-0003-0551-9058; Castro Cerda, Felipe Manuel/0000-0001-8126-5593; Monsalve, Alberto/0000-0002-5772-8815; Perez Ipina, Juan E./0000-0002-0934-477X; Colas, Rafael/0000-0001-6017-7244</t>
  </si>
  <si>
    <t>10.3390/met8121021</t>
  </si>
  <si>
    <t>WOS:000455072100045</t>
  </si>
  <si>
    <t>Hu, Y; Maisey, K; Subramani, PA; Liu, FG; Flores-Kossack, C; Imarai, M; Secombes, CJ; Wang, TH</t>
  </si>
  <si>
    <t>Hu, Yehfang; Maisey, Kevin; Subramani, Parasuraman Aiya; Liu, Fuguo; Flores-Kossack, Camila; Imarai, Monica; Secombes, Christopher J.; Wang, Tiehui</t>
  </si>
  <si>
    <t>Characterisation of rainbow trout peripheral blood leucocytes prepared by hypotonic lysis of erythrocytes, and analysis of their phagocytic activity, proliferation and response to PAMPs and proinflammatory cytokines</t>
  </si>
  <si>
    <t>DEVELOPMENTAL AND COMPARATIVE IMMUNOLOGY</t>
  </si>
  <si>
    <t>Rapid and high quality preparation of peripheral blood leucocytes (PBL) is important in fish immunology research and in particular for fish vaccine development, where multiple immune parameters can be monitored on the same fish over time. Fish PBL are currently prepared by density separation using Percoll or Hispaque-1.077, which is time consuming, costly and prone to erythrocyte contamination. We present here a modified PBL preparation method that includes a 20 s hypotonic lysis of erythrocytes and a subsequent separation of PBL from cell debris by a cell strainer. This method is simple, rapid and cost effective. The PBL obtained are similar in cellular composition to those prepared by density separation but have less erythrocyte contamination as demonstrated by FAGS analysis and the expression of cell marker genes. Marker gene analysis also suggested that PBL prepared by hypotonic lysis are superior to those obtained by the gradient method in that some high-density cells (certain B cell types and neutrophils) might be lost using the latter. The PBL prepared in this way can proliferate in response to the T cell mitogen PHA, and both lymphoid and myeloid cells can phagocytose fluorescent beads and bacteria, with the latter enhanced by treatment with pro-inflammatory cytokines (IL-1 beta and IL-6). Furthermore, the PBL can respond to stimulation with PAMPs (LPS, poly I:C) and cytokines (IL-1 beta and IFN gamma) in terms of upregulation of proinflammatory cytokine gene expression. Such data demonstrate the utility of this approach (hypotonic lysis of erythrocytes) for PBL isolation and will enable more studies of their role in disease protection in future immunological and vaccine development research in fish.</t>
  </si>
  <si>
    <t>Liu, Fuguo/IAO-2575-2023; Maisey, Kevin/AAP-2886-2021; aiya subramani, parasuraman/AAW-5248-2020</t>
  </si>
  <si>
    <t>Maisey, Kevin/0000-0002-7423-6329; Wang, Tiehui/0000-0002-1148-8959; aiya subramani, parasuraman/0000-0002-7394-5174</t>
  </si>
  <si>
    <t>0145-305X</t>
  </si>
  <si>
    <t>1879-0089</t>
  </si>
  <si>
    <t>10.1016/j.dci.2018.07.010</t>
  </si>
  <si>
    <t>WOS:000443668600013</t>
  </si>
  <si>
    <t>González-Vargas, C; Garcia, C; Celis, F; Salazar, R</t>
  </si>
  <si>
    <t>Gonzalez-Vargas, Camilo; Garcia, Camilo; Celis, Freddy; Salazar, Ricardo</t>
  </si>
  <si>
    <t>Differential Pulse Voltammetry Determination of Anti-Hypertensive Drug Hydrochlorothiazide in Pharmaceuticals Using Glassy-Carbon Electrode Modified by Electropolymerization with L- and D-Glutamic Acids</t>
  </si>
  <si>
    <t>INTERNATIONAL JOURNAL OF ELECTROCHEMICAL SCIENCE</t>
  </si>
  <si>
    <t>A simple and sensitive electrochemical sensor based on glassy carbon electrode modified by electropolymerization with both poly-glutamic acid enantiomers L- and D (GC-PGA) was developed to detect the anti-hypertensive drug hydrochlorotiazide (6-chloro-3,4-di-hydro-2H-1, 2,4-benzothiadiazine-7-sulfonamide-1,1 dioxide, HCTZ) in pharmaceuticals samples. Raman spectroscopy and electrochemical impedance spectroscopy were carried out to characterize L-PGA and D-PGA film. These procedures confirm the production of a polymer through an amide bond and the formation of a film resistant to charge transference in both cases. Also, an increase in the oxidation peak current for HCTZ in Buffer Britton Robinson solution 0,1 M pH 2 was obtained using the modified electrodes. With GC/D-PGA and GC/L-PGA, the peak current increased 2 times compared to unmodified GC, when using differential pulse voltammetry. A novel electroanalytical method for the determination of HCTZ was developed with both modified electrodes, showing a less limit of determination: 0.03186 and 0.01829 mM to GC/L-PGA and GC/D-PGA, respectively, and a less limit of quantification with respect to the GC electrode. The methodology developed was applied in the determination of HCTZ from pharmaceutical forms.</t>
  </si>
  <si>
    <t>Celis, Freddy/GPT-0287-2022; Salazar, Ricardo/L-7870-2013</t>
  </si>
  <si>
    <t>Salazar-Gonzalez, Ricardo/0000-0003-2180-6022; Celis, Freddy/0000-0003-3195-3018</t>
  </si>
  <si>
    <t>1452-3981</t>
  </si>
  <si>
    <t>10.20964/2018.02.10</t>
  </si>
  <si>
    <t>WOS:000429100400055</t>
  </si>
  <si>
    <t>Cariñena, JF; Plyushchay, MS</t>
  </si>
  <si>
    <t>Carinena, Jose F.; Plyushchay, Mikhail S.</t>
  </si>
  <si>
    <t>ABC of ladder operators for rationally extended quantum harmonic oscillator systems</t>
  </si>
  <si>
    <t>JOURNAL OF PHYSICS A-MATHEMATICAL AND THEORETICAL</t>
  </si>
  <si>
    <t>The problem of construction of ladder operators for rationally extended quantum harmonic oscillator (REQHO) systems of a general form is investigated in the light of existence of different schemes of the Darboux-Crum-Krein-Adler transformations by which such systems can be generated from the quantum harmonic oscillator. Any REQHO system is characterized by the number of separated states in its spectrum, the number of 'valence bands' in which the separated states are organized, and by the total number of the missing energy levels and their position. All these peculiarities of a REQHO system are shown to be detected and reflected by a trinity (A(+/-), B-+/-, C-+/-) of the basic (primary) lowering and raising ladder operators related between themselves by certain algebraic identities with coefficients polynomially-dependent on the Hamiltonian. We show that all the secondary, higher-order ladder operators are obtainable by a composition of the basic ladder operators of the trinity which form the set of the spectrum-generating operators. Each trinity, in turn, can be constructed from the intertwining operators of the two complementary minimal schemes of the Darboux-Crum-Krein-Adler transformations.</t>
  </si>
  <si>
    <t>Carinena, Jose/H-4210-2011</t>
  </si>
  <si>
    <t>1751-8113</t>
  </si>
  <si>
    <t>1751-8121</t>
  </si>
  <si>
    <t>10.1088/1751-8121/aa739b</t>
  </si>
  <si>
    <t>WOS:000408748000001</t>
  </si>
  <si>
    <t>Prabhakaran, T; Mangalaraja, RV; Denardin, JC; Jiménez, JA</t>
  </si>
  <si>
    <t>Prabhakaran, T.; Mangalaraja, R. V.; Denardin, Juliano C.; Jimenez, J. A.</t>
  </si>
  <si>
    <t>The effect of reaction temperature on the structural and magnetic properties of nano CoFe2O4</t>
  </si>
  <si>
    <t>CERAMICS INTERNATIONAL</t>
  </si>
  <si>
    <t>Nano cobalt ferrites (CoFe2O4) were co-precipitated at various reaction temperatures (60, 70 and 80 degrees C) for 1 h. The reaction temperature greatly influenced the crystallite size and the magnetic behaviours of the nano CoFe2O4. The mean crystallite size ranged from 9 to 15 nm with the increase in the reaction temperature and the intensity of metal oxide vibrations at 568-550 cm(-1) were also inclined. The synthesized samples were in the stoichiometric ratio of 1:2 (Co:Fe) with roughly spherical morphology. The synthesized cobalt nanoferrites exhibited ferromagnetism at room temperature and 5 K, and the saturation magnetization increased from 6.4 to 20 emu/g with the crystallite size.</t>
  </si>
  <si>
    <t>Denardin, Juliano/S-6407-2019; THANDAPANI, PRABHAKARAN/L-3282-2018; Viswanathan, Mangalaraja/AAM-6090-2020; Jimenez, Jose A./H-2644-2015; Ramalinga Viswanathan, Mangalaraja/JOZ-3129-2023</t>
  </si>
  <si>
    <t>Denardin, Juliano/0000-0002-1373-6207; Thandapani, Prabhakaran/0000-0003-0245-8827; Jimenez, Jose A./0000-0003-4272-6873; Ramalinga Viswanathan, Mangalaraja/0000-0003-1016-9830</t>
  </si>
  <si>
    <t>0272-8842</t>
  </si>
  <si>
    <t>1873-3956</t>
  </si>
  <si>
    <t>10.1016/j.ceramint.2017.01.092</t>
  </si>
  <si>
    <t>WOS:000397075900033</t>
  </si>
  <si>
    <t>Riveros, A; Salazar-Aravena, D; Escrig, J</t>
  </si>
  <si>
    <t>Riveros, A.; Salazar-Aravena, D.; Escrig, J.</t>
  </si>
  <si>
    <t>Theoretical investigation on the magnetostatic interaction between two wire-tube nanostructures</t>
  </si>
  <si>
    <t>JOURNAL OF MAGNETISM AND MAGNETIC MATERIALS</t>
  </si>
  <si>
    <t>In this paper we have calculated analytically the magnetostatic interaction between two wire-tube nanostructures as a function of their magnetic and geometric parameters. As expected, the interaction energy increases as the nanostructures approach, but interestingly when the nanostructures are close enough, a nonmonotonic behavior with the wire-tube portions is reported. Besides, we investigate the hysteresis loop for two interacting Ni81Fe19 wire-tube nanostructures by micromagnetic simulations in order to study how the interaction affects the magnetic properties of these nanostructures. This work allows for the study of magnetostatic interactions between wire-tube nanostructures that have been proposed as an interesting alternative to store information or even perform logic functions, because to their ability to pin a domain wall.</t>
  </si>
  <si>
    <t>Rodríguez, Alejandro/R-4062-2019; Salazar-Aravena, Diego/F-5133-2016; Escrig, Juan/N-4304-2015</t>
  </si>
  <si>
    <t>Salazar-Aravena, Diego/0000-0002-6250-8358; Escrig, Juan/0000-0002-3958-8185; Riveros, Alejandro/0000-0002-4924-663X</t>
  </si>
  <si>
    <t>0304-8853</t>
  </si>
  <si>
    <t>1873-4766</t>
  </si>
  <si>
    <t>APR 15</t>
  </si>
  <si>
    <t>10.1016/j.jmmm.2016.12.127</t>
  </si>
  <si>
    <t>WOS:000397200800071</t>
  </si>
  <si>
    <t>García-Herrera, CM; Celentano, DJ; Herrera, EA</t>
  </si>
  <si>
    <t>Garcia-Herrera, Claudio M.; Celentano, Diego J.; Herrera, Emilio A.</t>
  </si>
  <si>
    <t>Modelling and numerical simulation of the in vivo mechanical response of the ascending aortic aneurysm in Marfan syndrome</t>
  </si>
  <si>
    <t>MEDICAL &amp; BIOLOGICAL ENGINEERING &amp; COMPUTING</t>
  </si>
  <si>
    <t>Marfan syndrome (MFS) is a genetic disorder that affects connective tissue, impairing cardiovascular structures and function, such as heart valves and aorta. Thus, patients with Marfan disease have a higher risk of developing circulatory problems associated with mitral and aortic valves prolapse, manifested as dilated aorta and aortic aneurysm. However, little is known about the biomechanical characteristics of these structures affected with MFS. This study presents the modelling and simulation of the mechanical response of human ascending aortic aneurysms in MFS under in vivo conditions with intraluminal pressures within normotensive and hypertensive ranges. We obtained ascending aortic segments from five adults with MFS subjected to a vascular prosthesis implantation replacing an aortic aneurysm. We characterised the arterial samples via ex vivo tensile test measurements that enable fitting the material parameters of a hyperelastic isotropic constitutive model. Then, these material parameters were used in a numerical simulation of an ascending aortic aneurysm subjected to in vivo normotensive and hypertensive conditions. In addition, we assessed different constraints related to the movement of the aortic root. Overall, our results provide not only a realistic description of the mechanical behaviour of the vessel, but also useful data about stress/stretch-based criteria to predict vascular rupture. This knowledge may be included in the clinical assessment to determine risk and indicate surgical intervention.</t>
  </si>
  <si>
    <t>Celentano, Diego/JQW-5027-2023; García-Herrera, Claudio/ABE-8991-2020; Herrera, Emilio A/H-5992-2018</t>
  </si>
  <si>
    <t>Garcia-Herrera, Claudio/0000-0002-1283-8551; Herrera, Emilio A/0000-0002-6342-085X</t>
  </si>
  <si>
    <t>0140-0118</t>
  </si>
  <si>
    <t>1741-0444</t>
  </si>
  <si>
    <t>10.1007/s11517-016-1524-7</t>
  </si>
  <si>
    <t>WOS:000395021300006</t>
  </si>
  <si>
    <t>Espinoza, A; Bautista, S; Narváez, PC; Alfaro, M; Camargo, M</t>
  </si>
  <si>
    <t>Espinoza, A.; Bautista, S.; Narvaez, P. C.; Alfaro, M.; Camargo, M.</t>
  </si>
  <si>
    <t>Sustainability assessment to support governmental biodiesel policy in Colombia: A system dynamics model</t>
  </si>
  <si>
    <t>JOURNAL OF CLEANER PRODUCTION</t>
  </si>
  <si>
    <t>Combustion of fossil fuels in the transport sector represents the second largest source of greenhouse gas emissions. For this reason, governments are fostering diversification of energy sources by creating a set of governmental environmental policies and initiatives. In this context, biofuels are expected to represent a substantial part of source diversification, but it is necessary to assess the sustainability of their market to explore its effect on economical, technological, social, political and environmental dimensions. This research presents a dynamic simulation modelling of the Colombian biodiesel market and analyzes the policy support instruments for creating and managing it. A system dynamics based model is proposed to enable decision-makers to understand the influences between the different variables that describe the system and the impact of the biodiesel government policy in Colombia. The primary focus of this paper is to establish the characteristics of each sustainability dimension for the case of study and apply the system dynamics methodology with different types of validation. Finally, the Colombian market status and a sensitivity analysis are developed. The results show that in order to support the development of this sector, it is necessary to diversify the raw materials for the production of biodiesel in the medium term, which means raw materials without competence for the primary rainforest or competition with food productive lands. (C) 2016 Elsevier Ltd. All rights reserved.</t>
  </si>
  <si>
    <t>Narvaez, Paulo/I-4635-2019; CAMARGO, Mauricio/HJP-7111-2023; Espinoza Perez, Andrea Teresa/M-4426-2014</t>
  </si>
  <si>
    <t>Camargo, Mauricio/0000-0003-3867-2438; Narvaez Rincon, Paulo Cesar/0000-0003-4865-4540; Espinoza Perez, Andrea Teresa/0000-0002-6362-9100; Alfaro, Miguel/0000-0002-1633-8853; Bautista Rodriguez, Sandra Cecilia/0000-0002-9856-4706</t>
  </si>
  <si>
    <t>0959-6526</t>
  </si>
  <si>
    <t>1879-1786</t>
  </si>
  <si>
    <t>JAN 10</t>
  </si>
  <si>
    <t>10.1016/j.jclepro.2016.09.168</t>
  </si>
  <si>
    <t>WOS:000389090300105</t>
  </si>
  <si>
    <t>Espinoza, M; Díaz, M; Espina, E; Hackl, CM; Cárdenas, R</t>
  </si>
  <si>
    <t>Espinoza, Mauricio; Diaz, Matias; Espina, Enrique; Hackl, Christoph M.; Cardenas, Roberto</t>
  </si>
  <si>
    <t>Control Strategies for Modular Multilevel Converters Driving Cage Machines</t>
  </si>
  <si>
    <t>2017 IEEE SOUTHERN POWER ELECTRONICS CONFERENCE (SPEC)</t>
  </si>
  <si>
    <t>IEEE Southern Power Electronics Conference (SPEC)</t>
  </si>
  <si>
    <t>DEC 04-07, 2017</t>
  </si>
  <si>
    <t>Puerto Varas, CHILE</t>
  </si>
  <si>
    <t>Inst Elect &amp; Elect Engineers,IEEE Power Elect Soc,Univ Talca</t>
  </si>
  <si>
    <t>The Modular Multilevel Converter has emerged as a suitable topology for high power drive applications. However, high voltage fluctuations could appear in the converter capacitors depending on the operating drive point. Then, mitigating signals, which lead to oversized dimensioning, are required to keep the capacitor voltages within an acceptable range. In this paper, a new control scheme is proposed to regulate the capacitor voltages within a desired margin reducing the mitigating signals as the machine frequency increases. The effectiveness of the proposed control strategy is validated with a laboratory-based prototype composed of eighteen power cells, feeding a vector-controlled induction machine.</t>
  </si>
  <si>
    <t>Espina, Enrique/AGZ-7297-2022; Espinoza, Mauricio/AAH-8647-2019; Hackl, Christoph/AAC-7066-2019; Diaz, Matias/R-7570-2018</t>
  </si>
  <si>
    <t>WOS:000454362300039</t>
  </si>
  <si>
    <t>Kaidatzis, A; del Real, RP; Alvaro, R; Palma, JL; Anguita, J; Niarchos, D; Vazquez, M; Escrig, J; García-Martín, JM</t>
  </si>
  <si>
    <t>Kaidatzis, Andreas; del Real, Rafael P.; Alvaro, Raquel; Luis Palma, Juan; Anguita, Jose; Niarchos, Dimitrios; Vazquez, Manuel; Escrig, Juan; Miguel Garcia-Martin, Jose</t>
  </si>
  <si>
    <t>Magnetic properties engineering of nanopatterned cobalt antidot arrays</t>
  </si>
  <si>
    <t>We report on the study of arrays of 60 nm wide cobalt antidots, nanopatterned using focused ion beam milling. Square and hexagonal symmetry arrays have been studied, with varying antidot densities and lattice constant from 150 up to 300 nm. We find a strong increase of the arrays' magnetic coercivity with respect to the unpatterned film, which is monotonic as the antidot density increases. Additionally, there is a strong influence of the array symmetry to the in-plane magnetic anisotropy: square arrays exhibit fourfold symmetry and hexagonal arrays exhibit sixfold symmetry. The above findings are corroborated by magnetic imaging and micromagnetic modeling, which show the magnetic structure of the arrays to depend strongly on the array morphology.</t>
  </si>
  <si>
    <t>Vázquez, Manuel/A-6370-2011; Palma, Juan/IAP-4554-2023; del real, rafael/C-2178-2013; Garcia-Martin, Jose Miguel/H-4434-2011; NIARCHOS, DIMITRIOS/F-2498-2017; Escrig, Juan/N-4304-2015</t>
  </si>
  <si>
    <t>Kaidatzis, Andreas/0000-0003-0301-3651; Garcia-Martin, Jose Miguel/0000-0002-5908-8428; Vazquez Villalabeitia, Manuel/0000-0001-5591-0157; Palma, JuanLuis/0000-0003-2068-174X; NIARCHOS, DIMITRIOS/0000-0002-6256-7497; PEREZ DEL REAL, RAFAEL/0000-0003-1374-8037; Escrig, Juan/0000-0002-3958-8185</t>
  </si>
  <si>
    <t>1361-6463</t>
  </si>
  <si>
    <t>MAY 5</t>
  </si>
  <si>
    <t>10.1088/0022-3727/49/17/175004</t>
  </si>
  <si>
    <t>WOS:000374146600004</t>
  </si>
  <si>
    <t>Das, A; Gamboa, J; Pino, M</t>
  </si>
  <si>
    <t>Das, Ashok; Gamboa, Jorge; Pino, Miguel</t>
  </si>
  <si>
    <t>Cosmological kinetic mixing</t>
  </si>
  <si>
    <t>In this paper we generalize the kinetic mixing idea to time reparametrization invariant theories, namely, relativistic point particles and cosmology in order to obtain new insights for dark matter and energy. In the first example, two relativistic particles interact through an appropriately chosen coupling term. It is shown that the system can be diagonalized by means of a nonlocal field redefinition, and, as a result of this procedure, the mass of one the particles gets rescaled. In the second case, inspired by the previous example, two cosmological models (each with its own scale factor) are made to interact in a similar fashion. The equations of motion are solved numerically in different scenarios (dust, radiation or a cosmological constant coupled to each sector of the system). When a cosmological constant term is present, kinetic mixing rescales it to a lower value which may be more amenable to observations.</t>
  </si>
  <si>
    <t>Das, Ashok/K-7202-2017; Pino, Miguel/G-7510-2015; Gamboa, Jorge/R-8744-2019</t>
  </si>
  <si>
    <t>Pino, Miguel/0000-0002-7612-4515; Das, Ashok/0000-0002-4958-6706</t>
  </si>
  <si>
    <t>1550-7998</t>
  </si>
  <si>
    <t>1550-2368</t>
  </si>
  <si>
    <t>JUN 19</t>
  </si>
  <si>
    <t>10.1103/PhysRevD.91.123528</t>
  </si>
  <si>
    <t>WOS:000356483200002</t>
  </si>
  <si>
    <t>B</t>
  </si>
  <si>
    <t>Rai, M; Cordell, GA; Martínez, JL; Marinoff, M; Rastrelli, L</t>
  </si>
  <si>
    <t>Rai, M; Cordell, GA; Martinez, JL; Marinoff, M; Rastrelli, L</t>
  </si>
  <si>
    <t>Rai, Mahendra; Cordell, Geoffrey A.; Martinez, Jose L.; Marinoff, Mariela; Rastrelli, Luca</t>
  </si>
  <si>
    <t>Medicinal Plants Biodiversity and Drugs Preface</t>
  </si>
  <si>
    <t>MEDICINAL PLANTS: BIODIVERSITY AND DRUGS</t>
  </si>
  <si>
    <t>Rastrelli, Luca/A-4159-2011; Rai, Mahendra/AAG-3336-2019; Martinez, Jose/AAA-1725-2020</t>
  </si>
  <si>
    <t>978-1-4665-0795-1; 978-1-57808-793-8</t>
  </si>
  <si>
    <t>IX</t>
  </si>
  <si>
    <t>XI</t>
  </si>
  <si>
    <t>WOS:000361894300002</t>
  </si>
  <si>
    <t>Quinteros-Muñoz, D; Sáez-Briones, P; Díaz-Velíz, G; Mora-Gutiérrez, S; Rebolledo-Fuentes, M; Cassels, BK</t>
  </si>
  <si>
    <t>Quinteros-Munoz, David; Saez-Briones, Patricio; Diaz-Veliz, Gabriela; Mora-Gutierrez, Sergio; Rebolledo-Fuentes, Marco; Cassels, Bruce K.</t>
  </si>
  <si>
    <t>Behavioral Profiles in Rats Distinguish Among Ecstasy, Methamphetamine and 2,5-Dimethoxy-4-Iodoamphetamine: Mixed Effects for Ecstasy Analogues</t>
  </si>
  <si>
    <t>BEHAVIORAL NEUROSCIENCE</t>
  </si>
  <si>
    <t>3,4-methylenedioxymethamphetamine (MDMA; ecstasy) is a psychoactive drug structurally related to other phenylisopropylamines acting as stimulants or hallucinogens in humans. Although MDMA has a pharmacological identity of its own, the distinction of its acute effects from those of stimulants or even hallucinogens is controversial. In this work, dose-response curves (0.25, 0.5, 1, 3, 5, and 10 mg/kg) representing the acute in vivo effects of MDMA were compared with those of a structurally related stimulant (methamphetamine, MA) and a hallucinogenic analogue (2,5-dimethoxy-4-iodoamphetamine, DOI) in a set of behavioral protocols in rats, including spontaneous psychomotor activity, anxiolytic/anxiogenic-like effects and active avoidance conditioning responses. The behavioral profiles obtained allowed us to differentiate among racemic MDMA. MA, and DOI at different dose ranges. In addition, the evaluation of four MDMA analogues (1, 5, and 10 mg/kg) comprising two well-known MDMA analogues (MDA [3,4-methylenedioxyamphetamine] and MDE (N-ethyl-MDA, believed to substitute for MDMA) and two other structural analogues (MDOH [N-hydroxy-MDA] and MMDA-2 [2-methoxy-4,5-methylenedioxyamphetamine]) showed that none of these exactly resembles MDMA in their pharmacological profiles, highlighting the unique character of this prototypical entactogen. In fact, their effects exhibited similarities with the behavioral profiles of either MA or DO!, as well as novel profiles in specific behavioral paradigms.</t>
  </si>
  <si>
    <t>Diaz-Veliz, Gabriela/A-2075-2008; Cassels, Bruce/H-6937-2013</t>
  </si>
  <si>
    <t>Diaz-Veliz, Gabriela/0000-0001-9549-4485</t>
  </si>
  <si>
    <t>0735-7044</t>
  </si>
  <si>
    <t>1939-0084</t>
  </si>
  <si>
    <t>10.1037/a0020827</t>
  </si>
  <si>
    <t>WOS:000282673800010</t>
  </si>
  <si>
    <t>Bernardi, APM; López-Alarcón, C; Rech, AA; Von Poser, GL; Bridi, R; Dutra, FCS; Lissi, E</t>
  </si>
  <si>
    <t>Bernardi, A. P. M.; Lopez-Alarcon, C.; Rech, Aspee A.; Von Poser, G. L.; Bridi, R.; Dutra, Filho C. S.; Lissi, E.</t>
  </si>
  <si>
    <t>ANTIOXIDANT ACTIVITY IN SOUTHERN BRAZIL HYPERICUM SPECIES</t>
  </si>
  <si>
    <t>The present study was conducted to assess the antioxidant activity of Hypericum species endemic to South Brazil, H. caprifoliatum, H. carinatum, H. myrianthum and H. polyanthemum. The free radical scavenging properties of plant extracts were evaluated employing different methodologies, including the bleaching of a stable free radical (2,2-diphenyl-1-pierylhydrazyl, DPPH) and the peroxyl reactivity indexes TRAP (Total Reactive Antioxidant Potential) and ORAC-pyrogallol red (Oxygen Radicals Absorbance Capacity). A fair correlation Was Found between total phenol content determined by Folin-Ciocalteau and DPPI-I consumption, both in crude methanol and n-hexane extracts. In particular, H. myrianthum and H. caprifoliatum showed the highest TRAP and ORAC-pyrogallol red values, respectively. This would imply that H. myrianthum contains it larger amount of antioxidants of lower reactivity.</t>
  </si>
  <si>
    <t>DUTRA-FILHO, CARLOS/G-7979-2015; Lopez, Camilo/J-5770-2013; Bridi, Raquel/JCN-9916-2023; bridi, raquel/F-1572-2015</t>
  </si>
  <si>
    <t>Lopez, Camilo/0000-0002-0174-8972; bridi, raquel/0000-0002-3891-5770</t>
  </si>
  <si>
    <t>WOS:000262222500003</t>
  </si>
  <si>
    <t>Russell, TP; Huang, JS; Juszkiewicz, M; de Jeu, W; Cerda, E; Emrick, T; Menon, N</t>
  </si>
  <si>
    <t>Russell, Thomas P.; Huang, Jiangshui; Juszkiewicz, Megan; de Jeu, Wim; Cerda, Enrique; Emrick, Todd; Menon, Narayanan</t>
  </si>
  <si>
    <t>PMSE 110-Capillary wrinkling of floating thin films</t>
  </si>
  <si>
    <t>235th American-Chemical-Society National Meeting</t>
  </si>
  <si>
    <t>APR 06-10, 2008</t>
  </si>
  <si>
    <t>New Orleans, LA</t>
  </si>
  <si>
    <t>Amer Chem Soc</t>
  </si>
  <si>
    <t>Russell, Thomas/ADL-3689-2022</t>
  </si>
  <si>
    <t>APR 6</t>
  </si>
  <si>
    <t>110-PMSE</t>
  </si>
  <si>
    <t>WOS:000271775109178</t>
  </si>
  <si>
    <t>Blümel, JE; Castelo-Branco, C; Cancelo, MJ; Romero, H; Aprikian, D; Sarrá, S</t>
  </si>
  <si>
    <t>Impairment of sexual activity in middle-aged women in Chile</t>
  </si>
  <si>
    <t>MENOPAUSE-THE JOURNAL OF THE NORTH AMERICAN MENOPAUSE SOCIETY</t>
  </si>
  <si>
    <t>Objective: It has been suggested that approximately 40% of women between 40 and 64 years of age cease their sexual activity. Our objective was to examine the reasons that sexual activity has stopped and to determine the effect that this behavior has on the marital stability of those middle-aged women. Design: A total of 534 healthy women between 40 and 64 years of age who were attending the Southern Metropolitan Health Service in Santiago, Chile, were asked to take part in the study. Results: The main reasons for sexual inactivity in middle-aged women were sexual dysfunction (49.2%), unpleasant personal relationship with a partner (17.9%), and lack of a partner (17.7%). These reasons vary with aging; in women younger than 45 years, the most frequent reason was erectile dysfunction (40.7%); in those between 45 and 59, low sexual desire (40.5%); and, in women older than 60 years, the lack of a partner (32.4%). Sexual inactivity did not affect marital stability because women without sexual relationships (68.2% of the entire sample) were married. Among the divorced women, female sexual dysfunction was responsible for only 11.7% of the separations. Conclusion: Low sexual desire is the main reason for ceasing sexual activity. Nevertheless, stopping sexual relationships does not seem to be important in marital stability.</t>
  </si>
  <si>
    <t>cancelo, maria jesus/HKW-4464-2023; Blümel, Juan Enrique/JUV-6950-2023; Castelo-Branco, Camil/O-5245-2016</t>
  </si>
  <si>
    <t>Cancelo Hidalgo, Maria Jesus/0000-0002-2072-7747; Castelo-Branco, Camil/0000-0002-9860-8318</t>
  </si>
  <si>
    <t>1072-3714</t>
  </si>
  <si>
    <t>1530-0374</t>
  </si>
  <si>
    <t>JAN-FEB</t>
  </si>
  <si>
    <t>10.1097/01.GME.0000072481.97324.7F</t>
  </si>
  <si>
    <t>WOS:000188255700012</t>
  </si>
  <si>
    <t>Acuña-Castillo, C; Villalobos, C; Moya, PR; Sáez, P; Cassels, BK; Huidobro-Toro, J</t>
  </si>
  <si>
    <t>Differences in potency and efficacy of a series of phenylisopropylamine/phenylethylamine pairs at 5-HT2A and 5-HT2C receptors</t>
  </si>
  <si>
    <t>BRITISH JOURNAL OF PHARMACOLOGY</t>
  </si>
  <si>
    <t>1 The pharmacological profile of a series of (+/-)-2,5-dimethoxy-4-(X)-phenylisopropylamines (X = I, Br, NO2, CH3, or H) and corresponding phenylethylamines, was determined in Xenopus laevis oocytes injected with cRNA coding for rat 5-HT2A or 5-HT2C receptors. The efficacy and relative potency of these drugs were determined and compared to classical 5-HT2 receptor agonists and antagonists. 2 The rank order of agonist potency at the 5-HT2A receptor was: alpha-methyl-5-HT = 5-HT &gt; m- CPP&gt;MK-212: at the 5-HT2C receptor the order was: 5-HT&gt;alpha-methyl-5-HT&gt;MK-212&gt;m-CPP. All these compounds were full agonists at the 5-HT2C receptor, but alpha-methyl-5-HT and m-CPP showed lower efficacy at the 5-HT2A receptor. 3 4-(4-Fluorobenzoyl)-1-(4-phenylbutyl)piperidine (4F 4PP) was 200 times more potent as a 5-HT2A antagonist than at 5-HT2C receptors. Conversely, RS 102221 was 100 times more potent as a 5-HT2C antagonist, confirming their relative receptor selectivities. 4 The phenylisopropylamines were partial agonists at the 5-HT2A receptor, with I-max relative to 5-HT in the 22+/-7 to 58+/-15% range; the corresponding phenylethylamines had lower or undetectable efficacies. All these drugs had higher efficacies at 5-HT2C receptors; DOI was a full 5-HT2C agonist. 2C-I and the other phenylethylamines examined showed relative efficacies at the 5-HT2C receptor ranging from 44+/-10% to 76+/-16%. 1; 2C-N was a 5-HT2 receptor antagonist; the mechanism was competitive at the 5-HT2A, but noncompetitive at the 5-HT2C receptor. The antagonism was time-dependent at the 5-HT2C receptor but independent of pre-incubation time at the 5-HT2A receptor subtype. 6 The alpha-methyl group determines the efficacy of these phenylalkylamines at the 5-HT2A and 5-HT2C receptors.</t>
  </si>
  <si>
    <t>Moya, Pablo/HTZ-1393-2023; Cassels, Bruce/H-6937-2013; Acuña-Castillo, Claudio/AAI-7090-2021</t>
  </si>
  <si>
    <t>Moya, Pablo/0000-0001-6409-1544; VILLALOBOS, CLAUDIO/0000-0002-7943-5888; Acuna-Castillo, Claudio/0000-0003-3607-6077</t>
  </si>
  <si>
    <t>0007-1188</t>
  </si>
  <si>
    <t>10.1038/sj.bjp.0704747</t>
  </si>
  <si>
    <t>WOS:000176334200005</t>
  </si>
  <si>
    <t>Banados, M; Contreras, M</t>
  </si>
  <si>
    <t>Darboux coordinates for (first-order) tetrad gravity</t>
  </si>
  <si>
    <t>CLASSICAL AND QUANTUM GRAVITY</t>
  </si>
  <si>
    <t>The Hamiltonian form of the Hilbert action in the first-order tetrad formalism is examined. We perform a nonlinear field redefinition of the canonical variables isolating the part of the spin connection which is canonically conjugate to the tetrad. The geometrical meaning of the constraints written in these new variables is examined.</t>
  </si>
  <si>
    <t>Banados, Max/0000-0003-3238-7863; Contreras, Mauricio/0000-0001-6132-8032</t>
  </si>
  <si>
    <t>0264-9381</t>
  </si>
  <si>
    <t>10.1088/0264-9381/15/6/009</t>
  </si>
  <si>
    <t>WOS:000074298700009</t>
  </si>
  <si>
    <t>Izquierdo-Fiallo, K; Munoz-Villagran, C; Schimpf, C; Mardonez, MP; Rafaja, D; Schloemann, M; Tello, M; Orellana, O; Levican, G</t>
  </si>
  <si>
    <t>Izquierdo-Fiallo, Katherin; Munoz-Villagran, Claudia; Schimpf, Christian; Mardonez, Mick Parra; Rafaja, David; Schloemann, Michael; Tello, Mario; Orellana, Omar; Levican, Gloria</t>
  </si>
  <si>
    <t>Adaptive response of the holdase chaperone network of Acidithiobacillus ferrooxidans ATCC 23270 to stresses and energy sources</t>
  </si>
  <si>
    <t>WORLD JOURNAL OF MICROBIOLOGY &amp; BIOTECHNOLOGY</t>
  </si>
  <si>
    <t>Acidithiobacillus ferrooxidans is a chemolithoautotrophic acidophilic bacterium belonging to microbial communities involved in sulfide ore bioleaching. This microorganism possesses redundancy of genes encoding ATP-independent chaperone holdases like Hsp20 (hps20.1, hsp20.2, and hsp20.3), Hsp31, Hsp33, RidA (ridA.1 and ridA.2), and Lon (lon.1, lon.2, and lon.3), and single copy genes encoding SlyD and CnoX. We evaluated the response of these holdases to short and long-term stresses induced by changes in temperature (30 degrees to 37 degrees C), pH (1.6 to 1.2 or 2.0), and oxidative status (1 mM H2O2) as well as to different energy sources (iron, sulfur, pyrite, sphalerite or chalcopyrite). Cells adapted under thermal and oxidative stress conditions showed a generalized upregulation of holdase genes, while short-term stress led to more discrete increases in transcript levels, with only hsp20.2 and hsp31 showing higher mRNA levels. hsp31 was also upregulated under acidic stresses, sulfur and sulfides. hsp20 variants showed different mRNA levels under different conditions, and cnoX was induced under oxidative conditions. Cells cultured on chalcopyrite had similar responses to those grown with peroxide. With some exceptions, stresses led to significant increases in intracellular ROS content, and decreases in ATP. These results pave the way to understanding proteostasis systems in extreme acidophilic bacteria.</t>
  </si>
  <si>
    <t>Tello, Mario/N-4198-2019; Levican, Gloria/R-5191-2019</t>
  </si>
  <si>
    <t>0959-3993</t>
  </si>
  <si>
    <t>1573-0972</t>
  </si>
  <si>
    <t>10.1007/s11274-025-04325-7</t>
  </si>
  <si>
    <t>WOS:001458909000001</t>
  </si>
  <si>
    <t>Navas, AFN; Araujo-Rodriguez, DG; Valencia-Llano, CH; Insuasty, D; Delgado-Ospina, J; Navia-Porras, DP; Zapata, PA; Albis, A; Grande-Tovar, CD</t>
  </si>
  <si>
    <t>Niebles Navas, Andres Felipe; Araujo-Rodriguez, Daniela G.; Valencia-Llano, Carlos-Humberto; Insuasty, Daniel; Delgado-Ospina, Johannes; Navia-Porras, Diana Paola; Zapata, Paula A.; Albis, Alberto; Grande-Tovar, Carlos David</t>
  </si>
  <si>
    <t>Lyophilized Polyvinyl Alcohol and Chitosan Scaffolds Pre-Loaded with Silicon Dioxide Nanoparticles for Tissue Regeneration</t>
  </si>
  <si>
    <t>Materials with a soft tissue regenerative capacity can be produced using biopolymer scaffolds and nanomaterials, which allow injured tissue to recover without any side effects or limitations. Four formulations were prepared using polyvinyl alcohol (PVA) and chitosan (CS), with silicon dioxide nanoparticles (NPs-SiO2) incorporated using the freeze-drying method at a temperature of -50 degrees C. TGA and DSC showed no change in thermal degradation, with glass transition temperatures around 74 degrees C and 77 degrees C. The interactions between the hydroxyl groups of PVA and CS remained stable. Scanning electron microscopy (SEM) indicated that the incorporation of NPs-SiO2 complemented the freeze-drying process, enabling the dispersion of the components on the polymeric matrix and obtaining structures with a small pore size (between 30 and 60 mu m) and large pores (between 100 and 160 mu m). The antimicrobial capacity analysis of Gram-positive and Gram-negative bacteria revealed that the scaffolds inhibited around 99% of K. pneumoniae, E. cloacae, and S. aureus ATCC 55804. The subdermal implantation analysis demonstrated tissue growth and proliferation, with good biocompatibility, promoting the healing process for tissue restoration through the simultaneous degradation and formation of type I collagen fibers. All the results presented expand the boundaries in tissue engineering and regenerative medicine by highlighting the crucial role of nanoparticles in optimizing scaffold properties.</t>
  </si>
  <si>
    <t>Tovar, Carlos/J-9638-2019; Delgado, Johannes/ADH-0147-2022; Valencia Llano, Carlos Humberto/KZU-6023-2024</t>
  </si>
  <si>
    <t>Valencia Llano, Carlos Humberto/0000-0003-4892-9786; Insuasty, Daniel/0000-0001-9662-9505; Navia Porras, Diana Paola/0000-0002-8448-174X; Zapata, Paula Andrea/0000-0003-3361-6226; Grande Tovar, Carlos David/0000-0002-6243-4571; Delgado Ospina, Johannes/0000-0001-8095-4741</t>
  </si>
  <si>
    <t>10.3390/molecules29163850</t>
  </si>
  <si>
    <t>WOS:001304843600001</t>
  </si>
  <si>
    <t>Gatica, JL; Aragón-Caqueo, D; Aedo, G; Fuenzalida, H; Loubies, R; Aedo, S; Carrasco, MF; Sabando, V; Cunill, C; Letelier, MJ</t>
  </si>
  <si>
    <t>Luis Gatica, Jose; Aragon-Caqueo, Diego; Aedo, Gabriel; Fuenzalida, Hector; Loubies, Rodrigo; Aedo, Socrates; Francisca Carrasco, Maria; Sabando, Vezna; Cunill, Carolina; Jose Letelier, Maria</t>
  </si>
  <si>
    <t>Teledermatology Evaluation and Feedback Systems: A Tool for Improving Care</t>
  </si>
  <si>
    <t>HEALTHCARE</t>
  </si>
  <si>
    <t>Chile is a country where teledermatology has been growing exponentially since the implementation of a single national asynchronous teledermatology platform for the public system in December 2018. To ensure the quality of care in teledermatology systems, it is crucial to evaluate the fulfillment of basic specifiers such as ICD-Diagnosis, therapeutic suggestions, and diagnostic suggestions, among others. This article aims to evaluate the teledermatology system of the Chilean public health service by analyzing 243 randomly extracted consultations, representative of the 20,716 electronic consultations performed during 2020. Compliance with basic specifiers is evaluated. From these, fulfillment of core teledermatology functions, such as diagnostic and therapeutic suggestions, is observed in most consultations. There are statistically significant relationships between the patient's destination (primary health center [PHC] or face-to-face referral), pharmacological prescription, coverage of the drug prescribed by the public system, and the education received by the consulting physician. If the consultation is resolved in the PHC, there is a higher chance for pharmacological prescription, prescribing mostly drugs that are covered by the government. This is less likely to occur when patients are referred for face-to-face evaluation. A targeted evaluation of education, pharmacological prescriptions, and their applicability is key to improving the quality of teledermatology systems.</t>
  </si>
  <si>
    <t>Letelier, Maria/LXB-2899-2024; Aragón, Diego/GPX-8482-2022</t>
  </si>
  <si>
    <t>Gatica, Jose/0000-0002-2246-7221; Aragon-Caqueo, Diego/0000-0001-7233-960X</t>
  </si>
  <si>
    <t>2227-9032</t>
  </si>
  <si>
    <t>JUN 2</t>
  </si>
  <si>
    <t>10.3390/healthcare11111626</t>
  </si>
  <si>
    <t>WOS:001006075800001</t>
  </si>
  <si>
    <t>Navarrete, E; Morales, P; Muñoz-Osses, M; Vásquez-Martínez, Y; Godoy, F; Maldonado, T; Martí, AA; Flores, E; Mascayano, C</t>
  </si>
  <si>
    <t>Navarrete, Elizabeth; Morales, Pilar; Munoz-Osses, Michelle; Vasquez-Martinez, Yesseny; Godoy, Fernando; Maldonado, Tamara; Marti, Angel A.; Flores, Erick; Mascayano, Carolina</t>
  </si>
  <si>
    <t>Evaluating the inhibitory activity of ferrocenyl Schiff bases derivatives on 5-lipoxygenase: Computational and biological studies</t>
  </si>
  <si>
    <t>JOURNAL OF INORGANIC BIOCHEMISTRY</t>
  </si>
  <si>
    <t>In the search for new 5-LOX inhibitors, two ferrocenyl Schiff base complexes functionalized with catechol ((15- (E)-C5H4-N--CH-3,4-benzodiol)Fe(15-C5H5) (3a)) and vanillin ((15-(E)-C5H4-N--CH-3-methoxy-4-phenol)Fe(15- C5H5) (3b)) were obtained. Complexes 3a and 3b were biologically evaluated as 5-LOX inhibitors showed potent inhibition compared to their organic analogs (2a and 2b) and known commercial inhibitors, with IC50 = 0.17 +/- 0.05 mu M for (3a) and 0.73 +/- 0.06 mu M for (3b) demonstrated a highly inhibitory and potent effect against 5-LOX due to the incorporation of the ferrocenyl fragment. Molecular dynamic studies showed a preferential orientation of the ferrocenyl fragment toward the non-heme iron of 5-LOX, which, together with electrochemical and in-vitro studies, allowed us to propose a competitive redox deactivation mechanism mediated by water, where Fe(III)-enzyme can be reduced by the ferrocenyl fragment. An Epa/IC50 relationship was observed, and the stability of the Schiff bases was evaluated by SWV in the biological medium, observing that the hydrolysis does not affect the high potency of the complexes, making them interesting alternatives for pharmacological applications.</t>
  </si>
  <si>
    <t>Marti, Angel/C-2762-2008; Flores, Erick/GPK-2155-2022</t>
  </si>
  <si>
    <t>Maldonado Hernandez, Tamara/0000-0002-3863-3001; Mascayano Collado, Carolina Lorena/0000-0002-3488-9309; Flores, Dr. Erick/0000-0002-2573-6650</t>
  </si>
  <si>
    <t>0162-0134</t>
  </si>
  <si>
    <t>1873-3344</t>
  </si>
  <si>
    <t>10.1016/j.jinorgbio.2023.112233</t>
  </si>
  <si>
    <t>WOS:001008731500001</t>
  </si>
  <si>
    <t>Cedeño, AL; Orellana, R; Carvajal, R; Godoy, BI; Agüero, JC</t>
  </si>
  <si>
    <t>Cedeno, Angel L.; Orellana, Rafael; Carvajal, Rodrigo; Godoy, Boris I.; Aguero, Juan C.</t>
  </si>
  <si>
    <t>Finite Impulse Response Errors-in-Variables System Identification Utilizing Approximated Likelihood and Gaussian Mixture Models</t>
  </si>
  <si>
    <t>IEEE ACCESS</t>
  </si>
  <si>
    <t>In this paper a Maximum likelihood estimation algorithm for Finite Impulse Response Errors-in-Variables systems is developed. We consider that the noise-free input signal is Gaussian-mixture distributed. We propose an Expectation-Maximization-based algorithm to estimate the system model parameters, the input and output noise variances, and the Gaussian mixture noise-free input parameters. The benefits of our proposal are illustrated via numerical simulations.</t>
  </si>
  <si>
    <t>Godoy, Boris/G-4710-2010; Carvajal, Rodrigo/E-5560-2015; Aguero, Juan C./A-8657-2013; Orellana Prato, Rafael/Y-5616-2018</t>
  </si>
  <si>
    <t>Carvajal, Rodrigo/0000-0002-3336-8683; Aguero, Juan C./0000-0001-7104-3233; Cedeno, Angel L./0000-0002-5797-4231; Orellana Prato, Rafael/0000-0002-8632-5126</t>
  </si>
  <si>
    <t>2169-3536</t>
  </si>
  <si>
    <t>10.1109/ACCESS.2023.3255827</t>
  </si>
  <si>
    <t>WOS:000953698000001</t>
  </si>
  <si>
    <t>Maureira, CP; Cifuentes-Silva, E; Soriano, NN; Quezada, MF; Valles, AP</t>
  </si>
  <si>
    <t>Maureira, Constanza Pastene; Cifuentes-Silva, Eduardo; Soriano, Nicolu Navarro; Quezada, Mauricio Flores; Valles, Alejandro Pacheco</t>
  </si>
  <si>
    <t>Characterization of physical activity level, physical performance, oxidative stress and quality oflife of HIV/AIDS patients</t>
  </si>
  <si>
    <t>Introduction: People with Human Immunodeficiency Virus (HIV) require antiretroviral treatment (AT). Both cause oxida-tive stress (OS), nevertheless, sparse evidence exist concerning the level of OS and physical performance in this population. Objective: To characterize physical activity level, physical performance, oxidative stress and quality of life of patients with HID/AIDS treated with AT at Dr. Lucio Cordova Hospital. Methodology: Descriptive exploratory design. 26 male participants were included (26.3 &amp; PLUSMN;3 years). AT use, substance consumption and immunological testing was registered. Weight, height, BMI and physical activity levels (IPAQ), physical performance (6MWT and sit-to-stand test), carbonilated proteins levels in blood and MOS-HIV questionnaire of quality of life were measured. Results: the sample showed on average 3759 &amp; PLUSMN; 2486 mets/min/week, with a predominance of vigorous activity, a reduction of 7,24% in 6MWT, 19.58 &amp; PLUSMN; 4.1 sit-to-stand repetitions in 30 seconds, augmented carbonilated proteins in 73% of patients and a diminished quality of life level (70/100 points). Conclusion: young male patients with HIV/AIDS showed high levels of self-reported physical activity and carbonilated proteins but diminished physical performance and quality of life.</t>
  </si>
  <si>
    <t>WOS:001064838300001</t>
  </si>
  <si>
    <t>Denche-Zamorano, A; Paredes-Mateos, V; Pastor-Cisneros, R; Carlos-Vivas, J; Contreras-Barraza, N; Iturra-Gonzalez, JA; Mendoza-Muñoz, M</t>
  </si>
  <si>
    <t>Denche-Zamorano, Angel; Paredes-Mateos, Victor; Pastor-Cisneros, Raquel; Carlos-Vivas, Jorge; Contreras-Barraza, Nicolas; Iturra-Gonzalez, Jose A.; Mendoza-Munoz, Maria</t>
  </si>
  <si>
    <t>Physical Activity Level, Depression, Anxiety, and Self-Perceived Health in Spanish Adults with Migraine: A Cross-Sectional Study</t>
  </si>
  <si>
    <t>INTERNATIONAL JOURNAL OF ENVIRONMENTAL RESEARCH AND PUBLIC HEALTH</t>
  </si>
  <si>
    <t>Background: Of all neurological disorders, migraine is the second most prevalent in the world and the most disabling, affecting approximately 15% of the general population. It is characterized by recurrent headaches, along with other symptoms and comorbidities such as depression and anxiety, compromising the sufferer's perception of health. Physical activity is a preventive treatment for migraine and its comorbidities. The aim is to analyze the relationship between migraine and physical activity levels (PAL) in the adult Spanish population, as well as PAL and depression, anxiety, and self-perceived health (SPH) in people with migraine. Methods: A cross-sectional study was conducted including 17,137 participants, 1972 with migraine, using data from the Spanish National Health Survey. Non-parametric statistical tests were performed: z-test for independent proportions (to analyze intergroup differences) and chi-square test (to analyze dependence between categorical variables). Results: Migraine was related to PAL (p &lt; 0.001). Inactive people had a higher prevalence of migraine than active and very active people (p &lt; 0.05). PAL was related to depression, anxiety, SPH, and analgesic use in people with migraine (p &lt; 0.001). Inactive people had a higher prevalence of depression, anxiety, analgesic use, and negative SPH than active and very active people (p &lt; 0.05). Conclusions: Increasing PA in the population could reduce the prevalence of migraine. In people with migraine, inactivity could worsen SPH and increase depressive and anxious symptoms.</t>
  </si>
  <si>
    <t>Denche Zamorano, Ángel/GLT-4127-2022; Contreras-Barraza, Nicolás/HTP-2328-2023; Muñoz, Maria/ABF-5061-2020; Pastor Cisneros, Raquel/HPG-9250-2023; Carlos-Vivas, Jorge/O-6686-2016</t>
  </si>
  <si>
    <t>Iturra Gonzalez, Jose Alejandro/0000-0002-5419-0757; Carlos-Vivas, Jorge/0000-0002-6377-9950; Pastor Cisneros, Raquel/0000-0001-7305-6783; Denche-Zamorano, Angel/0000-0002-5740-305X; Contreras-Barraza, Nicolas/0000-0001-6729-4398; Mendoza-Munoz, Maria/0000-0001-9502-5486</t>
  </si>
  <si>
    <t>1660-4601</t>
  </si>
  <si>
    <t>10.3390/ijerph192113882</t>
  </si>
  <si>
    <t>WOS:000881200900001</t>
  </si>
  <si>
    <t>Gómez, LG; Rodríguez, Y; Almeida, JPB</t>
  </si>
  <si>
    <t>Gabriel Gomez, L.; Rodriguez, Yeinzon; Beltran Almeida, Juan P.</t>
  </si>
  <si>
    <t>Anisotropic scalar field dark energy with a disformally coupled Yang-Mills field</t>
  </si>
  <si>
    <t>INTERNATIONAL JOURNAL OF MODERN PHYSICS D</t>
  </si>
  <si>
    <t>In the context of scalar-tensor theories, the inclusion of new degrees of freedom coupled nonminimally to the gravitational sector might produce some appealing effects on the cosmic expansion history. We investigate this premise by including a canonical SU(2) Yang-Mills field to the total energy budget of the universe coupled to the standard quintessential field by a disformal transformation.From the dynamical system analysis, we study three cases of cosmological interest that span most of the physical phase space of the model: the uncoupled limit, the isotropic and the Abelian cases. New scaling solutions with a nonvanishing gauge field are found in all cases which can be interesting for early cosmological scenarios. Some of these scaling solutions even exhibit anisotropic features. Also, the background evolution of the universe is studied by means of numerical analysis. As an interesting result, the disformal coupling changes the equation of state of the gauge field from radiation to matter at some stages of the evolution of the universe, thereby the gauge field can contribute to some fraction of the total dark matter. We have also quantified the redshift-dependent contribution of the gauge field in the form of dark radiation during the radiation era to the effective number of relativistic species. This depends essentially on the initial conditions and, more importantly, on the disformal coupling function.</t>
  </si>
  <si>
    <t>Gomez, Gabriel/MVW-4321-2025; Rodríguez García, Yeinzon/I-3893-2019</t>
  </si>
  <si>
    <t>Gomez Diaz, Luis Gabriel/0000-0002-3618-9824; Rodriguez Garcia, Yeinzon/0000-0002-9830-7128; Beltran Almeida, Juan Pablo/0000-0002-5324-0679</t>
  </si>
  <si>
    <t>0218-2718</t>
  </si>
  <si>
    <t>1793-6594</t>
  </si>
  <si>
    <t>10.1142/S0218271822500602</t>
  </si>
  <si>
    <t>WOS:000831083400005</t>
  </si>
  <si>
    <t>Vallejos-Vidal, E; Khansari, AR; Soliva-Dueso, L; Balasch, JC; Tort, L; Reyes-López, FE</t>
  </si>
  <si>
    <t>Vallejos-Vidal, Eva; Khansari, Ali Reza; Soliva-Dueso, Lluc; Balasch, Joan Carles; Tort, Lluis; Reyes-Lopez, Felipe E.</t>
  </si>
  <si>
    <t>The Direct Exposure of Cortisol Does Not Modulate the Expression of Immune-Related Genes on Tissue Explants of Mucosal Surfaces in Rainbow Trout (Oncorhynchus mykiss) Nor in Gilthead Sea Bream (Sparus aurata)</t>
  </si>
  <si>
    <t>FRONTIERS IN MARINE SCIENCE</t>
  </si>
  <si>
    <t>The stress response in fish is characterized by the activation of the HPI axis resulting in the release of cortisol. Previous studies in rainbow trout (Oncorhynchus mykiss) and gilthead sea bream (Sparus aurata) have shown that an acute stressor modulates the expression of immune- and stress-related genes in mucosal-associated lymphoid tissues (MALTs), particularly in the skin (SALT), gills (GIALT), and gut (GALT). However, there are no antecedents on whether the modulation on the mucosal transcriptomic profile is coordinated through the local presence of cortisol in the mucosal tissue surface. Thus, the aim of this study was to evaluate the effect of cortisol upon the modulation of a set of immune- (il-1 beta, il-6, tnf-alpha, and cox-2) and stress-related (hsp70, gr1) genes. For this purpose, tissue explants cultures were incubated with cortisol (100 ng/100 mg tissue) for 2-, 4-, and 24 h and the gene expression profile was evaluated at each time-point by real-time PCR. No differences were found in the gene expression between cortisol-incubated tissue explants and mock-incubated tissues in any of the time-points tested for both species. These results suggest that the quick modulation of the gene expression during the first 24 h after the exposure to stressor challenge reported in previous studies, is probably coordinated and mediated through a systemic-dependent mechanism but not through a peripheral/local response on mucosal tissue surfaces.</t>
  </si>
  <si>
    <t>Tort, Lluis/H-5650-2011; Reyes-López, Felipe/S-1760-2018; Vallejos-Vidal, Eva/R-9606-2019; Balasch, Joan Carles/J-8651-2017</t>
  </si>
  <si>
    <t>Vallejos-Vidal, Eva/0000-0002-3091-2700; Balasch, Joan Carles/0000-0002-0771-3746; Reyes-Lopez, Felipe E./0000-0002-5001-457X</t>
  </si>
  <si>
    <t>2296-7745</t>
  </si>
  <si>
    <t>MAR 8</t>
  </si>
  <si>
    <t>10.3389/fmars.2022.828050</t>
  </si>
  <si>
    <t>WOS:000775156900001</t>
  </si>
  <si>
    <t>Espinoza, D; González, A; Pizarro, J; Segura, R; Laporte, D; Rodríguez-Rojas, F; Sáez, CA; Moenne, A</t>
  </si>
  <si>
    <t>Espinoza, Daniela; Gonzalez, Alberto; Pizarro, Jaime; Segura, Rodrigo; Laporte, Daniel; Rodriguez-Rojas, Fernanda; Saez, Claudio A.; Moenne, Alejandra</t>
  </si>
  <si>
    <t>Ulva compressa from Copper-Polluted Sites Exhibits Intracellular Copper Accumulation, Increased Expression of Metallothioneins and Copper-Containing Nanoparticles in Chloroplasts</t>
  </si>
  <si>
    <t>In order to analyze the mechanisms involved in copper accumulation in Ulva compressa, algae were collected at control sites of central and northern Chile, and at two copper-polluted sites of northern Chile. The level of intracellular copper, reduced glutathione (GSH), phytochelatins (PCs), PC2 and PC4, and transcripts encoding metallothioneins (MTs) of U. compressa, UcMT1, UcMT2 and UcMT3, were determined. Algae of control sites contained around 20 mu g of copper g(-1) of dry tissue (DT) whereas algae of copper-polluted sites contained 260 and 272 mu g of copper g(-1) of DT. Algae of control sites and copper-polluted sites did not show detectable amounts of GSH, the level of PC2 did not change among sites whereas PC4 was increased in one of the copper-polluted sites. The level of transcripts of UcMT1 and UcMT2 were increased in algae of copper-polluted sites, but the level of UcMT3 did not change. Algae of a control site and a copper-polluted site were visualized by transmission electron microscopy (TEM) and the existence of copper in electrodense particles was analyzed using energy dispersive x-ray spectroscopy (EDXS). Algae of copper-polluted sites showed electrodense nanoparticles containing copper in the chloroplasts, whereas algae of control sites did not. Algae of a control site, Cachagua, were cultivated without copper (control) and with 10 mu M copper for 5 days and they were analyzed by TEM-EDXS. Algae cultivated with copper showed copper-containing nanoparticles in the chloroplast whereas control algae did not. Thus, U. compressa from copper-polluted sites exhibits intracellular copper accumulation, an increase in the level of PC4 and expression of UcMTs, and the accumulation of copper-containing particles in chloroplasts.</t>
  </si>
  <si>
    <t>Sáez, Claudio/AAP-6923-2021; Figueroa, Alberto/AAA-7911-2020; Segura, Rodrigo/J-6696-2016</t>
  </si>
  <si>
    <t>Rodriguez Rojas, Fernanda Jimena/0009-0006-1232-5891; Espinoza, Daniela/0000-0002-9765-7468; Saez, Claudio/0000-0002-5037-3484; Laporte, Daniel/0000-0003-0883-0917; Segura, Rodrigo/0000-0001-5747-2357; Moenne, Alejandra/0000-0002-7309-9713</t>
  </si>
  <si>
    <t>10.3390/ijms221910531</t>
  </si>
  <si>
    <t>WOS:000707996200001</t>
  </si>
  <si>
    <t>Toledo, B; Medina, P; Blunier, S; Rogan, J; Stepanova, M; Valdivia, JA</t>
  </si>
  <si>
    <t>Toledo, Benjamin; Medina, Pablo; Blunier, Sylvain; Rogan, Jose; Stepanova, Marina; Valdivia, Juan Alejandro</t>
  </si>
  <si>
    <t>Multifractal Characteristics of Geomagnetic Field Fluctuations for the Northern and Southern Hemispheres at Swarm Altitude</t>
  </si>
  <si>
    <t>ENTROPY</t>
  </si>
  <si>
    <t>This paper explores the spatial variations of the statistical scaling features of low to high latitude geomagnetic field fluctuations at Swarm altitude. The data for this study comes from the vector field magnetometer onboard Swarm A satellite, measured at low resolution (1 Hz) for one year (from 9 March 2016, to 9 March 2017). We estimated the structure-function scaling exponents using the p-leaders discrete wavelet multifractal technique, from which we obtained the singularity spectrum related to the magnetic fluctuations in the North-East-Center (NEC) coordinate system. From this estimation, we retain just the maximal fractal subset, associated with the Hurst exponent H. Here we present thresholding for two levels of the Auroral Electrojet index and almost the whole northern and southern hemispheres, the Hurst exponent, the structure-function scaling exponent of order 2, and the multifractal p-exponent width for the geomagnetic fluctuations. The latter quantifies the relevance of the multifractal property. Sometimes, we found negative values of H, suggesting a behavior similar to wave breaking or shocklet-like propagating front. Furthermore, we found some asymmetries in the magnetic field turbulence between the northern and southern hemispheres. These estimations suggest that different turbulent regimes of the geomagnetic field fluctuations exist along the Swarm path.</t>
  </si>
  <si>
    <t>Valdivia, Juan/A-3631-2008; Rogan, José/B-8819-2008; Medina, Pablo/AAN-2202-2021; Blunier, Sylvain/AAN-1380-2021; Toledo, Benjamin/A-1136-2008; Stepanova, Marina/D-6329-2011</t>
  </si>
  <si>
    <t>Blunier, Sylvain/0000-0002-9456-2332; Medina, Pablo/0000-0003-3139-042X; Rogan, Jose/0000-0003-1080-2739; Valdivia, Juan Alejandro/0000-0003-3381-9904; Toledo, Benjamin/0000-0001-5928-2290; Stepanova, Marina/0000-0002-1053-3375</t>
  </si>
  <si>
    <t>1099-4300</t>
  </si>
  <si>
    <t>10.3390/e23050558</t>
  </si>
  <si>
    <t>WOS:000653916000001</t>
  </si>
  <si>
    <t>Espinosa-Méndez, C; Arias, J</t>
  </si>
  <si>
    <t>Espinosa-Mendez, Christian; Arias, Jose</t>
  </si>
  <si>
    <t>COVID-19 effect on herding behaviour in European capital markets</t>
  </si>
  <si>
    <t>FINANCE RESEARCH LETTERS</t>
  </si>
  <si>
    <t>This article investigates whether COVID-19 pandemic had an effect on herding behaviour in Europe. Using a sample from the stock exchanges of France (Paris), Germany (Frankfurt), Italy (Milan), United Kingdom (London) and Spain (Madrid), over the period from January 03, 2000 to June 19, 2020, we found robust evidence that COVID-19 pandemic increased herding behaviour in the capital markets of Europe.</t>
  </si>
  <si>
    <t>Espinosa-Méndez, Christian/G-5177-2019</t>
  </si>
  <si>
    <t>Espinosa-Mendez, Christian/0000-0001-6499-2414; Arias, Jose/0000-0001-8126-5948</t>
  </si>
  <si>
    <t>1544-6123</t>
  </si>
  <si>
    <t>1544-6131</t>
  </si>
  <si>
    <t>10.1016/j.frl.2020.101787</t>
  </si>
  <si>
    <t>JAN 2021</t>
  </si>
  <si>
    <t>WOS:000614463200020</t>
  </si>
  <si>
    <t>Hagani, F; Boutaous, M; Knikker, R; Xin, SH; Siginer, D</t>
  </si>
  <si>
    <t>Hagani, Fouad; Boutaous, M'hamed; Knikker, Ronnie; Xin, Shihe; Siginer, Dennis</t>
  </si>
  <si>
    <t>NUMERICAL MODELING OF PHAN-THIEN - TANNER VISCOELASTIC FLUID FLOW THROUGH A SQUARE CROSS-SECTION DUCT: HEAT TRANSFER ENHANCEMENT DUE TO SHEAR-THINNING EFFECTS</t>
  </si>
  <si>
    <t>Non-isothermal laminar flow of a viscoelastic fluid through a square cross section duct is analyzed. Viscoelastic stresses are described by the Phan-Thien Tanner model and the solvent shear stress is given by the linear Newtonian constitutive relationship. The solution of the set of governing equations spawns coupling between equations of elliptic-hyperbolic type. Our numerical approach is based on the finite-differences method. To treat the hyperbolic part, the system of equations are rewritten in a quasilinear form. The resulting pure advection terms are discretized using high-order upwind schemes when the hyperbolicity condition is satisfied. The incompressibility condition is obtained by the semi-implicit projection method. Finally we investigate the evolution of velocity, shear stress, viscosity and heat transfer over a wide range of Weissenberg numbers.</t>
  </si>
  <si>
    <t>V007T09A042</t>
  </si>
  <si>
    <t>WOS:000465191000042</t>
  </si>
  <si>
    <t>Játiva, PP; Azurdia-Meza, CA; Cañizares, MR; Zabala-Blanco, D; Soto, I</t>
  </si>
  <si>
    <t>Palacios Jativa, Pablo; Azurdia-Meza, Cesar A.; Roman Canizares, Milton; Zabala-Blanco, David; Soto, Ismael</t>
  </si>
  <si>
    <t>BER Performance of OFDM-Based Visible Light Communication Systems</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</si>
  <si>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</si>
  <si>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</si>
  <si>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</si>
  <si>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</si>
  <si>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</si>
  <si>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In this paper, OFDM-based techniques designed for Intensity Modulation/Direct Detection (IM/DD) modulation applied to Visible Light Communications (VLC) systems are evaluated. The evaluated techniques are Asymmetrically Clipped Optical OFDM (ACO-OFDM), Direct Current (DC) Biased Optical OFDM (DCO-OFDM), and Asymmetrically Clipped DC Biased Optical OFDM (ADO-OFDM). These techniques are evaluated and compared for different types of M-QAM modulation in terms of Bit Error Rate (BER). It is shown that ACO-OFDM, in general terms, presents a better performance compared to the conventional DCO-OFDM and ADO-OFDM schemes.</t>
  </si>
  <si>
    <t>Palacios, Pablo/0000-0002-3958-503X</t>
  </si>
  <si>
    <t>978-1-7281-3185-6</t>
  </si>
  <si>
    <t>10.1109/chilecon47746.2019.8987733</t>
  </si>
  <si>
    <t>WOS:000542919100082</t>
  </si>
  <si>
    <t>Galaz, B; Espíndola, D; Melo, F</t>
  </si>
  <si>
    <t>Galaz, Belfor; Espindola, David; Melo, Francisco</t>
  </si>
  <si>
    <t>Amplification of stick-slip events through lubricated contacts in consolidated granular media</t>
  </si>
  <si>
    <t>The influence of lubricated contacts on the stick-slip behavior of a granular system is investigated. Samples of cylindrical shape made of glass spheres confined at a constant pressure and subjected to gradual deformation along their main axis are considered. Under constant axial deformation, the granular compact exhibits a regular stick-slip regime, in which gradual stress loading (stick) is followed by rapid relaxation events or failure (slip). The amplitude of stress drops (slips) and their recurrence time are investigated as a function of the amount of lubricant fluid. In the absence of lubricant, stress drops are very frequent but their amplitude is relatively small. However, the addition of a minute volume of lubricant into the granular packing, increases both the amplitude of stress drops and their recurrence time, following a saturating exponential loading curve with the lubricant volume. We show that the typical volume at which saturation occurs corresponds to the amount of fluid required to completely cover the surface of the spheres, with the thickness of the coat corresponding to the size of the asperities. These results support the idea that, to a certain extent, adding lubricant reduces sliding friction, as well as synchronously mobilizes a set of contacts.</t>
  </si>
  <si>
    <t>Melo, Francisco/M-3923-2014; Espindola, DAVID/M-9318-2019</t>
  </si>
  <si>
    <t>Melo, Francisco Esteban/0000-0001-6818-5476; Espindola, David/0000-0001-6675-9560</t>
  </si>
  <si>
    <t>OCT 24</t>
  </si>
  <si>
    <t>10.1103/PhysRevE.98.042907</t>
  </si>
  <si>
    <t>WOS:000448170300005</t>
  </si>
  <si>
    <t>del Campo, A; Bustos, C; Mascayano, C; Acuña-Castillo, C; Troncoso, R; Rojo, LE</t>
  </si>
  <si>
    <t>del Campo, Andrea; Bustos, Catalina; Mascayano, Carolina; Acuna-Castillo, Claudio; Troncoso, Rodrigo; Rojo, Leonel E.</t>
  </si>
  <si>
    <t>Metabolic Syndrome and Antipsychotics: The Role of Mitochondrial Fission/Fusion Imbalance</t>
  </si>
  <si>
    <t>FRONTIERS IN ENDOCRINOLOGY</t>
  </si>
  <si>
    <t>Second-generation antipsychotics (SGAs) are known to increase cardiovascular risk through several physiological mechanisms, including insulin resistance, hepatic steatosis, hyperphagia, and accelerated weight gain. There are limited prophylactic interventions to prevent these side effects of SGAs, in part because the molecular mechanisms underlying SGAs toxicity are not yet completely elucidated. In this perspective article, we introduce an innovative approach to study the metabolic side effects of antipsychotics through the alterations of the mitochondrial dynamics, which leads to an imbalance in mitochondrial fusion/fission ratio and to an inefficient mitochondrial phenotype of muscle cells. We believe that this approach may offer a valuable path to explain SGAs-induced alterations in metabolic homeostasis.</t>
  </si>
  <si>
    <t>Acuña-Castillo, Claudio/AAI-7090-2021; del Campo, Andrea/AAG-1906-2019; Troncoso, Rodrigo/I-1915-2013</t>
  </si>
  <si>
    <t>Mascayano Collado, Carolina Lorena/0000-0002-3488-9309; del Campo, Andrea/0000-0003-3830-7334; Troncoso, Rodrigo/0000-0003-0796-5908; Rojo, Leonel/0000-0002-0188-2266; Acuna-Castillo, Claudio/0000-0003-3607-6077</t>
  </si>
  <si>
    <t>1664-2392</t>
  </si>
  <si>
    <t>APR 23</t>
  </si>
  <si>
    <t>10.3389/fendo.2018.00144</t>
  </si>
  <si>
    <t>WOS:000430555000001</t>
  </si>
  <si>
    <t>Quezada, V; Velásquez, L; Roca, A; Benavente, O; Melo, E; Keith, B</t>
  </si>
  <si>
    <t>Lutynski, M; Suponik, T</t>
  </si>
  <si>
    <t>Quezada, V.; Velasquez, L.; Roca, A.; Benavente, O.; Melo, E.; Keith, B.</t>
  </si>
  <si>
    <t>Effect of curing time on the dissolution of a secondary copper sulphide ore using alternative water resources</t>
  </si>
  <si>
    <t>MINERAL ENGINEERING CONFERENCE</t>
  </si>
  <si>
    <t>IOP Conference Series-Materials Science and Engineering</t>
  </si>
  <si>
    <t>Mineral Engineering Conference (MEC)</t>
  </si>
  <si>
    <t>SEP 26-29, 2018</t>
  </si>
  <si>
    <t>Zawiercie, POLAND</t>
  </si>
  <si>
    <t>In the north of Chile, due to water shortages, the depletion of oxide ores and the abundance of chalcopyrite ore, mining industry is searching for sustainable hydrometallurgy processes that can use alternative water resources. The leaching process must enhance the dissolution of copper sulphide ore that are refractory to conventional leaching. This paper reports a study on the effect of addition of chloride ion using seawater and discard brine in the agglomeration stage of a secondary copper sulphide ore. The effect of curing time on the same ore also is reported. The leaching tests have been carried out in column irrigated with raffinate under ambient conditions. A size distribution with a P80 of 17 mm is used. A maximum of 72% of copper extraction is obtained using discard brine and 68% using seawater. The use of discard brine and seawater are favorable in all the tests performed. Through an Analysis of Variance (ANOVA), it is determined that the curing time has the highest contribution (92.37%) on the percentage of copper extraction.</t>
  </si>
  <si>
    <t>Quezada, Víctor/HGD-1444-2022; Benavente, Oscar/AAG-6920-2020; Keith Norambuena, Brian/JGE-4413-2023; , LILIAN/JGD-3871-2023</t>
  </si>
  <si>
    <t>Keith, Brian/0000-0001-5734-8962; , LILIAN/0000-0002-2617-8566; Quezada Reyes, Victor/0000-0001-6211-6082; Benavente, Oscar/0000-0002-1640-7003</t>
  </si>
  <si>
    <t>1757-8981</t>
  </si>
  <si>
    <t>10.1088/1757-899X/427/1/012030</t>
  </si>
  <si>
    <t>WOS:000476860800030</t>
  </si>
  <si>
    <t>Lizama, C; Mesquita, JG; Ponce, R; Toon, E</t>
  </si>
  <si>
    <t>Lizama, Carlos; Mesquita, Jaqueline G.; Ponce, Rodrigo; Toon, Eduard</t>
  </si>
  <si>
    <t>ALMOST AUTOMORPHIC SOLUTIONS OF VOLTERRA EQUATIONS ON TIME SCALES</t>
  </si>
  <si>
    <t>DIFFERENTIAL AND INTEGRAL EQUATIONS</t>
  </si>
  <si>
    <t>The existence and uniqueness of almost automorphic solutions for linear and semilinear nonconvolution Volterra equations on time scales is studied. The existence of asymptotically almost automorphic solutions is proved. Examples that illustrate our results are given.</t>
  </si>
  <si>
    <t>Lizama, Carlos/E-5909-2011; Mesquita, Jaqueline/A-2356-2012</t>
  </si>
  <si>
    <t>Ponce, Rodrigo/0000-0002-1337-8083</t>
  </si>
  <si>
    <t>0893-4983</t>
  </si>
  <si>
    <t>SEP-OCT</t>
  </si>
  <si>
    <t>9-10</t>
  </si>
  <si>
    <t>WOS:000406354100002</t>
  </si>
  <si>
    <t>García, AM; Muñoz, E</t>
  </si>
  <si>
    <t>Garcia, Adolfo M.; Munoz, Edinson</t>
  </si>
  <si>
    <t>Neuroscience and Multilingualism</t>
  </si>
  <si>
    <t>LANGUAGE AND COGNITION</t>
  </si>
  <si>
    <t>García, Adolfo/E-7150-2017</t>
  </si>
  <si>
    <t>1866-9808</t>
  </si>
  <si>
    <t>1866-9859</t>
  </si>
  <si>
    <t>10.1017/langcog.2017.2</t>
  </si>
  <si>
    <t>WOS:000401837000007</t>
  </si>
  <si>
    <t>Cereceda-Balic, F; Toledo, M; Vidal, V; Guerrero, F; Diaz-Robles, LA; Petit-Breuilh, X; Lapuerta, M</t>
  </si>
  <si>
    <t>Cereceda-Balic, Francisco; Toledo, Mario; Vidal, Victor; Guerrero, Fabian; Diaz-Robles, Luis A.; Petit-Breuilh, Ximena; Lapuerta, Magin</t>
  </si>
  <si>
    <t>Emission factors for PM2.5, CO, CO2, NOx, SO2 and particle size distributions from the combustion of wood species using a new controlled combustion chamber 3CE</t>
  </si>
  <si>
    <t>SCIENCE OF THE TOTAL ENVIRONMENT</t>
  </si>
  <si>
    <t>The objective of this research was to determine emission factors (EF) for particulate matter (PM2.5), combustion gases and particle size distribution generated by the combustion of Eucalyptus globulus (EG), Nothofagus obliqua (NO), both hardwoods, and Pinus radiata (PR), softwood, using a controlled combustion chamber (3CE). Additionally, the contribution of the different emissions stages associated with the combustion of these wood samples was also determined. Combustion experiments were performed using shaving size dried wood (0% humidity). The emission samples were collected with a tedlar bag and sampling cartridges containing quartz fiber filters. High reproducibility was achieved between experiment repetitions (CV &lt; 10%, n = 3). The EF for PM2.5 was 1.06 g kg(-1) for EG, 1.33 g kg(-1) for NO, and 0.84 g kg(-1) for PR. Using a laser aerosol spectrometer (0.25-34 mu m), the contribution of particle emissions (PM2.5) in each stage of emission process (SEP) was sampled in real time. Particle size of 0265 pm were predominant during all stages, and the percentages emitted were PR (33%), EG (29%), and NO (21%). The distributions of EF for PM2.5 in pre-ignition, flame and smoldering stage varied from predominance of the flame stage for PR (77%) to predominance of the smoldering stage for NO (60%). These results prove that flame phase is not the only stage contributing to emissions and on the contrary, pre-ignition and in especial post-combustion smoldering have also very significant contributions. This demonstrates that particle concentrations measured only in stationary state during flame stage may cause underestimation of emissions. (C) 2017 Elsevier B.V. All rights reserved.</t>
  </si>
  <si>
    <t>Toledo, Mario/Q-4859-2019; Diaz-Robles, Luis/D-3450-2013; Cereceda-Balic, Francisco/N-4479-2017</t>
  </si>
  <si>
    <t>Diaz-Robles, Luis/0000-0002-6098-7746; Toledo, Mario/0000-0001-6443-9256; Cereceda-Balic, Francisco/0000-0001-7761-1051; Guerrero, Fabian/0000-0002-0157-4343</t>
  </si>
  <si>
    <t>0048-9697</t>
  </si>
  <si>
    <t>1879-1026</t>
  </si>
  <si>
    <t>10.1016/j.scitotenv.2017.01.136</t>
  </si>
  <si>
    <t>WOS:000399358500087</t>
  </si>
  <si>
    <t>Cerda, FMC; Vercruysse, F; Minh, TN; Kestens, L; Monsalve, A; Petrov, R</t>
  </si>
  <si>
    <t>Cerda, Felipe Manuel Castro; Vercruysse, Florian; Tuan Nguyen Minh; Kestens, Leo; Monsalve, Alberto; Petrov, Roumen</t>
  </si>
  <si>
    <t>The Effect of Heating Rate on the Recrystallization Behavior in Cold Rolled Ultra Low Carbon Steel</t>
  </si>
  <si>
    <t>STEEL RESEARCH INTERNATIONAL</t>
  </si>
  <si>
    <t>Ultrafast heating (UFH) experiments have been carried out in cold rolled ultra low carbon (ULC) steel, followed by quenching. The selected heating rates are in the range between 10 and 800 degrees Cs-1. The recrystallization curves are slightly shifted to higher temperatures as the heating rate is increased. The average recrystallized grain size and texture are virtually unaffected by increasing the heating rate. Nucleation took place at grain boundaries as well as inside deformed grains. Electron backscattered diffraction (EBSD) analysis reveals that the texture of grains nucleated inside deformed ferrite grains prevails at later stages of recrystallization. The results obtained in this work demonstrate that similar microstructure and textures are obtained after very short annealing cycles.</t>
  </si>
  <si>
    <t>Kestens, Leo/K-1716-2014; Nguyen-Minh, Tuan/AFE-8197-2022; Petrov, Roumen/A-5066-2008; Castro Cerda, Felipe Manuel/Q-2714-2016</t>
  </si>
  <si>
    <t>Petrov, Roumen/0000-0003-0551-9058; Castro Cerda, Felipe Manuel/0000-0001-8126-5593; Monsalve, Alberto/0000-0002-5772-8815; Nguyen-Minh, Tuan/0000-0002-1855-6619</t>
  </si>
  <si>
    <t>1611-3683</t>
  </si>
  <si>
    <t>1869-344X</t>
  </si>
  <si>
    <t>10.1002/srin.201600351</t>
  </si>
  <si>
    <t>WOS:000392628200016</t>
  </si>
  <si>
    <t>Martinez, JL; Rovirosa, J; Laurido, C; San Martin, A; Vinet, R; Jaimes, L</t>
  </si>
  <si>
    <t>Martinez, Jose L.; Rovirosa, Juana; Laurido, Claudio; San Martin, Aurelio; Vinet, Raul; Jaimes, Luisauris</t>
  </si>
  <si>
    <t>The Pulmonate Limpet Siphonaria lessoni: Pharmacological Study of Norsiphonarienone, a Polipropionate</t>
  </si>
  <si>
    <t>PAKISTAN VETERINARY JOURNAL</t>
  </si>
  <si>
    <t>We presented a marine natural product, norsiphonarienone, isolated from Siphonaria lessoni, a pulmonate limpet of Central Chile. The norsiphonarienone was pharmacologically studied in rat thoracic aorta with endothelium previously contracted with phenylephrine. This technique has been widely used to describe pharmacological characterization and seek for mechanisms of action of natural products and other physiological phenomena. The main characteristics described are pD(2) (-log EC50) and maximum effect or maximal contraction (E-max). The results show that norsiphonarienone induced a significant difference in the maximal contraction and also in the pD(2) (-log EC50). (C) 2017 PVJ. All rights reserved</t>
  </si>
  <si>
    <t>Martinez, Jose/AAA-1725-2020</t>
  </si>
  <si>
    <t>Martinez, Jose/0000-0002-0177-4847</t>
  </si>
  <si>
    <t>0253-8318</t>
  </si>
  <si>
    <t>2074-7764</t>
  </si>
  <si>
    <t>WOS:000417969000022</t>
  </si>
  <si>
    <t>Nyström, JO; Henríquez, F; Naranjo, JA; Naslund, HR</t>
  </si>
  <si>
    <t>Nystrom, Jan Olov; Henriquez, Fernando; Naranjo, Jose A.; Naslund, H. Richard</t>
  </si>
  <si>
    <t>Magnetite spherules in pyroclastic iron ore at El Laco, Chile</t>
  </si>
  <si>
    <t>AMERICAN MINERALOGIST</t>
  </si>
  <si>
    <t>The El Laco iron deposits in northern Chile consist of magnetite (or martite) and minor hematite, pyroxene, and apatite. The orebodies are situated on a volcanic complex and resemble lavas and pyroclastic deposits, but a magmatic origin is rejected by some geologists who regard the ores as products of hydrothermal replacement of volcanic rocks. This study describes spherules of magnetite in the ore at Laco Sur and outlines a previously unrecognized crystallization process for the formation of spherical magnetite crystal aggregates during volcanic eruption. Mining at Laco Sur, the second largest deposit at El Laco, shows that most of the ore is friable and resembles pyroclastic material; hard ore with vesicle-like cavities occurs subordinately. The friable ore is a porous aggregate of 0.01-0.2 mm magnetite octahedra with only a local stratification defined by millimeter-thin strata of apatite. Films of iron phosphate are common on magnetite crystals, and vertical pipes called gas escape tubes are abundant in the ore. A SEM study reveals that magnetite spherules in the range 0.05-0.2 mm occur in most samples of friable ore from the central-lower part of the deposit. The proportion of spherules in a sample varies from high to nil, but overall the spherule content is low in the ore. The spherules are aggregates of octahedral crystals, or single octahedra, that have been rounded by stepwise, subparallel growth of magnetite with a systematic slight shift in orientation of successive steps. The shape of the spherules demonstrates that they formed unattached to any surface. Growth from hot magmatic gas saturated in iron in a volcanic plume and deposition as ash fall can account for the features of the spherule-bearing friable ore.</t>
  </si>
  <si>
    <t>0003-004X</t>
  </si>
  <si>
    <t>1945-3027</t>
  </si>
  <si>
    <t>MAR-APR</t>
  </si>
  <si>
    <t>3-4</t>
  </si>
  <si>
    <t>10.2138/am-2016-5505</t>
  </si>
  <si>
    <t>WOS:000374626100009</t>
  </si>
  <si>
    <t>Liu, X; Boutaous, M; Xin, SH; Siginer, D</t>
  </si>
  <si>
    <t>Liu, Xin; Boutaous, Mhamed; Xin, Shihe; Siginer, Dennis</t>
  </si>
  <si>
    <t>NUMERICAL SIMULATION OF BALLING PHENOMENON IN METALLIC LASER MELTING PROCESS</t>
  </si>
  <si>
    <t>PROCEEDINGS OF THE ASME SUMMER HEAT TRANSFER CONFERENCE, 2016, VOL 2</t>
  </si>
  <si>
    <t>ASME Summer Heat Transfer Conference</t>
  </si>
  <si>
    <t>JUL 10-14, 2016</t>
  </si>
  <si>
    <t>Washington, DC</t>
  </si>
  <si>
    <t>ASME, Heat Transfer Div</t>
  </si>
  <si>
    <t>As well known, the selective laser Sintering (SLS) is one of the most modern and innovative additive manufacturing technologies with general advantages and wide applications, as a non-contact process, which is flexible, and easily controlled. The choice of process parameters is quite important for laser melting in metallic powder bed. When these parameters are not correctly chosen, particles are either not sintering at all or joining into rather large droplets. This process is named as balling phenomenon, which is extremely unfavorable. In this paper, a 3D numerical model based on discrete element method is proposed in order to study the effect of parameters on the generation of balling droplets in laser melting process. A complex model is developed which couples all phenomena of full SLS process and results of simulations are compared with experimental works of other researchers taken from the literature.</t>
  </si>
  <si>
    <t>978-0-7918-5033-6</t>
  </si>
  <si>
    <t>V002T22A003</t>
  </si>
  <si>
    <t>WOS:000392359400071</t>
  </si>
  <si>
    <t>Damiani, A; Cordero, RR; Carrasco, J; Watanabe, S; Kawamiya, M; Lagun, VE</t>
  </si>
  <si>
    <t>Damiani, A.; Cordero, R. R.; Carrasco, J.; Watanabe, S.; Kawamiya, M.; Lagun, V. E.</t>
  </si>
  <si>
    <t>Changes in the UV Lambertian equivalent reflectivity in the Southern Ocean: Influence of sea ice and cloudiness</t>
  </si>
  <si>
    <t>REMOTE SENSING OF ENVIRONMENT</t>
  </si>
  <si>
    <t>Existing Lambertian equivalent reflectivity (LER) ultraviolet (UV) data for the west region of the Southern Ocean indicate a decreasing trend. Since the area surrounding Antarctica is largely unpolluted, LER changes can only be due to variations in the cloud cover and/or in the sea ice extension. In order to evaluate their influence on LER and assess the trend of the UV reflectivity under ice-free and various sea ice concentration (SIC) levels, we compared a multi-satellite-based LER dataset with different satellite observations of cloud cover and SIC for October to March from 1979 to 2012. Despite the high cloud fraction for most of this period, sea ice was found to be the main driver of LER variability and had a greater influence on LER variability than cloud cover. The cloud cover was lower in spring than in summer for all datasets, and this difference appears to be primarily associated with the sea ice extent. While an increment of the cloud fraction of 20% has been found to cause an increase in LER of up to 13 reflectivity units (RU) under ice-free conditions, this increase is halved under low SIC. In contrast, no significant changes in LER data were found under high SIC levels. The correlation between LER and SIC is evident when the latter is higher than approximately 30%. The best correlations (r) between LER and SIC were found for the Weddell Sea (r = 0.87), the Ross Sea (r = 0.85), and the Indian Ocean (r = 0.90) for November, and for the Bellingshausen/Amundsen Seas (r = 0.86) and the Pacific Ocean (r = 0.83) for February and October, respectively. In contrast, no correlation was found in the proximity of the coastlines of west Antarctica in October. Overall, an enhancement of SIC from 0% to 100% results in a LER increase of 44 RU. This value is larger than the corresponding sea ice-induced increase computed for the observed and modeled shortwave albedos at the top of the atmosphere (21 and 13 RU, respectively). The LER data distributions for different regions and months show a marked seasonal double peak in reflectivity. The highest relative frequency is driven by the sea ice and peaks at approximately 90 RU, whereas the secondary peak of approximately 50 RU is dominated by cloudiness. Negative trends in the UV reflectivity of the grid cells characterized by a SIC greater than 30% were found for the Bellingshausen/Amundsen Seas (up to -3.6 +/- 1.0 per decade in March). Trends computed over the entire Southern Ocean for mid/high SIC bins are mostly negative, although are often not statistically significant. However, the trend in the reflectivity of the ice-free grid cells was generally positive, probably due to changes in the cloud amount/opacity. (C) 2015 Elsevier Inc All rights reserved.</t>
  </si>
  <si>
    <t>Damiani, Alessandro/X-4677-2019; Kawamiya, Michio/GPS-7720-2022; Cordero, Raul/M-7979-2017; Carrasco, Jorge/K-2949-2014; Watanabe, Shingo/L-9689-2014</t>
  </si>
  <si>
    <t>Carrasco, Jorge/0000-0003-2154-5483; Watanabe, Shingo/0000-0002-2228-0088; Kawamiya, Michio/0000-0001-7553-0522; Cordero, Raul R./0000-0001-7607-7993; Damiani, Alessandro/0000-0003-3014-6193</t>
  </si>
  <si>
    <t>0034-4257</t>
  </si>
  <si>
    <t>1879-0704</t>
  </si>
  <si>
    <t>10.1016/j.rse.2015.07.030</t>
  </si>
  <si>
    <t>WOS:000363815900005</t>
  </si>
  <si>
    <t>Zambra, C; Romero, J; Pino, L; Saavedra, A; Sanchez, J</t>
  </si>
  <si>
    <t>Zambra, C.; Romero, J.; Pino, L.; Saavedra, A.; Sanchez, J.</t>
  </si>
  <si>
    <t>Concentration of cranberry juice by osmotic distillation process</t>
  </si>
  <si>
    <t>JOURNAL OF FOOD ENGINEERING</t>
  </si>
  <si>
    <t>An osmotic distillation (OD) system was implemented to concentrate cranberry juice at laboratory scale. The experimental setup allows the circulation of cranberry juice (Vaccinium macrocarpon Ait.) and an osmotic agent with flow rates varying from 0.5 to 1.5 L min(-1) at temperatures between 30 and 40 degrees C. The osmotic agent selected in this study was a concentrated CaCl2(aq) solution with concentrations ranged from 30% to 50% w/w. The transmembrane flux of water vapor was ranged between 0.25 and 1.21 L h(-1) m(-2). The comparative low content of TSS in cranberry juice allows obtaining fast water removal from 500 mL of juice, achieving concentrations from 8.6 to 48 degrees Brix in 18 min. The total phenolic content was preserved after concentration. A mass transfer model was developed to explain the concentration kinetics of the juice. The solution simulations allow obtaining a maximum deviation of 32% between experimental and simulated values of transmembrane water flux. (C) 2014 Published by Elsevier Ltd.</t>
  </si>
  <si>
    <t>Romero, Julio/I-6705-2013; Sanchez-Marcano, Jose/E-1445-2012</t>
  </si>
  <si>
    <t>Pino, Luis/0000-0003-4475-7470; Romero, Julio/0000-0002-1229-1592; Pino Soto, Luis/0000-0002-6588-7867; Sanchez-Marcano, Jose/0000-0003-1783-2092</t>
  </si>
  <si>
    <t>0260-8774</t>
  </si>
  <si>
    <t>1873-5770</t>
  </si>
  <si>
    <t>10.1016/j.jfoodeng.2014.07.009</t>
  </si>
  <si>
    <t>WOS:000342865200007</t>
  </si>
  <si>
    <t>Cordero, RR; Seckmeyer, G; Damiani, A; Labbe, F; Laroze, D</t>
  </si>
  <si>
    <t>Cordero, Raul R.; Seckmeyer, Gunther; Damiani, Alessandro; Labbe, Fernando; Laroze, David</t>
  </si>
  <si>
    <t>Monte Carlo-based uncertainties of surface UV estimates from models and from spectroradiometers</t>
  </si>
  <si>
    <t>METROLOGIA</t>
  </si>
  <si>
    <t>Although some of the adverse effects of the ultraviolet (UV) radiation may be strictly proportional to cumulative UV doses, others may relate to the frequency of extreme UV events. Therefore, an improved understanding of the UV global climate, including variability and trends, has become of great interest. Variability and trend analyses require quality-ensured surface UV series. The quality of surface UV data depends on their uncertainty. Building upon our prior efforts, we have used a Monte Carlo-based method to compute, under different conditions, the uncertainties affecting UV data rendered by models (1D radiative transfer models) and by spectroradiometers (double monochromator-based and CCD array-based). We found that the uncertainty of spectral UV measurements is driven by the signal-to-noise ratio of the detector, while the uncertainty of spectral UV calculations strongly depends on the uncertainty of the ozone input. The presented uncertainty figures allow comparison of the performance of modern UV gathering techniques (models and instruments), and provide a frame to assess the significance of differences when intercomparing.</t>
  </si>
  <si>
    <t>Damiani, Alessandro/X-4677-2019; Cordero, Raul/M-7979-2017; Laroze, David/Z-2852-2019; Laroze, David/E-9134-2011</t>
  </si>
  <si>
    <t>Laroze, David/0000-0002-6487-8096; Damiani, Alessandro/0000-0003-3014-6193; Cordero, Raul R./0000-0001-7607-7993</t>
  </si>
  <si>
    <t>0026-1394</t>
  </si>
  <si>
    <t>1681-7575</t>
  </si>
  <si>
    <t>L1</t>
  </si>
  <si>
    <t>L5</t>
  </si>
  <si>
    <t>10.1088/0026-1394/50/5/L1</t>
  </si>
  <si>
    <t>WOS:000330831400001</t>
  </si>
  <si>
    <t>Cordero, RR; Damiani, A; Da Silva, L; Laroze, D; Labbe, F</t>
  </si>
  <si>
    <t>Cordero, R. R.; Damiani, A.; Da Silva, L.; Laroze, D.; Labbe, F.</t>
  </si>
  <si>
    <t>Spectral UV radiance measured at a coastal site: a case study</t>
  </si>
  <si>
    <t>PHOTOCHEMICAL &amp; PHOTOBIOLOGICAL SCIENCES</t>
  </si>
  <si>
    <t>We have sampled the spatial distribution of the UV radiation (i.e. the UV radiance) at a station located on the southern pacific coastline (Valparaiso, Chile, 33.03 degrees S-71.58 degrees W). The site is characterized by the partial horizon obstruction (due to the surrounding topography). Our spectral measurements were carried out over the period January-March 2012 and were meant to weigh up the effects of the local cloudiness, the heterogeneous albedo, and the horizon obscuration. We found that a nearly translucent overcast sky affects the radiance distribution such that from its maximum (measured close to the solar zenith angle) the radiance is monotonically decreasing towards the horizon. Under cloudless conditions, the radiance distribution becomes less isotropic with the wavelength; we detected spatial variations in the distribution of radiation up to a factor of 5 at 320 nm, and up to a factor of 9 at 400 nm. We also observed that radiances measured at points over the sea are greater than those measured at the corresponding point over the land; we partially attributed this effect to the spatial variations in the albedo. Moreover, we found that the horizon obscuration leads to significant reductions in the radiance at points on the blocked horizon; these reductions range from 60% (at 400 nm) to 80% (at 300 nm). Methodological details are provided below.</t>
  </si>
  <si>
    <t>Laroze, David/Z-2852-2019; Cordero, Raul/M-7979-2017; Damiani, Alessandro/X-4677-2019; Laroze, David/E-9134-2011</t>
  </si>
  <si>
    <t>Laroze, David/0000-0002-6487-8096; Cordero, Raul R./0000-0001-7607-7993; Damiani, Alessandro/0000-0003-3014-6193</t>
  </si>
  <si>
    <t>1474-905X</t>
  </si>
  <si>
    <t>1474-9092</t>
  </si>
  <si>
    <t>10.1039/c3pp25440b</t>
  </si>
  <si>
    <t>WOS:000320557800009</t>
  </si>
  <si>
    <t>Rojas, O; Gil-Costa, V; Marin, M</t>
  </si>
  <si>
    <t>Wolf, F; Mohr, B; Mey, DA</t>
  </si>
  <si>
    <t>Rojas, Oscar; Gil-Costa, Veronica; Marin, Mauricio</t>
  </si>
  <si>
    <t>Efficient Parallel Block-Max WAND Algorithm</t>
  </si>
  <si>
    <t>EURO-PAR 2013 PARALLEL PROCESSING</t>
  </si>
  <si>
    <t>19th International Conference on Euro-Par</t>
  </si>
  <si>
    <t>AUG 26-30, 2013</t>
  </si>
  <si>
    <t>Aachen, GERMANY</t>
  </si>
  <si>
    <t>German Res Sch Simulat Sci,Forschungszentrum Julich,RWTH Aachen Univ</t>
  </si>
  <si>
    <t>Large Web search engines are complex systems that solve thousands of user queries per second on clusters of dedicated distributed memory processors. Processing each query involves executing a number of operations to get the answer presented to the user. The most expensive operation in running time is the calculation of the top-k documents that best match each query. In this paper we propose the parallelization of a state of the art document ranking algorithm called Block-Max WAND. We propose a 2-steps parallelization of the WAND algorithm in order to reduce inter-processor communication and running time cost. Multi-threading tailored to Block-MaxWAND is also proposed to exploit multi-core parallelism in each processor. The experimental results show that the proposed parallelization reduces execution time significantly as compared against current approaches used in search engines.</t>
  </si>
  <si>
    <t>Gil-Costa, Veronica/GPT-4785-2022; Rojas, Oscar/ABG-3625-2021; Marin, Mauricio/GLR-7700-2022</t>
  </si>
  <si>
    <t>Marin, Mauricio/0000-0003-0662-7149; Gil-Costa, Veronica/0000-0003-4637-9725; Rojas Diaz, Oscar/0000-0002-7754-9996</t>
  </si>
  <si>
    <t>978-3-642-40047-6</t>
  </si>
  <si>
    <t>WOS:000341243100041</t>
  </si>
  <si>
    <t>Sandoval, JM; Verrax, J; Vásquez, CC; Calderon, PB</t>
  </si>
  <si>
    <t>Sandoval, Juan M.; Verrax, Julien; Vasquez, Claudio C.; Buc Calderon, Pedro</t>
  </si>
  <si>
    <t>A comparative study of tellurite toxicity in normal and cancer cells</t>
  </si>
  <si>
    <t>MOLECULAR &amp; CELLULAR TOXICOLOGY</t>
  </si>
  <si>
    <t>Data regarding tellurium (Te) toxicity are scarce but metabolic studies in bacteria highlight a major role of reactive oxygen species (ROS). Concentration- and time-dependent cell death has been reported in cancer cells exposed to inorganic tellurite. However, the potential in vitro effect that tellurite could generates in non-transformed human cells is still unknown. Therefore, we have studied the toxicity of inorganic tellurite (K2TeO3) in both freshly isolated peripheral blood leukocytes and in human chronic myeloid leukemia cells (K562 cells). Interestingly, we observed higher increases of ROS in leukocytes after treatment with tellurite, as compared to K562 cells. Given the high reactivity of tellurite with glutathione (GSH), a mechanism that leads to ROS formation (and mainly superoxide anion), we postulate that such a difference between cancer and normal cells is likely due to the higher GSH contents found in leukocytes versus leukemia cells. Taken together, our data point out the major differences that can be observed between cancer and corresponding normal cells in studies looking for in vitro toxicity.</t>
  </si>
  <si>
    <t>Verrax, Julien/A-5749-2008</t>
  </si>
  <si>
    <t>Buc Calderon, Pedro/0000-0003-0483-2624</t>
  </si>
  <si>
    <t>1738-642X</t>
  </si>
  <si>
    <t>2092-8467</t>
  </si>
  <si>
    <t>10.1007/s13273-012-0040-6</t>
  </si>
  <si>
    <t>WOS:000313031900002</t>
  </si>
  <si>
    <t>Barrios, TP; Bustinza, R; García, GC; Hernández, E</t>
  </si>
  <si>
    <t>Barrios, Tomas P.; Bustinza, Rommel; Garcia, Galina C.; Hernandez, Erwin</t>
  </si>
  <si>
    <t>On stabilized mixed methods for generalized Stokes problem based on the velocity-pseudostress formulation: A priori error estimates</t>
  </si>
  <si>
    <t>COMPUTER METHODS IN APPLIED MECHANICS AND ENGINEERING</t>
  </si>
  <si>
    <t>In this paper we present an augmented mixed formulation applied to generalized Stokes problem and uses it as state equation in an optimal control problem. The augmented scheme is obtained adding suitable least squares terms to the corresponding velocity-pseudostress formulation of the generalized Stokes problem. To ensure the existence and uniqueness of solution, at continuous and discrete levels, we prove coerciveness of the corresponding augmented bilinear form, and using approximation properties of the respective discrete subspaces, we deduce the optimal rate of convergence. As by product, and considering the associated optimal control problem, we derive error estimates for the approximated control unknown. Finally, we present several numerical examples confirming the theoretical properties of this approach. (c) 2012 Elsevier B.V. All rights reserved.</t>
  </si>
  <si>
    <t>Garcia, Galina/U-1019-2017; Hernandez, Erwin/F-5490-2016; Barrios, Tomas/G-4801-2016; Bustinza, Rommel/F-7275-2019</t>
  </si>
  <si>
    <t>Barrios, Tomas/0000-0003-2396-8869; Garcia, Galina C./0000-0003-2188-6368; Bustinza, Rommel/0000-0001-6355-8341</t>
  </si>
  <si>
    <t>0045-7825</t>
  </si>
  <si>
    <t>1879-2138</t>
  </si>
  <si>
    <t>10.1016/j.cma.2012.05.006</t>
  </si>
  <si>
    <t>WOS:000307158800007</t>
  </si>
  <si>
    <t>Moraes, ARFE; Vidigal, MCTR; Soares, NDF; de Moraes, LP; de Melo, NR; Gonçalves, MPJ</t>
  </si>
  <si>
    <t>Fialho e Moraes, Allan Robledo; Teixeira Ribeiro Vidigal, Marcia Cristina; Ferreira Soares, Nilda de Fatima; de Moraes, Luana Pereira; de Melo, Nathalia Ramos; Junqueira Goncalves, Maria Paula</t>
  </si>
  <si>
    <t>Development and evaluation of antimicrobial and flavored film for using on pastry dough</t>
  </si>
  <si>
    <t>CIENCIA RURAL</t>
  </si>
  <si>
    <t>The food industry, trying to meet growing consumer demand, is developing active packaging to provide quality and safety for packed food. This research aimed to develop and evaluate the implementation of active flavored films in contact with pastry dough. The active films were evaluated for in vitro antimicrobial activity against Penicillium sp. The mechanical properties of the films, the sorbic acid migration, sensory and in vivo microbiological analyses were also tested. The active films showed better results for in vitro and in vivo microbiological analyses when compared with the film with the sorbic acid incorporated directly on the pastry dough. The incorporation of sorbic acid and flavor affected the mechanical properties of the active films compared to the control film. The flavor addition provided a larger migration of sorbic acid from the film to the pastry dough. Besides the pastry dough packed in the active films showed better sensory results.</t>
  </si>
  <si>
    <t>VIDIGAL, MARCIA/P-2660-2019; MORAES, ALLAN/F-2235-2018</t>
  </si>
  <si>
    <t>SOARES, NILDA/0000-0001-9506-6130; VIDIGAL, MARCIA/0000-0002-8065-0753</t>
  </si>
  <si>
    <t>0103-8478</t>
  </si>
  <si>
    <t>1678-4596</t>
  </si>
  <si>
    <t>10.1590/S0103-84782011000300029</t>
  </si>
  <si>
    <t>WOS:000288863100029</t>
  </si>
  <si>
    <t>Constandil, L; Hernández, A; Pelissier, T; Arriagada, O; Espinoza, K; Burgos, H; Laurido, C</t>
  </si>
  <si>
    <t>Constandil, Luis; Hernandez, Alejandro; Pelissier, Teresa; Arriagada, Osvaldo; Espinoza, Karla; Burgos, Hector; Laurido, Claudio</t>
  </si>
  <si>
    <t>Effect of interleukin-1β on spinal cord nociceptive transmission of normal and monoarthritic rats after disruption of glial function</t>
  </si>
  <si>
    <t>ARTHRITIS RESEARCH &amp; THERAPY</t>
  </si>
  <si>
    <t>Introduction Cytokines produced by spinal cord glia after peripheral injuries have a relevant role in the maintenance of pain states. Thus, while IL-1 beta is overexpressed in the spinal cords of animals submitted to experimental arthritis and other chronic pain models, intrathecal administration of IL-1 beta to healthy animals induces hyperalgesia and allodynia and enhances wind-up activity in dorsal horn neurons. Methods To investigate the functional contribution of glial cells in the spinal cord nociceptive transmission, the effect of intrathecally administered IL-1 beta was studied in both normal and adjuvant-induced arthritic rats with or without glial inhibition. Four weeks after induction of monoarthritis, rats were treated with the glial cell inhibitor propentofylline (10 mu g i.t. daily during 10 days) and submitted to a C-fiber-mediated reflex paradigm evoked by single and repetitive (wind-up) electric stimulation. Results Both the propentofylline treatment and the monoarthritic condition modified the stimulating current required for threshold activation of C reflex responses. Intrathecal IL-1 beta increased spinal cord wind-up activity in normal and monoarthritic rats without propentofylline pre-treatment, but resulted in decreased wind-up activity in normal and monoarthritic propentofylline-treated animals. Intrathecal saline did not produce any effect. Thus, glial inactivation reverted into inhibition the excitatory effect of IL-1 beta on spinal cord wind-up, irrespective of the normal or monoarthritic condition of rats. Conclusions The results suggest that the excitatory effect of nanomolar doses of IL-1 beta on spinal wind-up in healthy rats is produced by an unidentified glial mediator, while the inhibitory effects of IL-1 beta on wind-up activity in animals with inactivated glia resulted from a direct effect of the cytokine on dorsal horn neurons. The present study failed to demonstrate a differential sensitivity of normal and monoarthritic rats to IL-1 beta administration into the spinal cord and to disruption of beta glial function, as both normal and monoarthritic animals changes wind-up activity in the same direction after propentofylline treatment, suggesting that after glial inhibition normal and monoarthritic animals behave similarly relative to the capability of dorsal horn neurons to generate wind-up activity when repeatedly stimulated by C-fibers.</t>
  </si>
  <si>
    <t>Hernandez, Alejandro/M-4796-2019; BURGOS, HECTOR/ABA-6821-2020</t>
  </si>
  <si>
    <t>Hernandez, Alejandro/0000-0001-9222-6522; BURGOS, HECTOR/0000-0001-7705-4347; Constandil, Luis/0000-0002-2504-0119</t>
  </si>
  <si>
    <t>1478-6354</t>
  </si>
  <si>
    <t>R105</t>
  </si>
  <si>
    <t>10.1186/ar2756</t>
  </si>
  <si>
    <t>WOS:000270936400020</t>
  </si>
  <si>
    <t>Deroin, B; Kleptsyn, V; Navas, A</t>
  </si>
  <si>
    <t>Deroin, Bertrand; Kleptsyn, Victor; Navas, Andres</t>
  </si>
  <si>
    <t>ON THE QUESTION OF ERGODICITY FOR MINIMAL GROUP ACTIONS ON THE CIRCLE</t>
  </si>
  <si>
    <t>MOSCOW MATHEMATICAL JOURNAL</t>
  </si>
  <si>
    <t>This work is devoted to the study of minimal, smooth actions of finitely generated groups on the circle. We provide a sufficient condition for such an action to be ergodic (with respect to the Lebesgue measure), and we illustrate this condition by studying two relevant examples. Under an analogous hypothesis, we also deal with the problem of the zero Lebesgue measure for exceptional minimal sets. This hypothesis leads to many other interesting conclusions, mainly concerning the stationary and conformal measures. Moreover, several questions are left open. The methods work as well for codimension-one foliations, though the results for this case are not explicitly stated.</t>
  </si>
  <si>
    <t>1609-3321</t>
  </si>
  <si>
    <t>WOS:000271541500004</t>
  </si>
  <si>
    <t>Pérez, VQ; Rodríguez, GM; Aguilar, MJC</t>
  </si>
  <si>
    <t>Perez, Victor Quintanilla; Meaza Rodriguez, Guillermo; Aguilar, M. Jose Cuesta</t>
  </si>
  <si>
    <t>Disruption of the current Chilean north-patagonian forest arising from the impact of wildfires over the last half century. Preliminary study in the Andean Figueroa river</t>
  </si>
  <si>
    <t>BOLETIN DE LA ASOCIACION DE GEOGRAFOS ESPANOLES</t>
  </si>
  <si>
    <t>The northpatagonic forests of the Aisen meridional region (44 degrees-48 degrees S) have suffered huge fires between 1936 and 1952. These fires have been produced by pioneers and stockman that burned the native vegetation in order to live in the prairie. Because of that, the forest was reduced in 37% in that period. After half a century of produced this impact, the burned ecosystem be-ins to regenerate with difficulty because of the nowadays human interventions and due to mass movements in the Andean mountain that remove important areas of forest. A case stud is presented, the valley of the Figueroa River, in an intermountain northpatagonic basin, located to the north of the Aisen region. In this area, the past and recent fires forests along with the erosion derived from the clearance of forest for logs and wood. For these reasons, the Nothofagus forests and conifers do not reach to recompose the original forest fa landscape.</t>
  </si>
  <si>
    <t>Aguilar, María/AAA-7977-2019</t>
  </si>
  <si>
    <t>0212-9426</t>
  </si>
  <si>
    <t>2605-3322</t>
  </si>
  <si>
    <t>WOS:000260760000005</t>
  </si>
  <si>
    <t>Faini, F; Labbé, C; Torres, R; Delle Monache, G; Delle Monache, F</t>
  </si>
  <si>
    <t>Labdane diterpenes from Haplopappus illinitus</t>
  </si>
  <si>
    <t>NATURAL PRODUCT LETTERS</t>
  </si>
  <si>
    <t>A chemical study of aerial parts of Haplopappus illinitus afforded five labdane diterpenoids whose structures were elucidated by high field NMR spectroscopy and 2D techniques. Four of them are dicarboxylic acids previously reported as the corresponding dimethyl ester derivatives and the fifth is a new compound.</t>
  </si>
  <si>
    <t>1057-5634</t>
  </si>
  <si>
    <t>10.1080/10575630290020460</t>
  </si>
  <si>
    <t>WOS:000177267900003</t>
  </si>
  <si>
    <t>Holmes, DS; Zhao, HL; Levican, G; Ratouchniak, J; Bonnefoy, V; Varela, P; Jedlicki, E</t>
  </si>
  <si>
    <t>ISAfe1, an ISL3 family insertion sequence from Acidithiobacillus ferrooxidans ATCC 19859</t>
  </si>
  <si>
    <t>A 1.3-kb insertion sequence, termed ISAfe1 (U66426), from Acidithiobacillus ferrooxidans ATCC 19859 is described. ISAfel exhibits the features of a typical bacterial insertion sequence. It has 26-bp, imperfectly matched, terminal inverted repeats and an open reading frame (ORF) that potentially encodes a transposase (TPase) of 404 amino acids (AAB07489) with significant similarity to members of the ISL3 family of insertion sequences; A potential ribosome-binding site and potential -10 and -35 promoter sites for the TPase ORF were identified, and a +1 transcriptional start site was detected experimentally. A potential outwardly directed -35 site was identified in the right inverted repeat of ISAfe1. A second ORF (ORF B), of unknown function, was found on the complementary strand with significant similarity to ORF 2 of ISAe1 from Ralstonia eutropha. Southern blot analyses demonstrated that ISAfe1-like elements can be found in multiple copies in a variety of A. ferrooxidans strains and that they exhibit transposition. A codon adaptation index (CAI) analysis of the TPase of ISAfe1 indicates that is has a CAI of 0.726 and can be considered well adapted to its host, suggesting that ISAfe1 might be an ancient resident of A. ferrooxidans. Analysis of six of its target sites of insertion in the genome of A. ferrooxidans ATCC 19859 indicates a preference for 8-bp pseudopalindromic sequences, one of which resembles the termini of its inverted repeats. Evidence is presented here that is consistent with the possibility that ISAfe1 can promote both plasmid cointegrate formation and resolution in E. coli.</t>
  </si>
  <si>
    <t>Levican, Gloria/R-5191-2019</t>
  </si>
  <si>
    <t>Levican, Gloria/0000-0002-1275-7399; Holmes, David/0000-0001-9555-138X</t>
  </si>
  <si>
    <t>10.1128/JB.183.14.4323-4329.2001</t>
  </si>
  <si>
    <t>WOS:000169475100027</t>
  </si>
  <si>
    <t>Cataldo, M; García, A</t>
  </si>
  <si>
    <t>Regular (2+1)-dimensional black holes within nonlinear electrodynamics -: art. no. 084003</t>
  </si>
  <si>
    <t>(2+1)-regular static black hole solutions with a nonlinear electric field are derived. The source to the Einstein equations is an energy momentum tensor of nonlinear electrodynamics, which satisfies the weak energy conditions and in the weak field limit becomes the (2+1)-Maxwell field tensor. The derived class of solutions is regular: the metric, curvature invariants, and electric field are regular everywhere. The metric becomes, for a vanishing parameter, the (2+1)-static charged BTZ solution. A general procedure to derive solutions for the static BTZ (2+1)spacetime for any nonlinear Lagrangian depending on the electric field is formulated; for relevant electric fields one requires the fulfillment of the weak energy conditions.</t>
  </si>
  <si>
    <t>0556-2821</t>
  </si>
  <si>
    <t>10.1103/PhysRevD.61.084003</t>
  </si>
  <si>
    <t>WOS:000086554100030</t>
  </si>
  <si>
    <t>LISSI, E; BIANCONI, ML; DOAMARAL, AT; DE PAULA, E; BLANCH, LEB; SCHREIER, S</t>
  </si>
  <si>
    <t>METHODS FOR THE DETERMINATION OF PARTITION-COEFFICIENTS BASED ON THE EFFECT OF SOLUTES UPON MEMBRANE-STRUCTURE</t>
  </si>
  <si>
    <t>BIOCHIMICA ET BIOPHYSICA ACTA</t>
  </si>
  <si>
    <t>General procedures are presented for the determination of membrane-water partition coefficients (Kp) based on the measurement of effects that depend on the extent of partitioning. Two cases are dealt with: (1) the general case when the effect is unknown function of the total number of moles of partitioning solute (nT) and (2) the particular case when the effect is a linear function of nT. The procedure involves the evaluation of the effect as a function of nT for a variety of membrane volumes (VM), at constant volume of aqueous phase (VH2O), generating a family of curves. It is shown that when a given set of nt, VM produces the same effect, which indicates that the concentration of the solute in the membrane (nM/VM) is the same for the whole set, a plot of nT versus VM yields a straight line that allows the calculation of Kp. In the particular case when the effect is linearly proportional to nT, the higher VM, the smaller the slope. In this case, these slopes can be used to calculate Kp by plotting their inverse as a function of VM. These procedures were applied to the partitioning of a series of compounds, some of them with known Kp, in egg phosphatidylcholine (EPC) membranes. The interaction of those compounds with the membrane was monitored either by fluorescence spectroscopy (by measuring either the excimer/monomer ratio or the quenching of intensity of an intercalated probe) or by ESR making use of a lipid spin probe. Compounds with known Kp yielded values in good agreement with previously found ones. In principle, the procedures are applicable whenever it is possible to measure a property that depends on the extent of partitioning, allowing the determination of Kp from raw data. In particular, it is very adequate for the use of spectroscopic techniques, one main advantage being that no separation of membrane and aqueous phases is required.</t>
  </si>
  <si>
    <t>Bianconi, M./U-5772-2017; Schreier, Shirley/F-7001-2014; Tavares do Amaral, Antonia/C-4423-2012; de Paula, Eneida/C-3031-2013</t>
  </si>
  <si>
    <t>Tavares do Amaral, Antonia/0000-0003-2937-5255; de Paula, Eneida/0000-0003-4504-5723</t>
  </si>
  <si>
    <t>0006-3002</t>
  </si>
  <si>
    <t>10.1016/0005-2736(90)90382-X</t>
  </si>
  <si>
    <t>WOS:A1990CL06600008</t>
  </si>
  <si>
    <t>Maldonado, JE; Acevedo, O; Melo, M; Núñez, C; Zavala, M; Menares, M; Pedreschi, R; Ponce, E; Donoso, JM; Meisel, LA; Kuhn, N</t>
  </si>
  <si>
    <t>Maldonado, Jonathan E.; Acevedo, Orlando; Melo, Mirna; Nunez, Carlos; Zavala, Matias; Menares, Marcela; Pedreschi, Romina; Ponce, Excequel; Donoso, Jose Manuel; Meisel, Lee Ann; Kuhn, Nathalie</t>
  </si>
  <si>
    <t>Seed-fruit multiomics integration of sweet cherry cultivars with different maturity time shows alternative molecular landscapes at the transition from development to ripening, unveiling a role of small RNAs, SPLs, lignin and inositol pathways</t>
  </si>
  <si>
    <t>SCIENTIA HORTICULTURAE</t>
  </si>
  <si>
    <t>Several signals control fruit ripening, including hormones and metabolites, many of which are produced by the seeds. However, the molecular signatures of seeds and fruits at the transition from development to ripening (tDtoR) have not yet been elucidated in non-climacteric species. Thus, we aimed to characterize sweet cherry fruits and seeds through directed hormone profiling, untargeted metabolomics, as well as mRNA-seq and small RNAseq. The early-and late-season cultivars, 'Celeste' and 'Regina' respectively, were analyzed at the t-DtoR, where 'Regina' had delayed ripening evolution, accompanied by a higher content of negative ripening markers in fruits, such as amino acids and chlorophylls, whereas 'Celeste' had more positive markers, including abscisic acid (ABA) and D-Fru. PCA analysis revealed that jasmonic acic (JA) and JA-Ile mostly contributed to clustering according to cultivar. Overrepresentation of 'auxin response' and 'inositol catabolic process categories occurred in 'Celeste' fruits (CF), whereas 'lignin catabolic process' was overrepresented in 'Celeste' seeds (CS). Higher sugar content, enriched 'disaccharide metabolic process' category plus increased levels of cytokinins and gibberellins were distinguishable features of CS. Target search and degradome networks showed several squamosa promoter-binding-like (SPL) encoding sequences abundant in fruits, which were predicted targets of miRNA156s. Interactome networks of the four omics datasets revealed alternative molecular landscapes in the contrasting cultivars, where small RNAs had multiple associations. For instance, the small RNAs mes-miR535d/ csi-MIR166f ('Celeste') and gra-MIR8771d/ csi-MIR166f ('Regina') had associations with several hormones and transcripts. The gene ontology (GO) analysis of these transcripts showed overrepresentation of 'response to cytokinin in 'Celeste' and 'auxin response', in 'Regina', respectively. This evidences differences between cultivars at the tDtoR. Finally, in the interactome seed-fruit connections were identified, with a putative inositol oxidase expressed in fruits having several connections with seed transcripts but only in the early-phenotype. This work highlights small RNAs, SPLs, lignin and inositol pathways as novel players in non-climacteric ripening.</t>
  </si>
  <si>
    <t>Pedreschi, Romina/F-9744-2016; Kuhn, Nathalie/ABD-4529-2021; Meisel, Lee/J-6755-2012</t>
  </si>
  <si>
    <t>Meisel, Lee/0000-0002-4806-6864</t>
  </si>
  <si>
    <t>0304-4238</t>
  </si>
  <si>
    <t>1879-1018</t>
  </si>
  <si>
    <t>10.1016/j.scienta.2025.114099</t>
  </si>
  <si>
    <t>WOS:001461497900001</t>
  </si>
  <si>
    <t>On a supercritical k-Hessian inequality of Trudinger-Moser type and extremal functions</t>
  </si>
  <si>
    <t>ANNALI DI MATEMATICA PURA ED APPLICATA</t>
  </si>
  <si>
    <t>We establish a supercritical Trudinger-Moser type inequality for thek-Hessian operator onthe space of the k-admissible radially symmetric functions Phi(k)(0,rad)(B),where B is the unit ball in R-N. We also prove the existence of extremal functions for this new supercritical inequality</t>
  </si>
  <si>
    <t>de Oliveira, Jose Francisco/0000-0003-3038-4052</t>
  </si>
  <si>
    <t>0373-3114</t>
  </si>
  <si>
    <t>1618-1891</t>
  </si>
  <si>
    <t>10.1007/s10231-024-01455-x</t>
  </si>
  <si>
    <t>WOS:001215557600001</t>
  </si>
  <si>
    <t>Broens, MI; Saavedra, E; Bajales, N; Laroze, D; Escrig, J</t>
  </si>
  <si>
    <t>Broens, Martin I.; Saavedra, Eduardo; Bajales, Noelia; Laroze, David; Escrig, Juan</t>
  </si>
  <si>
    <t>Geometry-induced Bloch point domain wall in Permalloy conical frustum nanowires for advanced spintronics applications</t>
  </si>
  <si>
    <t>APPLIED PHYSICS LETTERS</t>
  </si>
  <si>
    <t>In this study, we investigate the pseudo-static magnetic properties of Permalloy conical frustum nanowires using micromagnetic simulations. We thoroughly examine how both the major and minor radii influence the magnetic reversal mechanism when an external magnetic field is applied parallel to the nanowire axis. The obtained results show that under specific geometrical conditions, magnetization reverts though a Bloch point-type domain wall. In these cases, hysteresis curves exhibit two Barkhausen jumps during magnetization reversal, forming a plateau field range in which a Bloch point domain wall nucleates and propagates until its annihilation after the second Barkhausen jump. The nucleation of a Bloch point domain wall in a frustum conical nanowire geometry is reported. These findings highlight the significance of this geometry in nucleating these attractive topological defects for promising applications.</t>
  </si>
  <si>
    <t>Saavedra, Eduardo/IQS-4264-2023; Broens, Martin/IXD-9708-2023; Bajales, Noelia/AGE-1802-2022; Laroze, David/Z-2852-2019; Laroze, David/E-9134-2011; Escrig, Juan/N-4304-2015</t>
  </si>
  <si>
    <t>Bajales, Noelia/0000-0002-2507-9224; Laroze, David/0000-0002-6487-8096; Broens, Martin Ignacio/0000-0003-2224-5204; Saavedra Diaz, Eduardo Andres/0000-0002-2842-2526; Escrig, Juan/0000-0002-3958-8185</t>
  </si>
  <si>
    <t>0003-6951</t>
  </si>
  <si>
    <t>1077-3118</t>
  </si>
  <si>
    <t>APR 29</t>
  </si>
  <si>
    <t>10.1063/5.0201718</t>
  </si>
  <si>
    <t>WOS:001225897500003</t>
  </si>
  <si>
    <t>Rojas-Andrade, R; Zurita, SA; Bravo, GP; Vargas, B</t>
  </si>
  <si>
    <t>Rojas-Andrade, Rodrigo; Zurita, Samuel Aranguren; Bravo, Gabriel Prosser; Vargas, Belen</t>
  </si>
  <si>
    <t>Intrinsic Motivation and Institutional Limitations: Key Implementation Determinants of Psychological First Aid Training</t>
  </si>
  <si>
    <t>COMMUNITY MENTAL HEALTH JOURNAL</t>
  </si>
  <si>
    <t>Psychological first aid (PFA) trainings are conducted to train frontline care workers in practical and emotional support to people who have been recently affected by stressful events. The aim of this study was to describe the determinants of the implementation behavior of a PFA training strategy in Chile and to provide theoretical information on the factors that influence trainers' self-efficacy. For this purpose, the Determinants of Implementation Behavior Questionnaire, administered online to a sample of 117 PFA trainers throughout Chile, was used. The results indicate that the main facilitators for implementation originate in the intrinsic motivation of the trainers, while the barriers are mainly found in the limited institutional opportunities offered by the context. Evidence was also found on the effect of motivation and context on trainer self-efficacy. PFA trainers may need to invest a lot of psychological resources to overcome the barriers encountered during implementation.</t>
  </si>
  <si>
    <t>Prosser Bravo, Gabriel/0000-0003-1255-5890; Vargas Gallegos, Belen/0000-0003-1028-9066; Aranguren Zurita, Samuel Alejandro/0000-0001-6623-0114</t>
  </si>
  <si>
    <t>0010-3853</t>
  </si>
  <si>
    <t>1573-2789</t>
  </si>
  <si>
    <t>10.1007/s10597-024-01261-y</t>
  </si>
  <si>
    <t>MAR 2024</t>
  </si>
  <si>
    <t>WOS:001183912700001</t>
  </si>
  <si>
    <t>Wienecke, P; Ulrich, JF; Morales-Reyes, CF; Dhiman, S; Wichard, T; Arndt, HD</t>
  </si>
  <si>
    <t>Wienecke, Paul; Ulrich, Johann F.; Morales-Reyes, Cristina F.; Dhiman, Seema; Wichard, Thomas; Arndt, Hans-Dieter</t>
  </si>
  <si>
    <t>Enantioselective Total Synthesis of the Morphogen (-)-Thallusin and Mediated Uptake of Fe(III) into the Green Seaweed Ulva</t>
  </si>
  <si>
    <t>CHEMISTRY-A EUROPEAN JOURNAL</t>
  </si>
  <si>
    <t>A fully enantioselective, catalytic synthesis of the algal morphogen (-)-thallusin using polyene cyclization chemistry is reported. The synthesis features dedicated precursor design, introduction of a TMS-substituted arene as a regioselective terminator, very high enantiomer excess (ee) on gram scale, and productive scaffold functionalization. Furthermore, an ee determination methodology of thallusin samples was developed, and the ee of biosynthesized thallusin was determined. Fe(III)-uptake studies demonstrated that the cellular uptake of iron facilitated by thallusin derivatives was independent of their morphogenic activity, suggesting their active import via siderophore transporters as a shuttle system.</t>
  </si>
  <si>
    <t>Morales Reyes, Cristina/JRX-3418-2023; Wichard, Thomas/C-2794-2009</t>
  </si>
  <si>
    <t>Wienecke, Paul/0000-0002-3085-0642; Morales Reyes, Cristina Fabiola/0000-0003-0923-4500; Ulrich, Johann Franz/0000-0003-3869-8187; Wichard, Thomas/0000-0003-0061-4160</t>
  </si>
  <si>
    <t>0947-6539</t>
  </si>
  <si>
    <t>1521-3765</t>
  </si>
  <si>
    <t>MAR 25</t>
  </si>
  <si>
    <t>10.1002/chem.202304007</t>
  </si>
  <si>
    <t>FEB 2024</t>
  </si>
  <si>
    <t>WOS:001161455800001</t>
  </si>
  <si>
    <t>Laila, LR; Karmegam, A; Avudaiappan, S; Flores, EIS</t>
  </si>
  <si>
    <t>Laila, Lija Rajamony; Karmegam, Aarthi; Avudaiappan, Siva; Flores, Erick I. Saavedra</t>
  </si>
  <si>
    <t>Microstructure and Water Retention Kinetics in Autogenous Cured Self-Compacting Concrete Blends Using Super Absorbent Polymer</t>
  </si>
  <si>
    <t>POLYMERS</t>
  </si>
  <si>
    <t>This research aimed to determine how a super absorbent polymer affects the microstructural characteristics and water retention kinetics of a new composite made by substituting granite pulver (GP) and fly ash (FA) for cement. Understanding the mechanics of water movement is crucial for comprehending the effectiveness of autogenous curing. Several experiments were conducted to analyze the water mitigation kinetics of super absorbent polymer (SAP) in the hydrating cement paste of autogenous cured self-compacting concrete (GP-ACSSC) mixtures. In the first hours following casting, water sorptivity, water retention, and hydration tests were carried out. The effects of various concentrations of SAP and GP, which was utilized as an alternative cement for the production of sustainable concrete that leads to reduction in carbon footprint, on the autogenous cured self-compacting concrete with reference to the abovementioned properties were explored. The investigation showed that releasing the curing water at a young age, even around the beginning of hydration, allowed homogenous and almost immediate distribution of water across the full cured paste volume, which improved the water retention kinetics. Compared to the control mixtures, the addition of SAP up to 0.6% and the substitution of cement with GP up to 15% had favorable impacts on all water kinetics parameters.</t>
  </si>
  <si>
    <t>Avudaiappan, Siva/AAV-7579-2021</t>
  </si>
  <si>
    <t>R L, Lija/0000-0002-9253-7264; AVUDAIAPPAN, SIVA/0000-0002-4289-4298</t>
  </si>
  <si>
    <t>2073-4360</t>
  </si>
  <si>
    <t>10.3390/polym15183720</t>
  </si>
  <si>
    <t>WOS:001077833900001</t>
  </si>
  <si>
    <t>Abello-Romero, J; Mancilla, C; Sáez, W; Ganga-Contreras, F; Durán-Seguel, I</t>
  </si>
  <si>
    <t>Abello-Romero, Juan; Mancilla, Claudio; Saez, Walter; Ganga-Contreras, Francisco; Duran-Seguel, Ivette</t>
  </si>
  <si>
    <t>Sustainable Development and Corporate Sustainability of Chilean State Universities: Evidence from Their Strategic Elements</t>
  </si>
  <si>
    <t>Corporate sustainability evolved in line with the advancement of the concept of sustainable development; thus, it is constituted as a strategy to respond to social and environmental problems. In this context, universities are understood as complex organizations, positioned as a key mechanism for delivering the sustainable development of society. This research aimed to analyze whether the strategic elements of Chilean state universities integrate components of sustainable development. For this purpose, qualitative research was undertaken through a documentary analysis of the strategic plans of the 18 Chilean state universities, focusing analysis on their strategic elements: their mission, vision and strategic institutional objectives. The results revealed that all universities mention at least one concept associated with one of the 17 Sustainable Development Goals (SDGs) in their strategic guidelines. They mainly focused on 'Quality Education' (SDG 4) and 'Build resilient infrastructure, promoting inclusive and sustainable industrialization and foster innovation' (SDG 9). Also, the results allow us to visualize how universities address corporate sustainability issues through their strategic plans.</t>
  </si>
  <si>
    <t>Ganga-Contreras, Francisco/AAV-2527-2021; Mancilla, Claudio/CAI-2512-2022; Abello-Romero, Juan Bautista/ABD-3002-2021</t>
  </si>
  <si>
    <t>Ganga-Contreras, Francisco Anibal/0000-0001-9325-6459; Mancilla, Claudio/0000-0003-2864-2112; Abello Romero, Juan Bautista/0000-0003-3064-3456; Saez, Walter/0000-0003-4346-2304; Duran Seguel, Ivette/0000-0002-0903-5811</t>
  </si>
  <si>
    <t>10.3390/su151411033</t>
  </si>
  <si>
    <t>WOS:001091325600001</t>
  </si>
  <si>
    <t>Guzman, D; Gonzalez, F; Muranda, D; Aguilar, C; Guzman, A; Soliz, A; Lozada, L; Iturriza, I; Castro, F</t>
  </si>
  <si>
    <t>Guzman, Danny; Gonzalez, Felipe; Muranda, Diego; Aguilar, Claudio; Guzman, Alexis; Soliz, Alvaro; Lozada, Lorena; Iturriza, Inigo; Castro, Felipe</t>
  </si>
  <si>
    <t>Fabrication and Arc Erosion Behavior of Ag-SnO2-ZnO Electrical Contact Materials</t>
  </si>
  <si>
    <t>MATERIALS</t>
  </si>
  <si>
    <t>This study investigated the synthesis of Ag-SnO2-ZnO by powder metallurgy methods and their subsequent electrical contact behavior. The pieces of Lambda g-SnO2-ZnO were prepared by ball milling and hot pressing. The arc erosion behavior of the material was evaluated using homemade equipment. The microstructure and phase evolution of the materials were investigated through X-ray diffraction, energy-dispersive spectroscopy and scanning electron microscopy. The results showed that, although the mass loss of the Ag-SnO2-ZnO composite (9.08 mg) during the electrical contact test was higher than that of the commercial Ag-CdO (1.42 mg), its electrical conductivity remained constant (26.9 +/- 1.5% IACS). This fact would be related to the reaction of Zn2SnO4's formation on the material's surface via electric arc. This reaction would play an important role in controlling the surface segregation and subsequent loss of electrical conductivity of this type of composite, thus enabling the development of a new electrical contact material to replace the non-environmentally friendly Ag-CdO composite.</t>
  </si>
  <si>
    <t>Aguilar, Claudio/B-6774-2011; Castro Cerda, Felipe Manuel/Q-2714-2016</t>
  </si>
  <si>
    <t>Aguilar, Claudio/0000-0002-9013-5835; Soliz, Alvaro/0000-0002-6548-956X; Castro Cerda, Felipe Manuel/0000-0001-8126-5593; Guzman Mendez, Danny/0000-0002-8020-9247; Guzman Mendez, Alexis/0000-0003-1663-1125</t>
  </si>
  <si>
    <t>1996-1944</t>
  </si>
  <si>
    <t>MAY 9</t>
  </si>
  <si>
    <t>10.3390/ma16103618</t>
  </si>
  <si>
    <t>WOS:000997573900001</t>
  </si>
  <si>
    <t>Rocuant, A; Valenzuela, A; Toro, S; Peña-Troncoso, S; Celedón, S</t>
  </si>
  <si>
    <t>Rocuant, A. .; Valenzuela, A. .; Toro, S. .; Pena-Troncoso, S. .; Celedon, S.</t>
  </si>
  <si>
    <t>QUESTIONNAIRE OF ATTITUDES TOWARDS FAIR PLAY AND LEADERSHIP OF ELEMENTARY SCHOOL STUDENTS IN PHYSICAL EDUCATION</t>
  </si>
  <si>
    <t>The purpose of this study was to elaborate and analyze the evidence of validity of the scores of an instrument for measuring the attitudinal component of fair play and leadership for 5th and 6th grade students who participate regularly in the subject of Physical Education. The methodological process integrated two pilots, analyzing the reliability, validity and fairness (impartiality) of the instrument scores, by means of evidence of content, internal structure, and psychometric analysis of the parameters of omission, difficulty, discrimination and differential functioning of the items. The results revealed a proposed Likert-type scale instrument with 16 items, of which 8 correspond to the leadership construct and 8 to fair play. Although the analyses of the instrument scores report evidence of validity, the evaluative intentionality should only consider a formative use in favor of evaluation for learning.</t>
  </si>
  <si>
    <t>MAY-AUG</t>
  </si>
  <si>
    <t>10.58727/jshr.92440</t>
  </si>
  <si>
    <t>WOS:000986868800011</t>
  </si>
  <si>
    <t>Li, YD; Barraza, N; Barrios, GA; Solano, E; Albarrán-Arriagada, F</t>
  </si>
  <si>
    <t>Li, Y-D; Barraza, N.; Alvarado Barrios, G.; Solano, E.; Albarran-Arriagada, F.</t>
  </si>
  <si>
    <t>Swap Test with Quantum Dot Charge Qubits</t>
  </si>
  <si>
    <t>PHYSICAL REVIEW APPLIED</t>
  </si>
  <si>
    <t>We propose the implementation of the swap test using a charge qubit in a double quantum dot. The swap test is a fundamental quantum subroutine in quantum machine learning and other applications for estimating the fidelity of two unknown quantum states by measuring an auxiliary qubit. Our proposal uses a controlled three-qubit gate, which is natural to quantum dot charge qubits. It allows us to implement a swap test with a circuit depth of six layers, and an estimated gate time of less than 3 ns, that is below the coherence time of double quantum dots. This work paves the way for enhancing the toolbox of quantum machine learning developments in semiconductor qubits.</t>
  </si>
  <si>
    <t>Solano, Enrique/C-2895-2017; Alvarado, Gabriel/GLS-6513-2022</t>
  </si>
  <si>
    <t>Li, Yudong/0000-0003-2996-2740; Barraza, Nancy/0009-0006-5923-3505; /0000-0002-8684-4209; Albarran-Arriagada, Francisco/0000-0001-8899-3673</t>
  </si>
  <si>
    <t>2331-7019</t>
  </si>
  <si>
    <t>JUL 20</t>
  </si>
  <si>
    <t>10.1103/PhysRevApplied.18.014047</t>
  </si>
  <si>
    <t>WOS:000829922900004</t>
  </si>
  <si>
    <t>Muñoz-Becerra, K; Zagal, JH; Venegas, R; Recio, FJ</t>
  </si>
  <si>
    <t>Munoz-Becerra, Karina; Zagal, Jose H.; Venegas, Ricardo; Recio, Francisco J.</t>
  </si>
  <si>
    <t>Strategies to improve the catalytic activity and stability of bioinspired Cu molecular catalysts for the ORR</t>
  </si>
  <si>
    <t>The oxygen reduction reaction (ORR) is essential for energy conversion devices such as fuel cells and metal-air batteries. The use of expensive and scarce noble metal materials to catalyze the ORR is a limitation for the massification of these energy conversion technologies. Copper molecular catalysts that mimic the active sites of metalloenzymes such as laccase are under continuous development. In this minireview, we present the strategies to increase the activity and stability of the copper catalysts for the ORR. The flexibility, lability, and electronic character of the ligands are crucial to promote the ORR. In addition, the use of polymers as backbone for multicopper catalysts and the synthesis of copper carbon-based pyrolyzed catalysts present remarkable results with promissory applications.</t>
  </si>
  <si>
    <t>zagal, jose/L-9648-2014; Venegas, Ricardo/U-6376-2019; Recio, Javier/GVU-5031-2022; Muñoz-Becerra, Karina/GPP-1386-2022</t>
  </si>
  <si>
    <t>Recio, Francisco/0000-0002-5181-3197; Munoz-Becerra, Karina/0000-0001-9882-6342</t>
  </si>
  <si>
    <t>10.1016/j.coelec.2022.101035</t>
  </si>
  <si>
    <t>WOS:000836472200002</t>
  </si>
  <si>
    <t>Fuentealba-Urra, S; Rubio-Rivera, A; Gonzalez-Carrasco, M; Oyanedel, JC; Cespedes-Carreno, C</t>
  </si>
  <si>
    <t>Fuentealba-Urra, Sergio; Rubio-Rivera, Andres; Gonzalez-Carrasco, Monica; Oyanedel, Juan Carlos; Cespedes-Carreno, Cristian</t>
  </si>
  <si>
    <t>The Moderating Role of Sociodemographic Factors in the Relationship between Physical Activity and Subjective Well-Being in Chilean Children and Adolescents</t>
  </si>
  <si>
    <t>Background: The relationship between physical activity habits and well-being is widely recognized; however, the interaction that these variables have with sociodemographic factors throughout life is only partially addressed in the literature, particularly in children and adolescents. The aim of this article is to analyze the moderating effect of sociodemographic factors and the possible interaction of these moderations in the relationship between physical activity and subjective well-being in children and adolescents. Methods: This cross-sectional study considered a sample of 9572 children and adolescents from 10 to 19 years of age, students of primary and secondary schools in all regions of Chile. Subjective well-being and physical activity habits were measured using self-report questionnaires. Socioeconomic level was established from the school vulnerability index (SVI) of each student's school. Results: Simple moderation analyses revealed that the higher the age and the lower the SVI, the stronger the relationship between physical activity habits and subjective well-being. From a double moderation analysis, it could be observed that the age of the subjects is the most relevant moderator in the relationship between physical activity habits and perceived well-being in young people. Conclusions: This study highlights the importance of considering these factors and their interaction when generating programs or public policies to improve physical activity habits and well-being in children and adolescents.</t>
  </si>
  <si>
    <t>Rubio, Andres/HTQ-9075-2023; Cespedes Carreno, Cristian/JCD-8625-2023; Oyanedel, Juan/V-2833-2019; Fuentealba-Urra, Sergio/ABF-8977-2021; Gonzalez-Carrasco, Monica/H-2581-2012</t>
  </si>
  <si>
    <t>Rubio, Andres/0000-0001-8806-0697; Fuentealba Urra, Sergio Alejandro/0000-0003-3679-7384; Oyanedel, Juan/0000-0003-4023-6926; Gonzalez-Carrasco, Monica/0000-0003-3677-8175</t>
  </si>
  <si>
    <t>10.3390/ijerph182111190</t>
  </si>
  <si>
    <t>WOS:000726594500001</t>
  </si>
  <si>
    <t>Merlo, MA; Jaimes, DMA; Escrig, J; Perez, OL; Bajales, N</t>
  </si>
  <si>
    <t>Merlo, M. A.; Jaimes, D. M. Arciniegas; Escrig, J.; Perez, O. Linarez; Bajales, N.</t>
  </si>
  <si>
    <t>Carbon-coated alumina nanochannels-based composite: A conductivity analysis by means of electrochemical impedance spectroscopy</t>
  </si>
  <si>
    <t>MATERIALS LETTERS</t>
  </si>
  <si>
    <t>At present, one main technological concernment focuses on the obtaining materials able to act as molecular sensors, which show specific and fast response, high sensitivity, portability and low fabrication cost for monitoring global environmental or medical necessities. Among others, carbon-based composites play a key role in the development of new devices of interest in molecular sensing. In this work, a composite constituted by sputtered carbon as coating of randomly distributed alumina nanochannels is presented. Morphological characterization of this hybrid composite evidences a noticeable high surface area originated in the controlled decoupling of the alumina templates by a low-cost and easy-implementation route. A comparative analysis between results obtained by electrochemical impedance spectroscopy for carbon-coated alumina nanochannels and separated components reveals that the closest value of conductivity to that of carbon nanotubes is achieved by the novel composite. This result hints that the new carbon-nanostructured alumina material could provide competitive alternatives for sensing applications. (c) 2021 Elsevier B.V. All rights reserved.</t>
  </si>
  <si>
    <t>Merlo, Maximiliano Adrian/0000-0002-5797-8662; Escrig, Juan/0000-0002-3958-8185; Bajales, Noelia/0000-0002-2507-9224; Linarez Perez, Omar Ezequiel/0000-0002-4034-6175; Arciniegas Jaimes, Diana Marcela/0000-0002-1487-5858</t>
  </si>
  <si>
    <t>0167-577X</t>
  </si>
  <si>
    <t>1873-4979</t>
  </si>
  <si>
    <t>10.1016/j.matlet.2021.129795</t>
  </si>
  <si>
    <t>APR 2021</t>
  </si>
  <si>
    <t>WOS:000649681900027</t>
  </si>
  <si>
    <t>Quiroz, M; Varnero, MT; Cuevas, JG; Sierra, H</t>
  </si>
  <si>
    <t>Quiroz, Madelaine; Varnero, Maria Teresa; Cuevas, Jaime G.; Sierra, Hugo</t>
  </si>
  <si>
    <t>Cactus pear (Opuntia ficus-indica) in areas with limited rainfall for the production of biogas and biofertilizer</t>
  </si>
  <si>
    <t>An insecure energy supply has promoted the search of alternative energies. Anaerobic digestion can produce methane from energy crops. Opuntia ficus-indica or cactus pear can produce high amounts of dry matter (DM), 10 Mg ha-1 y-1 with an average rainfall of 400 mm y-1. It is a crop with a high efficiency in the use of water (4.6 mg DM g-1 H2O) and can grow on land not currently used for the production of other crops. This review found that Opuntia productivity strongly depends on agronomic management (50 Mg ha-1 y-1). The increase in DM is reflected in an increase in the theoretical yield of biogas and methane. Opuntia cladodes have a high potential for producing methane (327 m3 CH4 Mg-1 VS) because their carbohydrates have a low fiber content and are easily degraded. To optimize the production and quality of the biogas produced from Opuntia, its cladodes would have to be mixed with other raw materials (e.g. manure, plant residues, microalgae) and C/N ratio (16e30) for microorganisms in the digestate; the pH would also have to be modified to a neutral-alkaline range (the cladodes have a pH between 3.5 and 5.5) for the same reason. The resulting digestate could be applied to the soil as a biofertilizer, improving its properties as well as crop productivity. This is important, above all, in soils in semi-arid zones. Finally, there are several challenges to validate Opuntia as an energy crop, especially from a holistic viewpoint that considers economic, social and environmental aspects. (c) 2021 Elsevier Ltd. All rights reserved.</t>
  </si>
  <si>
    <t>Quiroz, Madelaine/ACG-9162-2022</t>
  </si>
  <si>
    <t>MAR 20</t>
  </si>
  <si>
    <t>10.1016/j.jclepro.2021.125839</t>
  </si>
  <si>
    <t>WOS:000620273900016</t>
  </si>
  <si>
    <t>Barrera-Avalos, C; Mena, J; López, X; Cappelli, C; Neira, T; Imarai, M; Fernández, R; Robles-Planells, C; Rojo, LE; Milla, LA; Leiva-Salcedo, E; Escobar, A; Acuña-Castillo, C</t>
  </si>
  <si>
    <t>Barrera-Avalos, Carlos; Mena, Javier; Lopez, Ximena; Cappelli, Claudio; Neira, Tanya; Imarai, Monica; Fernandez, Ricardo; Robles-Planells, Claudia; Rojo, Leonel E.; Milla, Luis A.; Leiva-Salcedo, Elias; Escobar, Alejandro; Acuna-Castillo, Claudio</t>
  </si>
  <si>
    <t>Adenosine triphosphate, polymyxin B and B16 cell-derived immunization induce anticancer response</t>
  </si>
  <si>
    <t>IMMUNOTHERAPY</t>
  </si>
  <si>
    <t>Aim: Whole dead tumor cells can be used as antigen source and the induction of protective immune response could be enhanced by damage-associated molecular patterns. Materials &amp; methods: We generated whole dead tumor cells called B16-immunogenic cell bodies (ICBs) from B16 melanoma cells by nutrient starvation and evaluated the in vivo antitumor effect of B16-ICBs plus ATP and polymyxin B (PMB). Results: The subcutaneous immunization with B16-ICBs + PMB + ATP a 50% of tumor-free animals and induced a significant delay in tumor growth in a prophylactic approach. These results correlated with maturation of bone marrow-derived dendritic cells and activation of T CD8(+) lymphocytes in vitro. Conclusion: Altogether, ICB + ATP + PMB is efficient in inducing the antitumor efficacy of the whole dead tumor cells vaccine.</t>
  </si>
  <si>
    <t>Acuña-Castillo, Claudio/AAI-7090-2021; Cappelli, Claudio/GRK-0058-2022; Robles-Planells, Claudia/LTF-7300-2024; Escobar, Alejandro/I-2775-2013; Milla, Luis/AAU-5222-2020; Fernandez, Ricardo/H-3422-2018</t>
  </si>
  <si>
    <t>Robles-Planells, Claudia/0000-0003-3339-8871; Barrera-Avalos, Carlos/0000-0001-6160-9563; Rojo, Leonel/0000-0002-0188-2266; Acuna-Castillo, Claudio/0000-0003-3607-6077; Mena, Javier/0000-0001-5758-0470; cappelli, claudio/0000-0002-3492-4725; Imarai, Monica/0000-0001-8767-9180; Milla, Luis/0000-0001-9738-6234; Fernandez, Ricardo/0000-0003-4493-9362</t>
  </si>
  <si>
    <t>1750-743X</t>
  </si>
  <si>
    <t>1750-7448</t>
  </si>
  <si>
    <t>10.2217/imt-2020-0209</t>
  </si>
  <si>
    <t>WOS:000604907900001</t>
  </si>
  <si>
    <t>Guzman-Martinez, L; Farías, GA; Tapia, JP; Sánchez, MP; Fuentes, P; Gloger, S; Maccioni, RB</t>
  </si>
  <si>
    <t>Guzman-Martinez, Leonardo; Farias, Gonzalo A.; Tapia, Jose P.; Sanchez, Maria P.; Fuentes, Patricio; Gloger, Sergio; Maccioni, Ricardo B.</t>
  </si>
  <si>
    <t>Interventional Study to Evaluate the Clinical Effects and Safety of the Nutraceutical Compound BrainUp-10® in a Cohort of Patients with Alzheimer's Disease: A Multicenter, Randomized, Double-Blind, and Placebo-Controlled Trial</t>
  </si>
  <si>
    <t>JOURNAL OF ALZHEIMERS DISEASE</t>
  </si>
  <si>
    <t>Background: Clinically-evaluated nutraceuticals are candidates for Alzheimer's disease (AD) prevention and treatment. Phase I studies showed biological safety of the nutraceutical BrainUp-10 (R), while a pilot trial demonstrated efficacy for treatment. Cell studies demonstrated neuroprotection. BrainUp-10 (R) blocks tau self-assembly. Apathy is the most common of behavioral alterations. Objective: The aim was to explore efficacy of BrainUp-10 (R) in mitigating cognitive and behavioral symptoms and in providing life quality, in a cohort of Chilean patients with mild to moderate AD. Methods: The was a multicenter, randomized, double blind, placebo-controlled phase II clinical study in mild to moderate AD patients treated with BrainUp-10 (R) daily, while controls received a placebo. Primary endpoint was Apathy (AES scale), while secondary endpoints included Mini-Mental State Examination (MMSE), Trail Making Test (TMT A and TMT B), and Neuropsychiatry Index (NPI). AD blood biomarkers were analyzed. Laboratory tests were applied to all subjects. Results: 82 patients were enrolled. The MMSE score improved significantly at week 24 compared to baseline with tendency to increase, which met the pre-defined superiority criteria. NPI scores improved, the same for caregiver distress at 12th week (p = 0.0557), and the alimentary response (p = 0.0333). Apathy tests showed a statistically significant decrease in group treated with BrainUp-10 (R), with p = 0.0321 at week 4 and p = 0.0480 at week 12 treatment. A marked decrease in homocysteine was shown with BrainUp-10 (R) (p = 0.0222). Conclusion: Data show that BrainUp-10 (R) produces a statistically significant improvement in apathy, ameliorating neuropsychiatric distress of patients. There were no compound-related adverse events. BrainUp-10 (R) technology may enable patients to receive the benefits for their cognitive and behavioral problems.</t>
  </si>
  <si>
    <t>Farias, Gonzalo/J-5665-2017</t>
  </si>
  <si>
    <t>Farias, Gonzalo/0000-0002-7979-8398</t>
  </si>
  <si>
    <t>1387-2877</t>
  </si>
  <si>
    <t>1875-8908</t>
  </si>
  <si>
    <t>10.3233/JAD-201501</t>
  </si>
  <si>
    <t>WOS:000658395500024</t>
  </si>
  <si>
    <t>Olivares, SI</t>
  </si>
  <si>
    <t>Olivares, Sandra Iturrieta</t>
  </si>
  <si>
    <t>LIVING IN CONVULSIVE TIMES Sociocritical Reflections for Social Intervention Proposals</t>
  </si>
  <si>
    <t>VIVIR EN TIEMPOS CONVULSIONADOS: Reflexiones Sociocriticas para Propuestas de Intervencion Social</t>
  </si>
  <si>
    <t>Olivares, Sandra/AAS-5054-2021</t>
  </si>
  <si>
    <t>978-956-6095-21-7</t>
  </si>
  <si>
    <t>10.26448/ae9789566095217.7</t>
  </si>
  <si>
    <t>WOS:000762613700001</t>
  </si>
  <si>
    <t>Cáceres, D; Giménez, B; Márquez-Ruiz, G; Holgado, F; Vergara, C; Romero-Hasler, P; Soto-Bustamante, E; Robert, P</t>
  </si>
  <si>
    <t>Caceres, Denisse; Gimenez, Begona; Marquez-Ruiz, Gloria; Holgado, Francisca; Vergara, Cristina; Romero-Hasler, Patricio; Soto-Bustamante, Eduardo; Robert, Paz</t>
  </si>
  <si>
    <t>Influence of the Location of Ascorbic Acid in Walnut Oil Spray-Dried Microparticles with Outer Layer on the Physical Characteristics and Oxidative Stability</t>
  </si>
  <si>
    <t>ANTIOXIDANTS</t>
  </si>
  <si>
    <t>Purified walnut oil (PWO) microparticles with Capsul(R) (C, encapsulating agent), sodium alginate (SA) as outer layer and ascorbic acid (AA) as oxygen scavenger were obtained by spray drying using a three-fluid nozzle. AA was incorporated in the inner infeed (PWO-C(AA)/SA), in the outer infeed (PWO-C/SA(AA)) and in both infeed (PWO-C(AA)/SA(AA)). PWO-C(AA)/SA (4.56 h) and POW-C(AA)/SA(AA) (2.60 h) microparticles showed higher induction period than POW-C/SA(AA) (1.17 h), and lower formation of triacylglycerol dimers and polymers during storage (40 degrees C). Therefore, AA located in the inner infeed improved the oxidative stability of encapsulated PWO by removing the residual oxygen. AA in the SA outer layer did not improve the oxidative stability of encapsulated PWO since oxygen diffusion through the microparticles was limited and/or AA weakened the SA layer structure. The specific-location of AA (inner infeed) is a strategy to obtain stable spray-dried polyunsaturated oil-based microparticles for the design of foods enriched with omega-3 fatty acids.</t>
  </si>
  <si>
    <t>Romero-Hasler, Patricio/T-7993-2019; Robert, Paz/G-8198-2014; Vergara, Cristina/AAT-9575-2021; Holgado, Francisca/AAC-1822-2020; Marquez-Ruiz, Gloria/B-6925-2013; Romero-Hasler, Patricio/P-6631-2018</t>
  </si>
  <si>
    <t>Soto-Bustamante, Eduardo/0000-0002-0735-5715; Marquez-Ruiz, Gloria/0000-0002-8548-837X; Romero-Hasler, Patricio/0000-0002-9211-2514; HOLGADO, FRANCISCA/0000-0003-4950-5950</t>
  </si>
  <si>
    <t>2076-3921</t>
  </si>
  <si>
    <t>10.3390/antiox9121272</t>
  </si>
  <si>
    <t>WOS:000602249500001</t>
  </si>
  <si>
    <t>Jasemi, SV; Khazaei, H; Aneva, IY; Farzaei, MH; Echeverría, J</t>
  </si>
  <si>
    <t>Jasemi, Seyed Vahid; Khazaei, Hosna; Aneva, Ina Yosifova; Farzaei, Mohammad Hosein; Echeverria, Javier</t>
  </si>
  <si>
    <t>Medicinal Plants and Phytochemicals for the Treatment of Pulmonary Hypertension</t>
  </si>
  <si>
    <t>FRONTIERS IN PHARMACOLOGY</t>
  </si>
  <si>
    <t>Background Pulmonary hypertension (PH) is a progressive disease that is associated with pulmonary arteries remodeling, right ventricle hypertrophy, right ventricular failure and finally death. The present study aims to review the medicinal plants and phytochemicals used for PH treatment in the period of 1994 - 2019. Methods PubMed, Cochrane and Scopus were searched based on pulmonary hypertension, plant and phytochemical keywords from August 23, 2019. All articles that matched the study based on title and abstract were collected, non-English, repetitive and review studies were excluded. Results Finally 41 studies remained from a total of 1290. The results show that many chemical treatments considered to this disease are ineffective in the long period because they have a controlling role, not a therapeutic one. On the other hand, plants and phytochemicals could be more effective due to their action on many mechanisms that cause the progression of PH. Conclusion Studies have shown that herbs and phytochemicals used to treat PH do their effects from six mechanisms. These mechanisms include antiproliferative, antioxidant, antivascular remodeling, anti-inflammatory, vasodilatory and apoptosis inducing actions. According to the present study, many of these medicinal plants and phytochemicals can have effects that are more therapeutic than chemical drugs if used appropriately.</t>
  </si>
  <si>
    <t>Echeverría, Javier/AAK-3323-2020; Aneva, Ina/HNR-2928-2023; Farzaei, Mohammad/M-5779-2017</t>
  </si>
  <si>
    <t>Jasemi, Sayed Vahid/0000-0003-3647-3750; Aneva, Ina/0000-0002-6476-5438; Echeverria, Javier/0000-0002-1688-968X</t>
  </si>
  <si>
    <t>1663-9812</t>
  </si>
  <si>
    <t>MAR 12</t>
  </si>
  <si>
    <t>10.3389/fphar.2020.00145</t>
  </si>
  <si>
    <t>WOS:000525582900001</t>
  </si>
  <si>
    <t>Andrade, V; Cortés, N; Pastor, G; Gonzalez, A; Ramos-Escobar, N; Pastene, E; Rojo, LE; Maccionia, RB</t>
  </si>
  <si>
    <t>Andrade, Victor; Cortes, Nicole; Pastor, Gabriela; Gonzalez, Andrea; Ramos-Escobar, Nicolas; Pastene, Edgar; Rojo, Leonel E.; Maccionia, Ricardo B.</t>
  </si>
  <si>
    <t>N-Acetyl Cysteine and Catechin-Derived Polyphenols: A Path Toward Multi-Target Compounds Against Alzheimer's Disease</t>
  </si>
  <si>
    <t>Background: Alzheimer's disease (AD) is a multifactorial disease, that involves neuroinflammatory processes in which microglial cells respond to damage signals. The latter includes oligomeric tau, iron, oxidative free radicals, and other molecules that promotes neuroinflammation in the brain, promoting neuronal death and cognitive impairment. Since AD is the first cause of dementia in the elderly, and its pharmacotherapy has limited efficacy, novel treatments are critical to improve the quality of life of AD patients. Multitarget therapy based on nutraceuticals has been proposed as a promising intervention based on evidence from clinical trials. Several studies have shown that epicatechin-derived polyphenols from tea improve cognitive performance; also, the polyphenol molecule N-acetylcysteine (NAC) promotes neuroprotection. Objective: To develop an approach for a rational design of leading compounds against AD, based on specific semisynthetic epicatechin and catechin derivatives. Methods: We evaluated tau aggregation in vitro and neuritogenesis by confocal microscopy in mouse neuroblastoma cells (N2a), after exposing cells to either epicatechin-pyrogallol (EPIC-PYR), catechin-pyrogallol (CAT-PYR), catechin-phloroglucinol (CAT-PhG), and NAC. Results: We found that EPIC-PYR, CAT-PYR, and CAT-PhG inhibit human tau aggregation and significantly increase neuritogenesis in a dose-dependent manner. Interestingly, modification with a phloroglucinol group yielded the most potent molecule of those evaluated, suggesting that the phloroglucinol group may enhance neuroprotective activity of the catechin-derived compounds. Also, as observed with cathechins, NAC promotes neuritogenesis and inhibits tau self-aggregation, possibly through a different pathway. Conclusion: EPIC-PYR, CAT-PYR, CAT-PhG, and NAC increased the number of neurites in Na2 cell line and inhibits tau-self aggregation in vitro.</t>
  </si>
  <si>
    <t>Maccioni, Ricardo/ABA-9608-2020; Gonzalez, Andrea/HDM-9987-2022; Andrade, Victor/IQV-7730-2023</t>
  </si>
  <si>
    <t>Andrade, Victor/0000-0003-0682-269X; Rojo, Leonel/0000-0002-0188-2266</t>
  </si>
  <si>
    <t>10.3233/JAD-200067</t>
  </si>
  <si>
    <t>WOS:000550022100014</t>
  </si>
  <si>
    <t>Mendoza, X; Espinosa-Méndez, C; Araya-Castillo, L</t>
  </si>
  <si>
    <t>Mendoza, Xavier; Espinosa-Mendez, Christian; Araya-Castillo, Luis</t>
  </si>
  <si>
    <t>When geography matters: International diversification and firm performance of Spanish multinationals</t>
  </si>
  <si>
    <t>This paper studies how the nature and shape of the relationship between inter- national diversification (ID) and performance (P) may vary according to a firm's geographical focus of internationalization. Using a sample of Spanish multinational firms for the 2004-2012 period we find an M-shaped relationship. However, significant differences are found when the different geographical foci of internationalization are considered. Strong support is found when firms adopt a regional focus (an inverted S-curve when the ID measure refers to the number of foreign countries and an M-curve when it refers to the size of the network of foreign sub- sidiaries), a biregional focus (an S-curve) and a semiglobal focus (an inverted S-curve but also an M-curve with foreign subsidiaries). These findings and their pattern suggest the critical impor- tance of the country of origin and the geographical focus of internationalization in explaining the relationship between ID-P. JEL CLASSIFICATION C33; F23; G15; L25</t>
  </si>
  <si>
    <t>Espinosa-Méndez, Christian/G-5177-2019; Araya-Castillo, Luis/AAC-8619-2019</t>
  </si>
  <si>
    <t>Araya-Castillo, Luis/0000-0001-7574-3907</t>
  </si>
  <si>
    <t>2340-9444</t>
  </si>
  <si>
    <t>JAN-MAR</t>
  </si>
  <si>
    <t>10.1177/2340944420898981</t>
  </si>
  <si>
    <t>WOS:000573229900005</t>
  </si>
  <si>
    <t>Játiva, PP; Azurdia, C; Román, M; Zabala-Blanco, D; Seguel, F; Soto, I</t>
  </si>
  <si>
    <t>Palacios Jativa, Pablo; Azurdia, Cesar; Roman, Milton; Zabala-Blanco, David; Seguel, Fabian; Soto, Ismael</t>
  </si>
  <si>
    <t>Empirical Path Loss Distribution for Visible Light Communications in Underground Mines</t>
  </si>
  <si>
    <t>2020 12TH INTERNATIONAL SYMPOSIUM ON COMMUNICATION SYSTEMS, NETWORKS AND DIGITAL SIGNAL PROCESSING, CSNDSP</t>
  </si>
  <si>
    <t>12th International Symposium on Communication Systems, Networks and Digital Signal Processing (CSNDSP)</t>
  </si>
  <si>
    <t>JUL 20-22, 2020</t>
  </si>
  <si>
    <t>Visible light communication (VLC) systems allow communication and lighting simultaneously. This advantage presents VLC as an emerging technology to provide reliable communication in harsh environments, such as underground mines (UM). To properly implement UM-VLC systems, it is imperative to study the signal propagation phenomenon, to analyze possible problems with the optical signal. Therefore, in this paper, we present the empirical path loss distribution in UM environments. Considering UM dimensions and optical signal components, path loss expressions are mathematically determined by using a curve fitting technique. Graphical and numerical results demonstrate the linear behavior of the mining path loss distributions.</t>
  </si>
  <si>
    <t>Seguel, Fabian/ABC-4765-2020; Meza, Cesar/D-6948-2014</t>
  </si>
  <si>
    <t>978-1-7281-6743-5</t>
  </si>
  <si>
    <t>WOS:001331796100171</t>
  </si>
  <si>
    <t>Ferrer-Urbina, R; Karmelic-Pavlov, V; Beck-Fernández, H; Valdivia-Pinto, R</t>
  </si>
  <si>
    <t>Ferrer-Urbina, Rodrigo; Karmelic-Pavlov, Vesna; Beck-Fernandez, Hector; Valdivia-Pinto, Ricardo</t>
  </si>
  <si>
    <t>A PREDICTIVE MODEL OF ACADEMIC FAILURE/SUCCESS FROM ENTRY INDICATORS, IN STUDENTS OF A STATE UNIVERSITY OF NORTHERN CHILE</t>
  </si>
  <si>
    <t>Extensive evidence supports the social and economic benefits generated at the individual and social levels by the academic success in higher education, as well as the costs of academic failure for people and their impact on countries' growth and development. Therefore, it is essential to have models that allow early identification of potential risk profiles to develop focused prevention. The objective of this study was to develop an empirical proposal for the prediction of academic failure/success in university students, based on early entry indicators, academic and sociodemographic, considering the mediating effect of the first year approval rate. An expost-facto correlation study was conducted, with the cohorts enrolled in the first year between the years 2001 and 2016 in a state university in northern Chile. The final sample was made up of 4012 graduates and 3393 students who defected or Jailed their undergraduate programs. Route analyzes were performed, estimating direct and indirect effects, differentiated by fields of study. Although each area of knowledge presented differential behaviors in the generated models, the results show that the predictors of entry were better proximal predictors (i.e., approval rates in the first year) than distal ones (failure/success). Although the best predictor of failure/success corresponds to the first year approval rate, the grades obtained in middle school turned out to be the best transversal predictor of performance at the lime of entry, except in the engineering area.</t>
  </si>
  <si>
    <t>Valdivia, Ricardo/JXY-4458-2024; Ferrer, Rodrigo/E-8230-2018</t>
  </si>
  <si>
    <t>Ferrer, Rodrigo/0000-0001-5407-3158; Valdivia, Ricardo/0009-0008-7131-3844</t>
  </si>
  <si>
    <t>WOS:000456809700004</t>
  </si>
  <si>
    <t>Guzmán, L; Balada, C; Flores, G; Alvarez, R; Knox, M; Vinet, R; Martínez, JL</t>
  </si>
  <si>
    <t>Guzman, Leda; Balada, Cristobal; Flores, Guillermo; Alvarez, Rocio; Knox, Marcela; Vinet, Raul; Martinez, Jose L.</t>
  </si>
  <si>
    <t>t-Resveratrol Protects against Acute High Glucose Damage in Endothelial Cells</t>
  </si>
  <si>
    <t>PLANT FOODS FOR HUMAN NUTRITION</t>
  </si>
  <si>
    <t>Postprandial hyperglycemia in diabetic and nondiabetic subjects is associated with endothelial dysfunction. Evidence shows that high glucose generates oxidative stress and a pro-inflammatory state promoting the development of cardiovascular diseases. trans-Resveratrol (t-RV) has been shown to reduce cardiovascular risk. To determine whether t-RV acts as a protector against acute high glucose (AHG)-induced damage, two in vitro models, rat aortic rings (RAR) and human umbilical vein endothelial cells (HUVEC) were used. RAR pretreated with AHG (25 mM D-glucose) for 3 h dramatically decreased the endothelium-dependent relaxation (EDR) induced by acetylcholine in phenylephrine (PE)-precontracted vessels. However, coincubation with t-RV significantly mitigated the damage induced by AHG on EDR. Pretreatment with AHG did not affect the vasodilation induced by sodium nitroprusside. HUVEC treated with t-RV decreased cytotoxicity and reduced radical oxygen species production induced by AHG. Taken together, these results suggest that t-RV can mitigate the AHG-induced EDR damage through a mechanism involving ROS scavenging and probably an increase in the bioavailability of NO.</t>
  </si>
  <si>
    <t>Guzmán, Leda/AAF-5330-2020; Martinez, Jose/AAA-1725-2020</t>
  </si>
  <si>
    <t>0921-9668</t>
  </si>
  <si>
    <t>1573-9104</t>
  </si>
  <si>
    <t>10.1007/s11130-018-0683-0</t>
  </si>
  <si>
    <t>WOS:000441204900012</t>
  </si>
  <si>
    <t>Cariñena, JF; Inzunza, L; Plyushchay, MS</t>
  </si>
  <si>
    <t>Carinena, Jose F.; Inzunza, Luis; Plyushchay, Mikhail S.</t>
  </si>
  <si>
    <t>Rational deformations of conformal mechanics</t>
  </si>
  <si>
    <t>We study deformations of the quantum conformal mechanics of de Alfaro-Fubini-Furlan with a rational additional potential term generated by applying the generalized Darboux-Crum-Krein-Adler transformations to the quantum harmonic oscillator and by using the method of dual schemes and mirror diagrams. In this way we obtain infinite families of isospectral and nonisospectral deformations of the conformal mechanics model with special values of the coupling constant g = m(m + 1), m is an element of N, in the inverse square potential term, and for each completely isospectral or gapped deformation given by a mirror diagram, we identify the sets of the spectrum-generating ladder operators that encode and coherently reflect its fine spectral structure. Each pair of these operators generates a nonlinear deformation of the conformal symmetry, and their complete sets pave the way for investigation of the associated superconformal symmetry deformations.</t>
  </si>
  <si>
    <t>Inzunza, Luis/KDM-9912-2024; Carinena, Jose/H-4210-2011</t>
  </si>
  <si>
    <t>Inzunza, Luis/0000-0002-3659-6956</t>
  </si>
  <si>
    <t>JUL 12</t>
  </si>
  <si>
    <t>10.1103/PhysRevD.98.026017</t>
  </si>
  <si>
    <t>WOS:000438349500008</t>
  </si>
  <si>
    <t>Maldonado, M; Pinto, A; Gomez, CO; Becerra-Yoma, N</t>
  </si>
  <si>
    <t>Maldonado, M.; Pinto, A.; Gomez, C. O.; Becerra-Yoma, N.</t>
  </si>
  <si>
    <t>Electrode arrangements for continuous measurement of dispersion conductivity in lab flotation cells</t>
  </si>
  <si>
    <t>MINERALS ENGINEERING</t>
  </si>
  <si>
    <t>Electrical conductivity, an intensive property of materials, has been used in flotation for measuring important process variables such as froth depth, bias rate, solid and gas holdup. Most of these applications were based on a sensor that included a conductivity cell made up of metallic ring electrodes flush-mounted to the internal wall of a tube. The use of this approach in lab mechanical cells produces unreliable conductivity measurements as the introduction of the sensor in the relatively small volume of the unit significantly affects its hydrodynamics. A new approach was devised for measuring the conductivity of dispersions in the unit by using cell walls and impeller shaft as electrodes. The use of this approach led to the design of flotation cells that successfully measured the conductivity of sodium chloride solutions and slurries. Results demonstrated reproducible measurement of solution and slurry conductivities; calculations of solids holdup using Maxwell equation for slurries with pulp densities as high as 30% by weight showed relative holdup errors of about 2%. Testing of a cylindrical cell made with side-by-side cylinders of conducting stainless steel and non-conducting plastic, demonstrated that conductivity could be measured independently of the level in the cell, a result necessary for developing on-line measurement of gas holdup during lab flotation testing.</t>
  </si>
  <si>
    <t>0892-6875</t>
  </si>
  <si>
    <t>10.1016/j.mineng.2017.05.004</t>
  </si>
  <si>
    <t>WOS:000406729800001</t>
  </si>
  <si>
    <t>Falomir, H; Gamboa, J; Méndez, F</t>
  </si>
  <si>
    <t>Falomir, H.; Gamboa, J.; Mendez, F.</t>
  </si>
  <si>
    <t>Non-Abelian monopoles as the origin of dark matter</t>
  </si>
  <si>
    <t>We suggest that dark matter may be partially constituted by a dilute't Hooft-Polyakov monopoles gas. We reach this conclusion by using the Georgi-Glashow model coupled to a dual kinetic mixing term F (G) over tilde where F is the electromagnetic field and G the 't Hooft tensor. We show that these monopoles carry both (Maxwell) electric and (Georgi-Glashow) magnetic charges and the electric charge quantization condition is modified in terms of a dimensionless real parameter. This parameter could be determined from milli-charged particle experiments.</t>
  </si>
  <si>
    <t>Falomir, Horacio/0000-0001-8188-1062; Gamboa, Jorge/0000-0001-7992-7199; Mendez, Fernando/0000-0002-9257-9552</t>
  </si>
  <si>
    <t>AUG 10</t>
  </si>
  <si>
    <t>10.1142/S0217732316501364</t>
  </si>
  <si>
    <t>WOS:000382847200003</t>
  </si>
  <si>
    <t>Poyatos-León, R; Sanabria-Martínez, G; García-Prieto, JC; Alvarez-Bueno, C; Pozuelo-Carrascosa, DP; Cavero-Redondo, I; García-Hermoso, A; Gómez-Cantarino, S; Garrido-Miguel, M; Martinez-Vizcaíno, V</t>
  </si>
  <si>
    <t>Poyatos-Leon, Raquel; Sanabria-Martinez, Gema; Canete Garcia-Prieto, Jorge; Alvarez-Bueno, Celia; Pozuelo-Carrascosa, Diana P.; Cavero-Redondo, Ivan; Garcia-Hermoso, Antonio; Gomez-Cantarino, Sagrario; Garrido-Miguel, Miriam; Martinez-Vizcaino, Vicente</t>
  </si>
  <si>
    <t>A follow-up study to assess the determinants and consequences of physical activity in pregnant women of Cuenca, Spain</t>
  </si>
  <si>
    <t>BMC PUBLIC HEALTH</t>
  </si>
  <si>
    <t>Background: In recent years, the influence of physical exercise on pregnancy outcomes has been widely debated. Despite the numerous studies addressing the relationship between maternal physical activity and pregnancy outcomes, the evidence for consistent and significant impact of regular exercise during pregnancy on fetal growth remains lacking. The aims of this study were, first, to assess the level of physical activity performed throughout the pregnancy by objective (accelerometer) and self-reported (questionnaire) measurements, and, second, to ascertain pre-pregnancy physical activity levels, to estimate the relationship between levels of physical activity and some pregnancy and neonatal outcomes. Methods/design: This was a prospective cohort study. Participants were pregnant women (n = 194) aged 18 to 40 years who attended for three quarterly appointments for pregnancy ultrasound scans at the Virgen de la Luz Hospital in Cuenca, Spain. All participants provided written informed consents to participate in the study. Physical activity during the pregnancy follow-up was assessed by a self-reported Pregnancy Physical Activity Questionnaire and sleep log; also objectively by a GT3X accelerometer (ActiGraph). Furthermore, pregnancy symptoms inventory, nutritional behavioural assessment, socio-demographic characteristics, and anthropometry and body composition were measured. At the end of the follow up, the following main outcomes were determined: pregnancy outcomes (incidence of gestational diabetes mellitus, pre-eclampsia, pregnancy-induced hypertension, weight gain during pregnancy, type of delivery, and neonatal outcomes (gestational age, birth weight, gender, Apgar score 1 min/5 min, type of resuscitation (I/II/III/IV), and pH of umbilical cord blood). Descriptive statistics for cross-sectional data, linear mixed regression models for absolute differences in changes baseline-final measurements were used as statistical analyses. Discussion: Although the effectiveness of physical activity programmes on improving maternal and neonatal outcomes has heretofore been studied, the impact of free time physical activity during pregnancy has not been assessed using objective measures. This paper reports the design of a prospective cohort study that aims to assess the physical activity levels of pregnant women, and to estimate the relationship between those physical activity levels with maternal and neonatal outcomes. This study could contribute to providing evidence for the formulation of recommendations for physical activity for pregnant women.</t>
  </si>
  <si>
    <t>Alvarez-Bueno, Celia/R-4075-2019; VIZCAINO, VICENTE/R-4336-2017; Carrascosa, Diana/R-4379-2017; Sanabria, Gema/R-4782-2019; García-Hermoso, Antonio/ADU-2591-2022; Cavero-Redondo, Ivan/R-4818-2019; Gomez Cantarino, Sagrario/AAP-3845-2021; Garcia-Hermoso, Antonio/P-1857-2017</t>
  </si>
  <si>
    <t>Sanabria Martinez, Gema/0000-0001-7593-6864; GARRIDO MIGUEL, MIRIAM/0000-0003-4617-616X; Cavero-Redondo, Ivan/0000-0003-2617-0430; Pozuelo-Carrascosa, Diana P/0000-0002-0527-5498; Gomez Cantarino, Sagrario/0000-0002-9640-0409; Garcia-Hermoso, Antonio/0000-0002-1397-7182; Alvarez-Bueno, Celia/0000-0002-6176-1618</t>
  </si>
  <si>
    <t>1471-2458</t>
  </si>
  <si>
    <t>MAY 25</t>
  </si>
  <si>
    <t>10.1186/s12889-016-3130-x</t>
  </si>
  <si>
    <t>WOS:000442497500001</t>
  </si>
  <si>
    <t>Correa, F; Jakubsky, V; Plyushchay, MS</t>
  </si>
  <si>
    <t>Correa, Francisco; Jakubsky, Vit; Plyushchay, Mikhail S.</t>
  </si>
  <si>
    <t>PT-symmetric invisible defects and confluent Darboux-Crum transformations</t>
  </si>
  <si>
    <t>PHYSICAL REVIEW A</t>
  </si>
  <si>
    <t>We show that confluent Darboux-Crum transformations with emergent Jordan states are an effective tool for the design of optical systems governed by the Helmholtz equation under the paraxial approximation. The construction of generic, asymptotically real and periodic, PT-symmetric systems with local complex periodicity defects is discussed in detail. We show how the decay rate of the defect is related with the energy of the bound state trapped by the defect. In particular, the bound states in the continuum are confined by the periodicity defects with power law decay. We show that these defects possess complete invisibility; the wave functions of the system coincide asymptotically with the wave functions of the undistorted setting. The general results are illustrated with explicit examples of reflectionless models and systems with one spectral gap. We show that the spectral properties of the studied models are reflected by Lax-Novikov-type integrals of motion and associated supersymmetric structures of bosonized and exotic nature.</t>
  </si>
  <si>
    <t>Jakubsky, Vit/H-2972-2014; Correa, Francisco/S-4564-2018</t>
  </si>
  <si>
    <t>Correa, Francisco/0000-0003-1735-2822</t>
  </si>
  <si>
    <t>2469-9926</t>
  </si>
  <si>
    <t>2469-9934</t>
  </si>
  <si>
    <t>AUG 20</t>
  </si>
  <si>
    <t>10.1103/PhysRevA.92.023839</t>
  </si>
  <si>
    <t>WOS:000359857500010</t>
  </si>
  <si>
    <t>Quijada-Maldonado, E.; Meindersma, G. Wytze; de Haan, Andre B.</t>
  </si>
  <si>
    <t>Ionic liquid effects on mass transfer efficiency in extractive distillation of water-ethanol mixtures</t>
  </si>
  <si>
    <t>COMPUTERS &amp; CHEMICAL ENGINEERING</t>
  </si>
  <si>
    <t>The relatively high viscosities of ionic liquids could reduce the mass transfer efficiency of the extractive distillation process. The rate-based model was adopted to analyze this phenomenon since it predicted the performance of an extractive distillation pilot plant using ionic liquids as solvent. For the water-ethanol-separation, three ionic liquids: 1-ethyl-3-methylimidazolium chloride, 1-ethyl-3-methylimidazolium acetate and 1-ethyl-3-methylimidazolium dicyanamide and the organic solvent ethylene glycol were used for the analysis. Simulations were conducted for sieve trays and Mellapak(R) 250Y. The results indicate that relatively high viscosities affect the mass transfer efficiency. However, the improvements in relative volatilities obtained from the ionic liquids help to overcome this effect. However, with high solvent viscosities (&gt;65 mPa s at T = 353.15 K) it was not possible to overcome the reductions. Additionally, at higher distillate rates high relative volatilities yielded negative effects on mass transfer efficiency because of a decrease in vapor velocity. (C) 2014 Elsevier Ltd. All rights reserved.</t>
  </si>
  <si>
    <t>0098-1354</t>
  </si>
  <si>
    <t>1873-4375</t>
  </si>
  <si>
    <t>DEC 4</t>
  </si>
  <si>
    <t>10.1016/j.compchemeng.2014.08.002</t>
  </si>
  <si>
    <t>WOS:000346070100016</t>
  </si>
  <si>
    <t>Espinoza-González, R; Vega, E; Tamayo, R; Criado, JM; Diánez, MJ</t>
  </si>
  <si>
    <t>Espinoza-Gonzalez, Rodrigo; Vega, Evelyn; Tamayo, Rocio; Criado, Jose M.; Jesus Dianez, M.</t>
  </si>
  <si>
    <t>Mechanochemical Processing of CaCu3Ti4O12 with Giant Dielectric Properties</t>
  </si>
  <si>
    <t>MATERIALS AND MANUFACTURING PROCESSES</t>
  </si>
  <si>
    <t>The dielectric properties of CaCu3Ti4O12 (CCTO) ceramic prepared by mechanochemical synthesis (MCS) were investigated. The effect on dielectric properties of ball-to-powder weight ratio and milling time was investigated and compared to the behavior of CCTO prepared by conventional solid state reaction (CSSR). CCTO ceramic was partially obtained after 6h of the milling process, while complete transformation was obtained during the sintering step of milled powders. It was shown that the dielectric properties of CCTO processed by MCS are dramatically improved compared with samples prepared by CSSR.</t>
  </si>
  <si>
    <t>Dianez, Maria Jesus/K-1613-2014; Espinoza-Gonzalez, Rodrigo/A-2731-2012</t>
  </si>
  <si>
    <t>Dianez, Maria Jesus/0000-0003-0108-7905; TAMAYO CALDERON, ROCIO MARIA/0000-0001-8593-7465; Espinoza-Gonzalez, Rodrigo/0000-0003-1119-9716</t>
  </si>
  <si>
    <t>1042-6914</t>
  </si>
  <si>
    <t>1532-2475</t>
  </si>
  <si>
    <t>10.1080/10426914.2014.921702</t>
  </si>
  <si>
    <t>WOS:000342065100006</t>
  </si>
  <si>
    <t>Sepúlveda, R; Romero, J; Sánchez, J</t>
  </si>
  <si>
    <t>Sepulveda, Rossana; Romero, Julio; Sanchez, Jose</t>
  </si>
  <si>
    <t>Copper removal from aqueous solutions by means of ionic liquids containing a β-diketone and the recovery of metal complexes by supercritical fluid extraction</t>
  </si>
  <si>
    <t>JOURNAL OF CHEMICAL TECHNOLOGY AND BIOTECHNOLOGY</t>
  </si>
  <si>
    <t>BACKGROUNDThis work is focused on the removal of Cu(II) ions from aqueous solutions by means of different hydrophobic imidazolium-based ionic liquids containing 1,1,1-trifluoro-2,4-pentanedione (TFA) as extractant and the subsequent extraction of the metal complexes formed in the IL by means of supercritical fluid extraction. RESULTSSolutions containing between 250 and 500 mg L-1 of Cu(II) ions were contacted with [bmim][PF6], [hmim][PF6] and [bmim][Tf2N] containing TFA. After liquid-liquid extraction, both phases were analysed, verifying the formation of neutral complex Cu(TFA)(2) as the predominant extraction mechanism in [bmim][PF6] and [bmim][Tf2N]. Meanwhile, the extraction of Cu(II) in [bmim][PF6] was strongly influenced by the direct interaction between the metal ion and the IL. ILs used in L-L extractions were regenerated using supercritical CO2 at 18 MPa and 40 degrees C. [bmim][Tf2N] showed the highest accumulative extraction percentage (approximate to 80%) after sequential loads of Cu(II) ions. CONCLUSIONFrom these tests, [bmim][Tf2N] was the solvent that showed the best performance in terms of accumulative extraction and recycling capacity in sequential extraction cycles mediated by regeneration with supercritical CO2. This study demonstrates that this process could be considered an alternative separation technique for metal ions using green solvents, and with extractant requirements lower than in conventional solvent extraction operations. (c) 2014 Society of Chemical Industry.</t>
  </si>
  <si>
    <t>Romero, Julio/0000-0002-1229-1592; Sanchez-Marcano, Jose/0000-0003-1783-2092; Sepulveda Rivera, Rossana Daniela/0000-0003-0288-8130</t>
  </si>
  <si>
    <t>0268-2575</t>
  </si>
  <si>
    <t>1097-4660</t>
  </si>
  <si>
    <t>10.1002/jctb.4330</t>
  </si>
  <si>
    <t>WOS:000336508000017</t>
  </si>
  <si>
    <t>Cabrera, S; Ipiña, A; Damiani, A; Cordero, RR; Piacentini, RD</t>
  </si>
  <si>
    <t>Cabrera, Sergio; Ipina, Adriana; Damiani, Alessandro; Cordero, Raul R.; Piacentini, Ruben D.</t>
  </si>
  <si>
    <t>UV index values and trends in Santiago, Chile (33.5°S) based on ground and satellite data</t>
  </si>
  <si>
    <t>JOURNAL OF PHOTOCHEMISTRY AND PHOTOBIOLOGY B-BIOLOGY</t>
  </si>
  <si>
    <t>We report on the surface UV index (UVI) variations in Santiago (Chile) a city with high air pollution and complex surrounding topography. Ground-based UV measurements were continuously carried out between January 1995 and December 2011, by using a multi-channel filter radiometer (PUV-510). Ground-based measurements and satellite-derived data retrieved from the Total Ozone Mapping Spectrometer (TOMS), the Ozone Monitoring Instrument (OMI), and the Scanning Imaging Absorption spectroMeter for Atmospheric CHartographY (SCIAMACHY), were compared. We found that satellite-derived UVI products largely overestimate surface UVI. Our ground-based UVI measurements were significantly lower than TOMS-derived UVI data: (46.1 +/- 6.3)% (in the period 1997-2003), and OMI-derived UVI data: (47.0 +/- 6.3)% (in the period 2005-2007). Clear-slcy SCIAMACHY-derived UVI were found to be also nearly systematically greater than ground-based UVI measurements in the period 2002-2011. An exceptionally long period of clear skies between December 2010 and January 2011 was used to test further satellite-derived UVI data; in the whole period, OMI and SCIAMACHY data were 53.1% and 38.3% greater than our ground-based measurements, respectively. These differences are presumably due to aerosol load associated with the local pollution and the complex topography surrounding Santiago. In addition, linear regression allowed us to estimate trends that we use for forecasting. Methodological details are provided below. (C) 2012 Elsevier B.V. All rights reserved.</t>
  </si>
  <si>
    <t>Damiani, Alessandro/X-4677-2019; Cordero, Raul/M-7979-2017</t>
  </si>
  <si>
    <t>Damiani, Alessandro/0000-0003-3014-6193; Cordero, Raul R./0000-0001-7607-7993</t>
  </si>
  <si>
    <t>1011-1344</t>
  </si>
  <si>
    <t>1873-2682</t>
  </si>
  <si>
    <t>OCT 3</t>
  </si>
  <si>
    <t>10.1016/j.jphotobiol.2012.06.013</t>
  </si>
  <si>
    <t>WOS:000308621500011</t>
  </si>
  <si>
    <t>Venegas-Yazigi, D; Castillo, C; Paredes-García, V; Vega, A; Spodine, E</t>
  </si>
  <si>
    <t>Venegas-Yazigi, Diego; Castillo, Carolina; Paredes-Garcia, Veronica; Vega, Andres; Spodine, Evgenia</t>
  </si>
  <si>
    <t>2-(2-pyridylamino)pyridinium tetrachloridozincate(II)</t>
  </si>
  <si>
    <t>ACTA CRYSTALLOGRAPHICA SECTION E-STRUCTURE REPORTS ONLINE</t>
  </si>
  <si>
    <t>The structure of the title compound, (C10H10N3)(2)[ZnCl4], is composed of C10H9N3H+ ( DPAH(+)) cations and [ ZnCl4](2-) anions. The two pyridyl rings of DPAH+ are approximately coplanar, with a dihedral angle of 7.2 ( 2)degrees between their corresponding least-squares planes. The proton is disordered in a one-to-one ratio over the two chemically equivalent pyridyl N atoms. An intramolecular hydrogen bond is formed between the pyridinium H atom and the pyridyl N atom of the other pyridyl ring. The Zn atom lies on a twofold rotation axis. There are also some weak N-H center dot center dot center dot Cl hydrogen bonds. These interactions lead to the formation of an alternating zigzag chain in the solid state. The results clearly show that reducing agents normally used in hydrothermal syntheses, such as metallic zinc employed here, are also active in terms of coordination chemistry.</t>
  </si>
  <si>
    <t>Venegas-Yazigi, Diego/0000-0001-7816-2841; Vega, Andres/0000-0001-6501-4161</t>
  </si>
  <si>
    <t>2056-9890</t>
  </si>
  <si>
    <t>M777</t>
  </si>
  <si>
    <t>U422</t>
  </si>
  <si>
    <t>10.1107/S1600536808007745</t>
  </si>
  <si>
    <t>WOS:000256441200038</t>
  </si>
  <si>
    <t>Lobana, TS; Rekha; Pannu, APS; Hundal, G; Butcher, RJ; Castineiras, A</t>
  </si>
  <si>
    <t>Lobana, Tarlok S.; Rekha; Pannu, A. P. S.; Hundal, Geeta; Butcher, Ray J.; Castineiras, A.</t>
  </si>
  <si>
    <t>Synthesis and structures of monomeric [chloro(isatin-3-thiosemicarbazone)bis(triphenylphosphine)]copper(I) and dimeric [dichlorobis(thiophene-2-carbaldehyde thiosemicarbazone)bis(triphenylphosphine)]dicopper(I)] complexes</t>
  </si>
  <si>
    <t>POLYHEDRON</t>
  </si>
  <si>
    <t>Reaction of copper(1) chloride with thiophene-2-carbaldehyde thiosemicarbazone (Httsc) in acetonitrile in the presence of Ph3P yielded a sulfur-bridged dimer [CU2Cl2(mu(2)-S-HttSC)(2)(PPh3)(2)].2CH(3)CN (1), while a similar reaction with isatin-3-thiosemicarbazone (H(2)itsc) formed a monomer, [CuCI(H(2)itsc)(Ph3P)(2)].2CH(3)CN (3). Furan-2-carbaldehyde thiosemicarbazone (Hftsc) also formed a compound of the composition [CU2Cl2(HftSC)(2)(PPh3)(2)] (.) 2H(2)O (2). Complexes 1-3 have been characterized using elemental analysis, IR, H-1 and P-31 NMR spectroscopy and single crystal X-ray crystallography (I and 3). Acetonitrile is engaged in hydrogen bonding with the chlorine atom {NCCH2-H...Cl)}, which is necessary for the stabilization of the bridging sulfur in 1. In compound 3, however, acetonitrile is strongly hydrogen bonded to the NH hydrogen of the isatin ring {CH3CN...NH(isatin)} and not to the chlorine atom. The Cu...Cu contact of 2.7719(5) angstrom in dimer 1 is close to twice the van der Waals radius of the Cu atom (2.80 angstrom). (C) 2007 Elsevier Ltd. All rights reserved.</t>
  </si>
  <si>
    <t>Sharma, Rekha/GOP-0303-2022; Pannu, Ajay/E-1713-2011; Castineiras, Alfonso/M-9122-2013</t>
  </si>
  <si>
    <t>Castineiras, Alfonso/0000-0002-5070-5936</t>
  </si>
  <si>
    <t>0277-5387</t>
  </si>
  <si>
    <t>JUL 23</t>
  </si>
  <si>
    <t>10.1016/j.poly.2006.12.044</t>
  </si>
  <si>
    <t>WOS:000248633900032</t>
  </si>
  <si>
    <t>Pereira-Rodrigues, N; Cofré, R; Zagal, JH; Bedioui, F</t>
  </si>
  <si>
    <t>Pereira-Rodrigues, Nazare; Cofre, Rodrigo; Zagal, Jose H.; Bedioui, Fethi</t>
  </si>
  <si>
    <t>Electrocatalytic activity of cobalt phthalocyanine CoPc adsorbed on a graphite electrode for the oxidation of reduced L-glutathione (GSH) and the reduction of its disulfide (GSSG) at physiological pH</t>
  </si>
  <si>
    <t>BIOELECTROCHEMISTRY</t>
  </si>
  <si>
    <t>18th International Symposium on Bioelectrochemistry and Bioenergetics/3rd Spring Meeting of the International-Society-of-Electrochemistry</t>
  </si>
  <si>
    <t>JUN 19-24, 2005</t>
  </si>
  <si>
    <t>Coimbra, PORTUGAL</t>
  </si>
  <si>
    <t>Bioelectrochem Soc,Int Soc Electrochem</t>
  </si>
  <si>
    <t>Modified electrodes coated by adsorbed cobalt phthalocyanines are known to show substantial electrocatalytic activity for the electro-oxidation of several thiols in alkaline aqueous solution. In this context, we explore in this study the electrocatalytic activity of adsorbed cobalt phthalocyanine (CoPc) on ordinary pyrolytic graphite electrode for the oxidation of reduced L-glutathione GSH and the reduction of its disulfide GSSG at physiological pH. To do so, cyclic and rotating disk voltammetries were performed and the amperometric results show that a stable electrochemical sensing material, with good reproducibility and sensitivity (in accordance with the concentrations of GSH expected in biological media), can be easily achieved. This opens the way for the design of an electrochemical sensor able to detect these two analytes in biologically relevant experimental conditions (in terms of pH). (c) 2006 Elsevier B.V All rights reserved.</t>
  </si>
  <si>
    <t>zagal, jose/L-9648-2014; Bedioui, Fethi/N-3507-2014</t>
  </si>
  <si>
    <t>Bedioui, Fethi/0000-0002-0063-4412</t>
  </si>
  <si>
    <t>1567-5394</t>
  </si>
  <si>
    <t>1878-562X</t>
  </si>
  <si>
    <t>10.1016/j.bioelechem.2006.03.025</t>
  </si>
  <si>
    <t>WOS:000243708600026</t>
  </si>
  <si>
    <t>Reina, M; González-Coloma, A; Domínguez-Díaz, C; Cabrera, R; Mariño, CG; Rodríguez, ML; Villarroel, L</t>
  </si>
  <si>
    <t>Bioactive eremophilanolides from Senecio poepigii</t>
  </si>
  <si>
    <t>NATURAL PRODUCT RESEARCH</t>
  </si>
  <si>
    <t>A new bioactive eremophilanolide, 1 alpha-tigloyloxy-8 beta H, 10 beta H-eremophil-7(11)-en-8 alpha, 12-olide (1), was isolated from Senecio poepigii and its structure was elucidated by spectral analysis. 1 alpha-Angeloyloxy-8 beta-methoxy-10 beta H-eremophil-7(11)-en-8 alpha, 12-olide (2) was also isolated. Antifungal and insect antifeedant properties were evaluated.</t>
  </si>
  <si>
    <t>Cabrera, Raimundo/H-9339-2015; GONZALEZ-COLOMA, AZUCENA/G-8781-2015</t>
  </si>
  <si>
    <t>Cabrera, Raimundo/0000-0002-9512-7754; GONZALEZ-COLOMA, AZUCENA/0000-0001-5124-664X</t>
  </si>
  <si>
    <t>1478-6419</t>
  </si>
  <si>
    <t>1478-6427</t>
  </si>
  <si>
    <t>10.1080/14786410410001723164</t>
  </si>
  <si>
    <t>WOS:000234922900003</t>
  </si>
  <si>
    <t>Henríquez, F; Naslund, HR; Nyström, JO; Vivallo, W; Aguirre, R; Dobbs, FM; Lledó, H</t>
  </si>
  <si>
    <t>New field evidence bearing on the origin of the El Laco magnetite deposit, northern Chile -: A discussion</t>
  </si>
  <si>
    <t>ECONOMIC GEOLOGY AND THE BULLETIN OF THE SOCIETY OF ECONOMIC GEOLOGISTS</t>
  </si>
  <si>
    <t>Henriquez, Fernando/0000-0002-8494-1435; Lledo, Haroldo/0000-0002-1418-3392</t>
  </si>
  <si>
    <t>0361-0128</t>
  </si>
  <si>
    <t>10.2113/98.7.1497</t>
  </si>
  <si>
    <t>WOS:000187003900014</t>
  </si>
  <si>
    <t>Antilén, M; Escudey, M; Förster, JE; Moraga, N; Marty, D; Fudym, O</t>
  </si>
  <si>
    <t>Application of the hot disk method to the thermophysical characterization of soils</t>
  </si>
  <si>
    <t>The thermal properties of soils, as thermal conductivity, have been usually determined by different designs of the quasi-permanent hot wire method. In the present paper the hot disk method was used to determine the effective thermal diffusivity (ETD) and thermal conductivity (TC) of soils derived from volcanic materials (one Ultisol and two Andisols) as a function of temperature from 25degreesC to 280degreesC. The volumetric heat capacity was also calculated from ETD and TC estimations. The TC values at 25degreesC ranges from 0.84-0.94 for Andisols to 1.27 Wm(-1)K(-1) for the Ultisol, and are similar to those reported by the hot-wire method. Values decrease down to 0.28-0.32 for Andisols and 0.67 Wm(-1)K(-1) for Ultisol when heating temperature increases from 25degreesC to 280degreesC. The TC increases when soil density or water content increases, and decreases when soil organic matter content increases. The values of the thermal properties depend on water and organic carbon content, and mineralogy of samples.</t>
  </si>
  <si>
    <t>0717-9324</t>
  </si>
  <si>
    <t>WOS:000185071000005</t>
  </si>
  <si>
    <t>Aliaga, C; Lissi, EA; Augusto, O; Linares, E</t>
  </si>
  <si>
    <t>Kinetics and mechanism of the reaction of a nitroxide radical (Tempol) with a phenolic antioxidant</t>
  </si>
  <si>
    <t>FREE RADICAL RESEARCH</t>
  </si>
  <si>
    <t>In the absence of redox-active transition metal ions, the removal of Tempol by Trolox occurs by a simple bimolecular reaction that, most probably, involves a hydrogen transfer from phenol to nitroxide. The specific rate constant of the process is small (0.1 M-1 s(-1)). Metals can catalyze the process, as evidenced by the decrease in rate observed in the presence of diethylenetriaminepentaacetic acid (DTPA). Furthermore, addition of Fe(II) (20 muM ferrous sulfate and 40 muM EDTA) produces a noticeable increase in the rate of Tempol consumption.</t>
  </si>
  <si>
    <t>Linares, Edlaine/AAR-8753-2020; Aliaga, Carolina/G-6024-2019; Augusto, Ohara/D-3839-2012</t>
  </si>
  <si>
    <t>Aliaga, Carolina/0000-0002-1352-3164; Linares, Edlaine/0000-0001-8164-3013; Augusto, Ohara/0000-0002-7220-4286</t>
  </si>
  <si>
    <t>1071-5762</t>
  </si>
  <si>
    <t>10.1080/1071576031000081587</t>
  </si>
  <si>
    <t>WOS:000180702700003</t>
  </si>
  <si>
    <t>Gracia, M; Marco, JF; Gancedo, JR; Gautier, JL; Ríos, EI; Menéndez, N; Tornero, J</t>
  </si>
  <si>
    <t>Characterization of the Mn-Li ferrite system Li1-0.5xFe1.5x+1-Mn1-xO4 (0.2 ≤ x ≤ 1)</t>
  </si>
  <si>
    <t>JOURNAL OF MATERIALS CHEMISTRY</t>
  </si>
  <si>
    <t>The Mn-Li ferrite system Li1-0.5xFe1.5x+1Mn1-xO4 (x = 1, 0.8, 0.6, 0.4, 0.2) has been studied by means of X-ray diffraction, Mossbauer spectroscopy and Mn K- and Fe K- edge XANES/EXAFS. All the samples show the spinel-related structure with the lattice constant a gradually decreasing between a = 0.8310 nm (x = 1) and a = 0.8301 nm (x = 0.2). Mossbauer and Fe K- edge XANES/EXAFS results have shown that the oxidation state of Fe is +3 and that the fractions of Fe3+ ions occupying the octahedral and tetrahedral sublattices do not change significantly along the series. Mossbauer data recorded under applied magnetic field indicate the existence in the Mn-containing samples of canted spin structures for the Fe3+ ions on both the tetrahedral and octahedral sites, the canting angle being larger for the octahedral sublattice. Mn K-edge XANES and EXAFS have shown Mn to be present as Mn3+ and Mn4+ and to occupy only octahedral sites. The XANES/ EXAFS results have also shown that the Mn4+/Mn3+ ratio increases with increasing Li/Mn content. The results indicate that as the extent of Li/Mn insertion increases the new inserted Li+ ions occupy tetrahedral sites and that some of the Li+ ions initially occupying octahedral sites are also driven into tetrahedral positions.</t>
  </si>
  <si>
    <t>Menendez, Nieves/L-4611-2013; Marco, JF/N-3176-2014</t>
  </si>
  <si>
    <t>Menendez, Nieves/0000-0001-6357-1597; Marco, JF/0000-0002-5147-1449</t>
  </si>
  <si>
    <t>0959-9428</t>
  </si>
  <si>
    <t>10.1039/b212474b</t>
  </si>
  <si>
    <t>WOS:000181670900041</t>
  </si>
  <si>
    <t>Costamagna, J; Caruso, F; Vargas, J; Manriquez, V</t>
  </si>
  <si>
    <t>Planar or tetrahedral coordination in copper(II) complexes induced by bromo substitution</t>
  </si>
  <si>
    <t>INORGANICA CHIMICA ACTA</t>
  </si>
  <si>
    <t>The diffraction study of bis(5-bromo-N-m-tolylsalicylaldiminate)copper(II) shows the copper atom in a centrosymmetric position and the two ligands displayed trans to each other in a planar environment. Two additional weak interactions due to Br atoms (Jahn-Teller effect) of neighboring units complete the coordination sphere, Cu-Br = 3.662(2) Angstrom, so that the complex is formally a polynuclear two-dimensional species. On the contrary, bis(3,5-dibromo-N-p-tolylsalicylaldinate)copper(II) is mononuclear and shows only the two ligands coordinated and the geometry is distorted 'tetrahedral'. The distortion is due to intramolecular repulsion interactions. Electronic spectra of these two compounds show a single asymmetric band at 700 nm for the former, and two bands located at 650 and 850 nm for the latter. Both compounds are monoclinic, space group P2(1)/c with a=9.919(2) Angstrom, b=10.965(2) Angstrom, c=12.283(2) Angstrom, beta=105.88(1)degrees, Z=2 for the former, and a=13.290(2) Angstrom, b=12.195(2) Angstrom, c=17.891(2) Angstrom, beta=105.38(1)degrees, Z=4 for the latter. (C) 1998 Elsevier Science S.A.</t>
  </si>
  <si>
    <t>Manríquez, Víctor/H-7101-2013</t>
  </si>
  <si>
    <t>0020-1693</t>
  </si>
  <si>
    <t>JAN 3</t>
  </si>
  <si>
    <t>10.1016/S0020-1693(97)05571-0</t>
  </si>
  <si>
    <t>WOS:A1998YJ83100023</t>
  </si>
  <si>
    <t>Assal, M; Fujiié, S; Higuchi, K</t>
  </si>
  <si>
    <t>Assal, Marouane; Fujiie, Setsuro; Higuchi, Kenta</t>
  </si>
  <si>
    <t>Transition of the semiclassical resonance widths across a tangential crossing energy-level</t>
  </si>
  <si>
    <t>JOURNAL DE MATHEMATIQUES PURES ET APPLIQUEES</t>
  </si>
  <si>
    <t>We consider a 1D 2 x 2 matrix-valued operator (1.1) with two semiclassical Schr &amp; ouml;dinger operators on the diagonal entries and small interactions on the off- diagonal ones. When the two potentials cross at a turning point with contact order n , the corresponding two classical trajectories at the crossing level intersect at one point in the phase space with contact order 2n. Below this level, they have no intersection, which suggests exponentially small widths of resonances (see e.g., [1,2]), while above this level, on the contrary, they intersect at two points, which implies a polynomial order of the widths as proved in [3]. We prove that the transition of the resonance widths near the crossing level is described in terms of a generalized Airy function. This result generalizes [4] to the tangential crossing and [3] to the crossing at a turning point. Our approach is based on the computation of the microlocal transfer matrix at the crossing point between the incoming and outgoing microlocal solutions. (c) 2024 Elsevier Masson SAS. All rights are reserved, including those for text and data mining, AI training, and similar technologies.</t>
  </si>
  <si>
    <t>Assal, Marouane/IQW-7068-2023</t>
  </si>
  <si>
    <t>0021-7824</t>
  </si>
  <si>
    <t>1776-3371</t>
  </si>
  <si>
    <t>10.1016/j.matpur.2024.103634</t>
  </si>
  <si>
    <t>NOV 2024</t>
  </si>
  <si>
    <t>WOS:001359414900001</t>
  </si>
  <si>
    <t>Cruz, M; Cruz, N; González, E; Lepe, S</t>
  </si>
  <si>
    <t>Cruz, Miguel; Cruz, Norman; Gonzalez, Esteban; Lepe, Samuel</t>
  </si>
  <si>
    <t>Testing a Nonlinear Solution of the Israel-Stewart Theory</t>
  </si>
  <si>
    <t>GALAXIES</t>
  </si>
  <si>
    <t>In this work, we test the ability of an exact solution, found in the framework of a nonlinear extension of the Israel-Stewart theory, to fit the supernovae Ia, gravitational lensing, and black hole shadow data. This exact solution is a generalization of one previously found for a dissipative unified dark matter model in the context of the near-equilibrium description of dissipative processes, where we do not have the full regime of the nonlinear picture. This generalized solution is restricted to the case where a positive entropy production is guaranteed and is tested under the condition that ensures its causality, local existence, and uniqueness. From the observational constraints, we found that this generalized solution is a good candidate in the description of the observational late-time data used in this work, with best-fit values of H0=73.2-0.9+0.8km/sMpc, q0=-0.41-0.03+0.03, xi&lt;^&gt;0=0.88-0.17+0.09, &amp; varepsilon;=0.34-0.04+0.03, and k=0.27-0.20+0.37, at a 1 sigma(68.3%) of confidence level. We show that the nonlinear regime of the Israel-Stewart theory consistently describes the recent accelerated expansion of the universe without the inclusion of some kind of dark energy component and also provides a more realistic description of the fluids that make up the late universe.</t>
  </si>
  <si>
    <t>González Banda, Esteban/JFJ-4056-2023</t>
  </si>
  <si>
    <t>Cruz, Miguel/0000-0003-3826-1321; Gonzalez Banda, Esteban/0000-0001-6769-5722</t>
  </si>
  <si>
    <t>2075-4434</t>
  </si>
  <si>
    <t>10.3390/galaxies12050052</t>
  </si>
  <si>
    <t>WOS:001340915500001</t>
  </si>
  <si>
    <t>García-Salirrosas, EE; Escobar-Farfán, M; Veas-González, I; Esponda-Perez, JA; Gallardo-Canales, R; Ruiz-Andia, R; Fernandez-Daza, VM; Zabalaga-Davila, RF</t>
  </si>
  <si>
    <t>Garcia-Salirrosas, Elizabeth Emperatriz; Escobar-Farfan, Manuel; Veas-Gonzalez, Ivan; Esponda-Perez, Jorge Alberto; Gallardo-Canales, Rodrigo; Ruiz-Andia, Rodrigo; Fernandez-Daza, Virginia Mercedes; Zabalaga-Davila, Rosa Fabiana</t>
  </si>
  <si>
    <t>Purchase Intention of Healthy Foods: The Determinant Role of Brand Image in the Market of a Developing Country</t>
  </si>
  <si>
    <t>FOODS</t>
  </si>
  <si>
    <t>In the current consumer context, the trend towards a healthy lifestyle has significantly increased the demand for healthy foods. This study aims to identify the relationship between the brand image (BI) and purchase intention (PI) of these products and how variables such as perceived brand quality (BPQ) and brand satisfaction (BS) influence brand trust (BT) and brand loyalty (BL) in this relationship. The methodology includes a quantitative approach, using non-probability convenience sampling. Using an online survey, data were collected from 637 consumers. Analyses were performed using structural equation modeling (SEM-PLS). The results show no significant correlation between BI and PI, but BI significantly impacts BPQ, BS, BT, and BL. Furthermore, BPQ positively influences BS, BT, and BL, but it does not have a direct influence on PI. The findings suggest that a positive brand image satisfies consumers and generates long-term trust and loyalty. However, perceived quality does not always translate into purchase intention due to various barriers. Practical implications highlight the importance of building a strong and positive brand image to encourage demand for healthy products.</t>
  </si>
  <si>
    <t>García-salirrosas, Elizabeth/JBJ-6862-2023; ZABALAGA, ROSA/KWT-7245-2024; Esponda-Pérez, Jorge/HHD-2194-2022; Escobar Farfán, Manuel/HJH-8388-2023; Veas, Ivan/KHV-0130-2024</t>
  </si>
  <si>
    <t>Garcia-Salirrosas, Elizabeth Emperatriz/0000-0003-4197-8438; Veas-Gonzalez, Ivan/0000-0003-0608-0788; Esponda-Perez, Jorge Alberto/0000-0002-6821-5361; Escobar-Farfan, Manuel/0000-0002-2975-7010; ZABALAGA DAVILA, ROSA FABIANA/0000-0003-2261-660X</t>
  </si>
  <si>
    <t>2304-8158</t>
  </si>
  <si>
    <t>10.3390/foods13203242</t>
  </si>
  <si>
    <t>WOS:001341372800001</t>
  </si>
  <si>
    <t>Moreira-Rodrigues, M; Ampuero, E; Wyneken, U</t>
  </si>
  <si>
    <t>Moreira-Rodrigues, Monica; Ampuero, Estibaliz; Wyneken, Ursula</t>
  </si>
  <si>
    <t>Editorial: Medicinal drugs, the effect on memories and beyond</t>
  </si>
  <si>
    <t>10.3389/fphar.2024.1471049</t>
  </si>
  <si>
    <t>WOS:001304076200001</t>
  </si>
  <si>
    <t>Valdés, N; Cortés, M; Barraza, F; Reyes-Lóopez, FE; Imarai, M</t>
  </si>
  <si>
    <t>Valdes, Natalia; Cortes, Marcos; Barraza, Felipe; Reyes-Lopez, Felipe E.; Imarai, Monica</t>
  </si>
  <si>
    <t>CXCL9-11 chemokines and CXCR3 receptor in teleost fish species</t>
  </si>
  <si>
    <t>FISH AND SHELLFISH IMMUNOLOGY REPORTS</t>
  </si>
  <si>
    <t>The coordinated migration of immune cells from lymphoid organs to in or out of the bloodstream, and towards the site of infection or tissue damage is fundamental for an efficient innate and adaptive immune response. Interestingly, an essential part of this movement is mediated by chemoattractant cytokines called chemokines. Although the nature and function of chemokines and their receptors are well documented in mammals, much research is needed to accomplish a similar level of understanding of the role of chemokines in fish immunity. The first chemokine gene identified in teleosts (rainbow trout, Oncorhynchus mykiss) was CK1 in 1998. Since then, the identification of fish chemokine orthologue genes and characterization of their role has been more complex than expected, primarily because of the whole genome duplication processes occurring in fish, and because chemokines evolve faster than other immune genes. Some of the most studied chemokines are CXCL9, CXCL10, CXCL11, and the CXCR3 receptor, all involved in T cell migration and in the induction of the T helper 1 (Th1) immune response. Data from the zebrafish and rainbow trout CXCL9-11/CXCR3 axis suggest that these chemokines and the receptor arose early in evolution and must be present in most teleost fish. However, the pieces of knowledge also indicate that different numbers of gene copies can be present in different species, with distinct regulatory expression mechanisms and probably, also with different roles, as the differential expression in fish tissues suggest. Here, we revised the current knowledge of the CXCL9-11/CXCR3 axis in teleost fishes, identifying the gaps in knowledge, and raising some hypotheses for the role of CXCL9, CXCL10 CXCL11, and CXCR3 receptor axis in fish, which can encourage further studies in the field.</t>
  </si>
  <si>
    <t>Reyes-López, Felipe/S-1760-2018; Valdes, Natalia/AAI-8151-2021</t>
  </si>
  <si>
    <t>valdes parra, Natalia/0000-0002-6884-7799; Reyes-Lopez, Felipe E./0000-0002-5001-457X</t>
  </si>
  <si>
    <t>2667-0119</t>
  </si>
  <si>
    <t>10.1016/j.fsirep.2022.100068</t>
  </si>
  <si>
    <t>WOS:001007680100036</t>
  </si>
  <si>
    <t>Levis, S; Villegas, A; Escrig, J; Luna, NB; Jaimes, DMA</t>
  </si>
  <si>
    <t>Levis, S.; Villegas, A.; Escrig, J.; Bajales Luna, N.; Arciniegas Jaimes, D. M.</t>
  </si>
  <si>
    <t>QUASI-STATIC PROPERTIES OF ONE-DIMENSIONAL PERMALLOY NANOSTRUCTURES: A COMPARATIVE ANALYSIS AS A FUNCTION OF GEOMETRICAL PARAMETERS</t>
  </si>
  <si>
    <t>ANALES AFA</t>
  </si>
  <si>
    <t>The present study describes the magnetic properties of nanotubes and nanowires of Permalloy through micromagnetic simulations. These properties are evaluated as a function of the external diameters of such one-dimensional nanostructures when the magnetic field applied is parallel and perpendicular to the easy axis of the nanostructures. In addition, the diameter of the nanostructures was also varied in order to discuss the similarities and differences in the magnetic properties as a function of their length.</t>
  </si>
  <si>
    <t>Escrig, Juan/N-4304-2015; Bajales, Noelia/AGE-1802-2022</t>
  </si>
  <si>
    <t>Arciniegas Jaimes, Diana Marcela/0000-0002-1487-5858</t>
  </si>
  <si>
    <t>0327-358X</t>
  </si>
  <si>
    <t>1850-1168</t>
  </si>
  <si>
    <t>JUL-OCT</t>
  </si>
  <si>
    <t>10.31527/analesafa.2022.33.2.31</t>
  </si>
  <si>
    <t>WOS:000828816500001</t>
  </si>
  <si>
    <t>Salazar, R; Campos, S; Martínez, J; Luna, F; Thiam, A; Aranda, M; Calzadilla, W; Miralles-Cuevas, S; Cabrera-Reina, A</t>
  </si>
  <si>
    <t>Salazar, Ricardo; Campos, Sebastian; Martinez, Javier; Luna, Francisca; Thiam, Abdoulaye; Aranda, Mario; Calzadilla, Wendy; Miralles-Cuevas, Sara; Cabrera-Reina, Alejandro</t>
  </si>
  <si>
    <t>New development of a solar electrochemical raceway pond reactor for industrial wastewater treatment</t>
  </si>
  <si>
    <t>ENVIRONMENTAL RESEARCH</t>
  </si>
  <si>
    <t>In this work, a solar electrochemical-raceway pond reactor (SEC-RPR) is used to treat textile industrial wastewater by solar photoelectron-Fenton (SPEF) at pilot plant scale for the first time. The SEC-RPR is composed of an electrochemical filter press-cell coupled to RPR, where H2O2 is electro-generated. A complete study about experimental variables such as current, catalyst concentration, pollutant load or liquid depth is conducted based on methyl orange removal, mineralization and decolorization. Validation of the SPEF process using SEC-RPR reached more than 80% of mineralization, as well as the complete decolorization of the solution. The good performance of the SPEF treatment in the new SEC-RPR led to quick degradation kinetics, mainly due to the synergetic action of solar radiation and good distribution of H2O2 electrogenerated in the photoreactor. 100% Methyl Orange degradation was achieved after 150, 60, 45, 30 and 20 min of reaction time applying current density equal to 5, 10, 20, 40 and 60 mA cm(-2), respectively. However, the increase of current density decreased the mineralization current efficiency. Up to 10 aromatics intermediates and 5 short-chain carboxylic acids were identified by LC-MS and HPLC analysis and a reaction pathway for MO mineralization by SPEF is proposed. This study represents an essential preliminary step towards the development of the first SEC-RPR at demo scale.</t>
  </si>
  <si>
    <t>Miralles-Cuevas, Sara/HGF-1348-2022; Salazar, Ricardo/L-7870-2013; Cabrera, Alejandro/GNH-3181-2022; Calzadilla, Wendy/KHY-6999-2024; Thiam, Abdoulaye/X-4067-2018; Aranda, Mario/A-6599-2013</t>
  </si>
  <si>
    <t>Campos milla, Sebastian/0000-0003-4023-1017; Thiam, Abdoulaye/0000-0001-5024-1855; Cabrera Reina, Alejandro/0000-0002-0425-5487; Calzadilla, Wendy/0000-0002-1082-7875; Salazar-Gonzalez, Ricardo/0000-0003-2180-6022; Aranda, Mario/0000-0001-7846-9149</t>
  </si>
  <si>
    <t>0013-9351</t>
  </si>
  <si>
    <t>1096-0953</t>
  </si>
  <si>
    <t>D</t>
  </si>
  <si>
    <t>10.1016/j.envres.2022.113553</t>
  </si>
  <si>
    <t>WOS:000810306800001</t>
  </si>
  <si>
    <t>Olivos, F; Saavedra, P; Dammert, L</t>
  </si>
  <si>
    <t>Olivos, Francisco; Saavedra, Patricio; Dammert, Lucia</t>
  </si>
  <si>
    <t>Citizen Complaints as an Accountability Mechanism: Uncovering Patterns Using Topic Modeling</t>
  </si>
  <si>
    <t>JOURNAL OF RESEARCH IN CRIME AND DELINQUENCY</t>
  </si>
  <si>
    <t>Objectives Citizen complaints are considered by policing researchers as an indicator of police misconduct, and a proxy of police-community relations. Nevertheless, US and EU-based studies tend to focus on sustained complaints as reported by official agencies and officer-based correlates. Using the case of Carabineros, the Chilean militarized police force, this study examines (a) latent topics contained in a large set of complaints against the police on a digital platform, and (b) the change of those topics across time and (c) by complainants' educational level. Methods We use novel computational natural language processing techniques to identify latent themes across the corpus of complaints (N = 1,623), hosted on an online forum from 2013 to 2020. Results Our findings show eight latent themes across the corpus. Among others, these themes were related to police effectiveness, police misbehavior, and a master frame of institutional crisis that has significantly grown over the last year. Additionally, differences in the prevalence of topics by complainants' educational level were also found. Conclusions Thus, the findings contribute to the enterprise of opening the black box of complaints against the police and highlighting opportunities for social accountability in a developing country.</t>
  </si>
  <si>
    <t>Morales, Patricio/AAH-2110-2021; Olivos, Francisco/M-9638-2019; Dammert, Lucia/U-2327-2019</t>
  </si>
  <si>
    <t>Olivos, Francisco/0000-0001-6395-6593; Saavedra Morales, Patricio/0000-0003-0921-6150; Dammert, Lucia/0000-0003-1239-4425</t>
  </si>
  <si>
    <t>0022-4278</t>
  </si>
  <si>
    <t>1552-731X</t>
  </si>
  <si>
    <t>10.1177/00224278221101119</t>
  </si>
  <si>
    <t>MAY 2022</t>
  </si>
  <si>
    <t>WOS:000800272700001</t>
  </si>
  <si>
    <t>Quijada-Maldonado, E; Román, R; Merlet, G; Pérez, B; Cabezas, R; Tapia, R; Olea, F; Villarroel, E; Araya-López, C; Romero, J</t>
  </si>
  <si>
    <t>Quijada-Maldonado, Esteban; Roman, Rodrigo; Merlet, Gaston; Perez, Barbara; Cabezas, Rene; Tapia, Ricardo; Olea, Felipe; Villarroel, Eduardo; Araya-Lopez, Claudio; Romero, Julio</t>
  </si>
  <si>
    <t>Rhenium(VII) extraction from sulfuric aqueous solutions using ionic liquids as diluent and extractant: insights on the extraction stoichiometry and process parameters</t>
  </si>
  <si>
    <t>BACKGROUND Rhenium(Re) is a highly valuable metal recovered from molybdenite leach liquors by solvent extraction (SX) using toxic organic solvents. This work proposes an extracting phase free of volatile organics composed by the ionic liquid (IL) trioctylmethylammonium benzoate [TOMA][BA] as the extractant, due to its ability to extract Re(VII), and the IL 1-octyl-3-methylimidazolium bis(trifluoromethylsulfonyl)imide [omim][Tf2N] as the diluent, due to its high hydrophobicity where the extraction stoichiometry and process parameters such as the initial pH, the extractant concentration in the diluent and stripping using ammonium hydroxide (NH4OH) and sodium hydroxide (NaOH) were assessed. RESULTS This extracting phase yielded high extraction percentages: 95% with only 3% (v/v) of [TOMA][BA] in [omim][Tf2N]. A detailed study of the SX stoichiometry was carried out through slope analysis, showing that the SX occurs in two steps: first, the extraction of acid; then, the extraction of the metal ion via anion exchange with the transfer of IL-diluent anion to the aqueous phase. Additionally, the extracting phase was tested in a synthetic molybdenite leached pregnant leach solution, showing selectivity towards Re(VII) over Cu(II) and Fe(III) at very low extractant concentration. The stripping of Re(VII) from the loaded phase was also studied achieving 60% stripping in only one equilibrium step when using NH4OH. CONCLUSION This novel extracting phase, free of volatile organic, shows promising Re(VII) extraction for future industrial applications. (c) 2021 Society of Chemical Industry (SCI).</t>
  </si>
  <si>
    <t>Araya Lopez, Claudio/KXR-0295-2024; Romero, Julio/I-6705-2013; Villarroel Utreras, Eduardo/LCD-3437-2024; Tapia, Ricardo/T-7170-2017; Cabezas, Rene/HAR-6189-2022; olea, felipe/IAN-5687-2023; Merlet Venturelli, Gaston/B-4109-2019</t>
  </si>
  <si>
    <t>Quijada-Maldonado, Esteban/0000-0003-1411-4327; Tapia, Ricardo/0000-0003-4407-3845; Olea Chandia, Felipe/0000-0002-6349-6184; Romero, Julio/0000-0002-1229-1592; Merlet Venturelli, Gaston/0000-0003-2602-6471; Villarroel, Eduardo/0000-0001-5208-3512; Cabezas, Rene/0000-0002-4162-3429</t>
  </si>
  <si>
    <t>10.1002/jctb.7013</t>
  </si>
  <si>
    <t>JAN 2022</t>
  </si>
  <si>
    <t>WOS:000738074400001</t>
  </si>
  <si>
    <t>Barrera-Avalos, C; Luraschi, R; Vallejos-Vidal, E; Figueroa, M; Arenillas, E; Barría, D; Hernández, F; Mateluna, C; Mena, J; Rioseco, C; Torrent, C; Vergara, C; Gutiérrez, G; Quiroz, J; Alarcón, J; Cartagena, J; Cayunao, J; Mella-Torres, A; Santibañez, A; Tapia, S; Undurraga, A; Vargas, D; Wong, V; Inostroza-Molina, A; Valdés, D; Imarai, M; Acuña-Castillo, C; Reyes-López, FE; Sandino, AM</t>
  </si>
  <si>
    <t>Barrera-Avalos, Carlos; Luraschi, Roberto; Vallejos-Vidal, Eva; Figueroa, Maximiliano; Arenillas, Esteban; Barria, Daniela; Hernandez, Felipe; Mateluna, Carlos; Mena, Javier; Rioseco, Claudia; Torrent, Claudia; Vergara, Claudio; Gutierrez, Gaby; Quiroz, Javiera; Alarcon, Javiera; Cartagena, Julio; Cayunao, Javiera; Mella-Torres, Andrea; Santibanez, Alvaro; Tapia, Sebastian; Undurraga, Alejandro; Vargas, Deborah; Wong, Valentina; Inostroza-Molina, Ailen; Valdes, Daniel; Imarai, Monica; Acuna-Castillo, Claudio; Reyes-Lopez, Felipe E.; Sandino, Ana M.</t>
  </si>
  <si>
    <t>Analysis by real-time PCR of five transport and conservation mediums of nasopharyngeal swab samples to COVID-19 diagnosis in Santiago of Chile</t>
  </si>
  <si>
    <t>JOURNAL OF MEDICAL VIROLOGY</t>
  </si>
  <si>
    <t>Due to the COVID-19 pandemic, many transport kits have been manufactured to preserve and transport nasopharyngeal swab samples (NPSs) from patients. However, there is no information on the performance of the different virus transport media (VTM) used in COVID-19 diagnosis in the population of Santiago de Chile. We compared the RT-qPCR amplification profile of five different viral transport kit mediums, including DNA/RNA Shield (TM), NAT, VTM-N, Ezmedlab (TM), and phosphate-buffered saline (PBS), for NPSs from Central Metropolitan Health Service, Santiago, Chile. The DNA/RNA Shield (TM) medium showed a better performance in terms of Cq and RFU values for the internal reference RNase P and viral ORF1ab probes. By contrast, the PBS transport medium registered higher Cq values for the viral and reference gene, compared to the other VTM. DNA/RNA Shield (TM) shows higher relative fluorescence units (RFUs) and lower Cq values for the reference gene. Collectively, our results suggest that the PBS medium could compromise the sample diagnosis because of its lower RT-qPCR performance. The NAT, Ezmedlab and VTM-N, and DNA/RNA Shield (TM) media show acceptable RT-qPCR parameters and, consequently, seem suitable for use in COVID-19 diagnosis.</t>
  </si>
  <si>
    <t>Reyes-López, Felipe/S-1760-2018; Acuña-Castillo, Claudio/AAI-7090-2021; Tapia, Sebastian/ABB-6644-2021; Luraschi, Roberto/AAI-7965-2021; Vallejos-Vidal, Eva/R-9606-2019</t>
  </si>
  <si>
    <t>Acuna-Castillo, Claudio/0000-0003-3607-6077; Mena, Javier/0000-0001-5758-0470; Luraschi, Roberto/0000-0001-5611-4320; Vallejos-Vidal, Eva/0000-0002-3091-2700; Reyes-Lopez, Felipe E./0000-0002-5001-457X</t>
  </si>
  <si>
    <t>0146-6615</t>
  </si>
  <si>
    <t>1096-9071</t>
  </si>
  <si>
    <t>10.1002/jmv.27446</t>
  </si>
  <si>
    <t>NOV 2021</t>
  </si>
  <si>
    <t>WOS:000718364200001</t>
  </si>
  <si>
    <t>Moreira-Arce, D; Peñaranda, DA; Lopéz, R; Stipicic, GJ; Hidalgo-Hermoso, E; Simonetti, JA</t>
  </si>
  <si>
    <t>Moreira-Arce, Dario; Penaranda, Diego A.; Lopez, Rodrigo; Stipicic, Gregor J.; Hidalgo-Hermoso, Ezequiel; Simonetti, Javier A.</t>
  </si>
  <si>
    <t>Observations of a coastal population of huemul, Hippocamelus bisulcus (Artiodactyla: Cervidae) in Riesco Island, Magallanes Region, Chile: a conservation opportunity</t>
  </si>
  <si>
    <t>MAMMALIA</t>
  </si>
  <si>
    <t>We document the presence of a huemul population on Cabo Leon, Riesco Island, Chilean Patagonia 15 years after its first assessment, providing ecological insights for this southernmost coastal population. During Austral spring 2018 we recorded indirect signs of huemul presence and five individuals including one yearling across 35 km of trails, estimating a density of 2.3 ind/km(2). Records were distributed in dense secondary forest, at low elevations and slopes. These observations suggest the presence of a breeding population, favored by the establishment of a private reserve and the reduction of livestock, along with the recently established Kawesqar National Park.</t>
  </si>
  <si>
    <t>Moreira-Arce, Dario/ABG-2898-2021; Lopez, Rodrigo/G-4412-2014; Hidalgo-Hermoso, Ezequiel/ABB-6056-2020; Simonetti, Javier/A-4658-2008</t>
  </si>
  <si>
    <t>Moreira Arce, Dario/0000-0002-1188-496X</t>
  </si>
  <si>
    <t>0025-1461</t>
  </si>
  <si>
    <t>1864-1547</t>
  </si>
  <si>
    <t>10.1515/mammalia-2020-0108</t>
  </si>
  <si>
    <t>WOS:000672515500001</t>
  </si>
  <si>
    <t>Muñoz-Cofré, R; Lizana, PA; Cabello, ME; García-Herrera, C; del Sol, M</t>
  </si>
  <si>
    <t>Munoz-Cofre, Rodrigo; Lizana, Pablo A.; Cabello, Maximo Escobar; Garcia-Herrera, Claudio; del Sol, Mariano</t>
  </si>
  <si>
    <t>Association between air flow limitation and body composition in young adults</t>
  </si>
  <si>
    <t>JOURNAL OF PHYSIOLOGICAL ANTHROPOLOGY</t>
  </si>
  <si>
    <t>Background: Body composition (BC) influences respiratory system mechanics, provoking air flow limitation (AFL). The objective of this study was to determine the relationship of AFL in small- and medium-caliber airways with BC in young adults. Methods: Eighty-three individuals were recruited (40 men and 43 women). To determine AFL, the following measurements were taken: forced expiratory volume in the first second (FEV1), forced expiratory flow between 25 and 75% (FEF25-75%), airway resistance (Raw), and specific airway resistance (sRaw). The measured BC variables were body mass index (BMI), body fat percentage (%BF), and fat-free mass (FFM). Binary logistical regression analysis was used to estimate the association between the AFL variables and %BF, BMI, and %FFM, adjusting for weight and gender. Results: Among men, a relationship was observed between Raw and %BF (r = 0.728; p &lt; 0.0001) and sRaw and BMI (r = 0.617; p &lt; 0.0001). Among women, significant relationships were reported between Raw and BMI (r = 0.615; p &lt; 0.0001) and sRaw and BMI (r = 0.556; p &lt; 0.0001). Among participants with a BMI over 30 kg/m(2), higher risks of increased Raw (OR = 26.8; p = 0.009) and sRaw (OR = 9.3; p = 0.002) were observed. Furthermore, higher %BF was associated with greater risks for increased Raw (OR = 14.04; p = 0.030) and sRaw (OR = 4.14; p = 0.028). In contrast, increased %FFM (OR = 0.14; p = 0.025) was a protective factor for lung function. Conclusion: Increased %BF is associated with increased AFL in small-caliber airways. Furthermore, increased %FFM is associated with decreased risk for Raw and sRaw in women. Therefore, evidence indicates that increased %FFM is a protective factor for adequate lung function.</t>
  </si>
  <si>
    <t>Lizana, Pablo/ABE-4996-2020; del sol, Mariano/I-4746-2018; García-Herrera, Claudio/ABE-8991-2020</t>
  </si>
  <si>
    <t>Lizana, Pablo A./0000-0002-9366-6930; Garcia-Herrera, Claudio/0000-0002-1283-8551</t>
  </si>
  <si>
    <t>1880-6805</t>
  </si>
  <si>
    <t>JAN 19</t>
  </si>
  <si>
    <t>10.1186/s40101-021-00252-2</t>
  </si>
  <si>
    <t>WOS:000608988700001</t>
  </si>
  <si>
    <t>Bordone, M; Perez-Ipiña, J; Bolmaro, R; Artigas, A; Monsalve, A</t>
  </si>
  <si>
    <t>Bordone, Matias; Perez-Ipina, Juan; Bolmaro, Raul; Artigas, Alfredo; Monsalve, Alberto</t>
  </si>
  <si>
    <t>Mechanical Properties and Microstructural Aspects of Two High-Manganese Steels with TWIP/TRIP Effects: A Comparative Study</t>
  </si>
  <si>
    <t>This article is focused on the mechanical behavior and its relationship with the microstructural changes observed in two high-manganese steels presenting twinning-induced plasticity (TWIP) and transformation-induced plasticity (TRIP), namely Steel B and Steel C, respectively. Chemical compositions were similar in manganese, but carbon content of Steel B approximately doubles Steel C, which directly impacted on the stacking fault energy (SFE), microstructure and mechanical response of each alloy. Characterization of as-cast condition by optical microscope revealed a fully austenitic microstructure in Steel B and a mixed microstructure in Steel C consisting of austenite grains and thermal-induced (epsilon(t)) martensite platelets. Same phases were observed after the thermo-mechanical treatment and tensile tests, corroborated by means of X-Ray Diffraction (XRD), which confirms no phase transformation in Steel B and TRIP effect in Steel C, due to the strain-induced gamma(FCC)-&gt;epsilon(HCP) transformation that results in an increase in the epsilon-martensite volume fraction. Higher values of ultimate tensile strength, yield stress, ductility and impact toughness were obtained for Steel B. Significant microstructural changes were revealed in tensile specimens as a consequence of the operating hardening mechanisms. Scanning Electron Microscopy (SEM) observations on the tensile and impact test specimens showed differences in fracture micro-mechanisms.</t>
  </si>
  <si>
    <t>Artigas, Alfredo/Y-1185-2019; Perez Ipiña, Juan/IZE-2438-2023; Perez Ipina, Juan E./N-2620-2016; Bolmaro, Raul/H-6520-2016</t>
  </si>
  <si>
    <t>Monsalve, Alberto/0000-0002-5772-8815; Bordone, Matias/0000-0001-9129-0557; Perez Ipina, Juan E./0000-0002-0934-477X; Bolmaro, Raul/0000-0002-8218-6958</t>
  </si>
  <si>
    <t>10.3390/met11010024</t>
  </si>
  <si>
    <t>WOS:000610514400001</t>
  </si>
  <si>
    <t>Spencer-Espinosa, C</t>
  </si>
  <si>
    <t>Spencer-Espinosa, Christian</t>
  </si>
  <si>
    <t>Looking for the Past: History and Change in Traditional Music Studies in Chile (1990-2020)</t>
  </si>
  <si>
    <t>YEARBOOK FOR TRADITIONAL MUSIC</t>
  </si>
  <si>
    <t>This article presents a historical overview of traditional music studies in Chile, pointing out some of the main achievements and problems. It describes the origins of traditional music studies through the establishment of the Chilean Folk Society in 1909 and then offers a periodisation of studies during the twentieth century, followed by a critical review of the preference for facts over processes. Finally, it explores the renaissance of traditional music studies during the last 30 years (1990-2020), analysing 123 dissertations about traditional music and the concepts of tradition they employ. It concludes that Chilean folk studies have changed from a scientific to a humanistic approach, using the idea of tradition as a comprehensive concept and the idea of folklore as behaviour or performance.</t>
  </si>
  <si>
    <t>Spencer, Christian/IWV-4370-2023</t>
  </si>
  <si>
    <t>Spencer, Christian/0000-0002-6599-8436</t>
  </si>
  <si>
    <t>0740-1558</t>
  </si>
  <si>
    <t>2304-3857</t>
  </si>
  <si>
    <t>10.1017/ytm.2020.3</t>
  </si>
  <si>
    <t>WOS:000601300500010</t>
  </si>
  <si>
    <t>Vilches-Herrera, M; Gallardo-Fuentes, S; Aravena-Opitz, M; Yáñez-Sánchez, M; Jiao, HJ; Holz, J; Börner, A; Lühr, S</t>
  </si>
  <si>
    <t>Vilches-Herrera, Marcelo; Gallardo-Fuentes, Sebastian; Aravena-Opitz, Mauricio; Yanez-Sanchez, Mauricio; Jiao, Haijun; Holz, Jens; Boerner, Armin; Luhr, Susan</t>
  </si>
  <si>
    <t>Reduction Over Condensation of Carbonyl Compounds Through a Transient Hemiaminal Intermediate Using Hydrazine</t>
  </si>
  <si>
    <t>JOURNAL OF ORGANIC CHEMISTRY</t>
  </si>
  <si>
    <t>Reduction of carbonyl moieties to the corresponding alcohol using simply hydrazine hydrate has been considerably unfeasible until now due to the well-known condensation reaction. However, herein, we report that using an excess of 20-fold equivalents, the reduction proceeds in excellent yields. H-1 NMR study of the reaction and density functional theory (DFT) calculations indicate that the final fate of the hemiaminal intermediate is crucial to obtain the alcohol or the hydrazone.</t>
  </si>
  <si>
    <t>Herrera, Luis/M-2750-2015</t>
  </si>
  <si>
    <t>Aravena Opitz, Mauricio/0000-0001-8475-144X; Gallardo-Fuentes, Sebastian/0000-0002-5285-8434; Luhr, Susan/0000-0003-0449-0601; Vilches Herrera, Marcelo/0000-0001-8282-8650</t>
  </si>
  <si>
    <t>0022-3263</t>
  </si>
  <si>
    <t>1520-6904</t>
  </si>
  <si>
    <t>JUL 17</t>
  </si>
  <si>
    <t>10.1021/acs.joc.0c01212</t>
  </si>
  <si>
    <t>WOS:000551550500040</t>
  </si>
  <si>
    <t>Huaraca, LF; Chamorro, SA; Hernández, V; Bay-Schmith, E; Villamar, CA</t>
  </si>
  <si>
    <t>Huaraca, Luis F.; Chamorro, Soledad A.; Hernandez, Victor; Bay-Schmith, Enrique; Villamar, Cristina A.</t>
  </si>
  <si>
    <t>Comparative acute toxicity of glyphosate-based herbicide (GBH) to Daphnia magna, Tisbe longicornis, and Emerita analoga</t>
  </si>
  <si>
    <t>JOURNAL OF ENVIRONMENTAL SCIENCE AND HEALTH PART B-PESTICIDES FOOD CONTAMINANTS AND AGRICULTURAL WASTES</t>
  </si>
  <si>
    <t>The aim of this work was to know the differential composition of the dissolved fraction of a glyphosate-based herbicide (GBH), commercialized as GLIFOPAC, when reaches different aquatic environments and its ecotoxicological effects on crustaceans species living in them. Daphnia magna, Tisbe longicornis, and Emerita analoga were exposed to glyphosate herbicide called GLIFOPAC (480 g L-1 of active ingredient or a.i.) at concentrations between 0.5 and 4.8 g a.i. L-1. Acute toxicity in D. magna (48 h-LC50), E. analoga (48 h-LC50), and T. longicornis (96 h-LC50) was studied. Chromatographic analysis of the GBH composition used and water (freshwater/sea water) polluted with GLIFOPAC were evaluated. Results reported acute toxicity (48-96 h-LC50) values for D. magna, E. analoga and T. longicornis of 27.4 mg L-1, 806.4 mg L-1, and 19.4 mg L-1, respectively. Chromatographic evaluation described around 45 substances of the GLIFOPAC composition, such as from the surfactant structures (aliphatic chain with esther/ether group), metabolites (AMPA), and other substances (glucofuranose, glucopyranoside, galactopyranose). This study evidenced differences in the GLIFOPAC composition in freshwater and marine water, which may differentiate the toxic response at the crustacean-level in each aquatic environment.</t>
  </si>
  <si>
    <t>Hernandez, Victor/G-1344-2014; Villamar, Cristina-Alejandra/AAB-4154-2019</t>
  </si>
  <si>
    <t>Hernandez, Victor/0000-0001-5092-9713; Villamar, Cristina Alejandra/0000-0003-4654-0670</t>
  </si>
  <si>
    <t>0360-1234</t>
  </si>
  <si>
    <t>1532-4109</t>
  </si>
  <si>
    <t>JUL 2</t>
  </si>
  <si>
    <t>10.1080/03601234.2020.1758497</t>
  </si>
  <si>
    <t>MAY 2020</t>
  </si>
  <si>
    <t>WOS:000537888100001</t>
  </si>
  <si>
    <t>Hernández-Cabanyero, C; Sanjuán, E; Fouz, B; Pajuelo, D; Vallejos-Vidal, E; Reyes-López, FE; Amaro, C</t>
  </si>
  <si>
    <t>Hernandez-Cabanyero, Carla; Sanjuan, Eva; Fouz, Belen; Pajuelo, David; Vallejos-Vidal, Eva; Reyes-Lopez, Felipe E.; Amaro, Carmen</t>
  </si>
  <si>
    <t>The Effect of the Environmental Temperature on the Adaptation to Host in the Zoonotic Pathogen Vibrio vulnificus</t>
  </si>
  <si>
    <t>FRONTIERS IN MICROBIOLOGY</t>
  </si>
  <si>
    <t>Vibrio vulnificus is a zoonotic pathogen that lives in temperate, tropical and subtropical aquatic ecosystems whose geographical distribution is expanding due to global warming. The species is genetically variable and only the strains that belong to the zoonotic clonal-complex can cause vibriosis in both humans and fish (being its main host the eel). Interestingly, the severity of the vibriosis in the eel and the human depends largely on the water temperature (highly virulent at 28 degrees C, avirulent at 20 degrees C or below) and on the iron content in the blood, respectively. The objective of this work was to unravel the role of temperature in the adaptation to the host through a transcriptomic and phenotypic approach. To this end, we obtained the transcriptome of a zoonotic strain grown in a minimum medium (CM9) at 20, 25, 28, and 37 degrees C, and confirmed the transcriptomic results by RT-qPCR and phenotypic tests. In addition, we compared the temperature stimulon with those previously obtained for iron and serum (from eel and human, respectively). Our results suggest that warm temperatures activate adaptive traits that would prepare the bacteria for host colonization (metabolism, motility, chemotaxis, and the protease activity) and fish septicemia (iron-uptake from transferrin and production of O-antigen of high molecular weight) in a generalized manner, while environmental iron controls the expression of a host-adapted virulent phenotype (toxins and the production of a protective envelope). Finally, our results confirm that beyond the effect of temperature on the V. vulnificus distribution in the environment, it also has an effect on the infectious capability of this pathogen that must be taken into account to predict the real risk of V. vulnificus infection caused by global warming.</t>
  </si>
  <si>
    <t>Reyes-López, Felipe/S-1760-2018; Hernández-Cabanyero, Carla/AAC-3992-2021; Vallejos-Vidal, Eva/R-9606-2019; Fouz, Belen/N-8048-2015; Sanjuan, Eva/B-1433-2014; Amaro, Carmen/K-7873-2014</t>
  </si>
  <si>
    <t>Reyes-Lopez, Felipe E./0000-0002-5001-457X; Vallejos-Vidal, Eva/0000-0002-3091-2700; Pajuelo-Gamez, David/0000-0003-4852-7453; Fouz, Belen/0000-0001-9751-0143; Sanjuan, Eva/0000-0001-7671-0779; Amaro, Carmen/0000-0003-1323-6330; Hernandez-Cabanyero, Carla/0000-0001-7546-5847</t>
  </si>
  <si>
    <t>1664-302X</t>
  </si>
  <si>
    <t>MAR 27</t>
  </si>
  <si>
    <t>10.3389/fmicb.2020.00489</t>
  </si>
  <si>
    <t>WOS:000526970900001</t>
  </si>
  <si>
    <t>Venegas, R; Muñoz-Becerra, K; Candia-Onfray, C; Marco, JF; Zagal, JH; Recio, FJ</t>
  </si>
  <si>
    <t>Venegas, Ricardo; Munoz-Becerra, Karina; Candia-Onfray, Christian; Marco, Jose F.; Zagal, Jose H.; Recio, Francisco J.</t>
  </si>
  <si>
    <t>Experimental reactivity descriptors of M-N-C catalysts for the oxygen reduction reaction</t>
  </si>
  <si>
    <t>Pyrolyzed non-precious metal catalysts (NPMCs) are promising materials to replace platinum-based catalysts in the cathode of the fuel cells. These catalysts present high catalytic activity both in alkaline and acid media for the oxygen reduction reaction (ORR). These catalysts are essentially heterogeneous as they can present different types of active sites. MNx structures have been proposed as the most active for the ORR, similar to those of the MN4 structures of metal porphyrins and phthalocyanines. Several parameters have been proposed as reactivity descriptors to correlate the structure of these materials with their catalytic activity, such as the amount of MNx and of pyridinic nitrogens in the graphitic structure. In this study, we have explored the metal center redox potential of the catalyst as an overall reactivity descriptor. We have investigated this descriptor for pyrolyzed and intact catalysts for the ORR in acid and basic media. We have found that for all catalysts tested, there is a linear correlation between the redox potential of the catalyst and the catalytic activity expressed as (log i)(E)). The activity increases as the redox potential becomes more positive. The correlation gives a straight line of slope close to +.12 V/decade which agrees with the theoretical slope proposed in a previous publication assuming the adsorbed M - O-2 follows a Langmuir isotherm and that the redox potential is directly linked to the M - O-2 binding energy. The Tafel plots present two slopes, at low and high overpotentials. Based on these results, we proposed two different mechanisms. The low Tafel slopes of -60 mV appear at potentials where the surface concentration of M(II) active sites is potential dependent (close to the onset potential). At higher overpotentials the surface coverage of M(II) becomes constant and the slope changes to -0.120 V/decade. (C) 2019 Elsevier Ltd. All rights reserved.</t>
  </si>
  <si>
    <t>Muñoz-Becerra, Karina/GPP-1386-2022; zagal, jose/L-9648-2014; Venegas, Ricardo/U-6376-2019; Candia-Onfray, Christian/AHB-7261-2022; Recio, Javier/GVU-5031-2022; Marco, JF/N-3176-2014</t>
  </si>
  <si>
    <t>Recio, Francisco/0000-0002-5181-3197; Venegas, Ricardo/0000-0001-7440-484X; Onfray, Christian/0000-0001-5485-9169; Munoz-Becerra, Karina/0000-0001-9882-6342; Marco, JF/0000-0002-5147-1449</t>
  </si>
  <si>
    <t>FEB 1</t>
  </si>
  <si>
    <t>10.1016/j.electacta.2019.135340</t>
  </si>
  <si>
    <t>WOS:000506201800001</t>
  </si>
  <si>
    <t>Clarke, D; Oreffice, S; Quintana-Domeque, C</t>
  </si>
  <si>
    <t>Clarke, Damian; Oreffice, Sonia; Quintana-Domeque, Climent</t>
  </si>
  <si>
    <t>The demand for season of birth</t>
  </si>
  <si>
    <t>JOURNAL OF APPLIED ECONOMETRICS</t>
  </si>
  <si>
    <t>We study the determinants of season of birth for married women aged 20-45 in the USA, using birth certificate and Census data. We also elicit the willingness to pay for season of birth through discrete-choice experiments implemented on the Amazon Mechanical Turk platform. We document that the probability of a spring first birth is significantly related to mother's age, education, race, ethnicity, smoking status during pregnancy, receiving WIC (Women, Infants &amp; Children) food benefits during pregnancy, prepregnancy obesity, and the mother working in education, training, and library occupations; whereas among unmarried women without a father acknowledged on their child's birth certificate, all our findings are muted. A summer first birth does not depend on socioeconomic characteristics, although it is the most common birth season in the USA. Among married women aged 20-45, we estimate the average marginal willingness to pay (WTP) for a spring birth to be 877 USD. This implies a willingness to trade-off 560 grams of birth weight in the normal range to achieve a spring birth. Finally, we estimate that an increase of 1,000 USD in the predicted marginal WTP for a spring birth is associated with a 15 pp (percentage points) increase in the probability of obtaining an actual spring birth.</t>
  </si>
  <si>
    <t>Clarke, Damian/Y-7318-2019; Oreffice, Sonia/N-8993-2016</t>
  </si>
  <si>
    <t>Clarke, Damian/0009-0000-9113-2188</t>
  </si>
  <si>
    <t>0883-7252</t>
  </si>
  <si>
    <t>1099-1255</t>
  </si>
  <si>
    <t>10.1002/jae.2711</t>
  </si>
  <si>
    <t>WOS:000478607500006</t>
  </si>
  <si>
    <t>Gulppi, M; Muñoz, L; Vejar, N; Blarney, JM; Gonzalez, E; Azócar, M; Sancy, M; Molina, P; Zagal, JH; Paez, M</t>
  </si>
  <si>
    <t>Gulppi, Miguel; Munoz, Lisa; Vejar, Nelson; Blarney, Jenny M.; Gonzalez, Evelyn; Azocar, Manuel; Sancy, Mamie; Molina, Paulo; Zagal, Jose H.; Paez, Maritza</t>
  </si>
  <si>
    <t>Electrochemical dynamic sensing of hydrogen peroxide in the presence of microorganisms</t>
  </si>
  <si>
    <t>New experimental techniques and protocols are needed to study microbiologically influenced corrosion (MIC). In this work, we studied the capacity of microorganisms to modify their environment in vitro. The methodology involved cyclic voltammetry measurements using carbon electrodes modified with cobalt phthalocyanine, which is a known catalyst for the two-electron reduction of O-2 to give peroxide. MuellerHinton (21 g/L) was used as an electrolyte in a sterilized aqueous medium. The open circuit potential (OCP) and oxygen concentration behaved similarly over time, with generally similar growth curves. However, there were peculiarities that indicated the presence of peroxide and catalase. Catalase activity was demonstrated by comparing the voltammetric responses of the culture medium in the absence and presence of bacterial strains of Escherichia coli (Gram thorn) and Staphylococcus aureus (Gram-), both facultative and catalase positive. With this system, which is capable of discriminating O-2 and hydrogen peroxide, catalase activity is highly evident, and at its maximum at the end of the exponential stage of the growth curve. (C) 2019 Published by Elsevier Ltd.</t>
  </si>
  <si>
    <t>Vejar, Nelson/M-7784-2017; Azocar, Manuel/I-1226-2013; Gulppi, Miguel/KTA-6210-2024; zagal, jose/L-9648-2014; Paez, Maritza/M-2010-2014; Blamey, Jenny/M-2637-2014; Sancy, Mamie/L-6270-2014</t>
  </si>
  <si>
    <t>paez, maritza/0000-0001-5881-884X; Molina, Paulo/0009-0009-1604-1011; Gonzalez, Evelyn/0000-0002-5401-0322; Gulppi, Miguel/0000-0001-6099-4463; Azocar Guzman, Manuel/0000-0003-1098-4659; Sancy, Mamie/0000-0001-9523-2629; munoz, lisa/0000-0002-4588-2620; Vejar, Nelson/0000-0002-9544-2199</t>
  </si>
  <si>
    <t>MAY 10</t>
  </si>
  <si>
    <t>10.1016/j.electacta.2019.03.076</t>
  </si>
  <si>
    <t>WOS:000462774000045</t>
  </si>
  <si>
    <t>Mora, A; Urrutia, M; Cárdenas, R; Angulo, A; Espinoza, M; Díaz, M; Lezana, P</t>
  </si>
  <si>
    <t>Mora, Andres; Urrutia, Matias; Cardenas, Roberto; Angulo, Alejandro; Espinoza, Mauricio; Diaz, Matias; Lezana, Pablo</t>
  </si>
  <si>
    <t>Model-Predictive-Control-Based Capacitor Voltage Balancing Strategies for Modular Multilevel Converters</t>
  </si>
  <si>
    <t>This paper presents two capacitor voltage balancing (CVB) strategies for modular multilevel converter (MMC) applications. Both balancing schemes are based on model predictive control and are designed to efficiently solve a constrained optimal control problem, where the predicted capacitor voltage errors are included in the cost function with the demanded output voltage of a cluster being forced through an equality constraint. The first method proposed in this paper computes specific modulation indexes for each module using the explicit solution of a relaxed version of the original optimization problem. The second approach proposed in this paper reduces the complexity of the original problem by linearizing the objective function and using an optimal sorting network based on a greedy algorithm to solve this approximation. Considering the structures of both solution approaches, they are integrated into modulation schemes based on phase-shifted and level-shifted pulsewidth modulation algorithms, respectively. Experimental results obtained from a nine-cell single-phase MMC prototype demonstrate the good performance achieved with the proposed methodologies, as well as the implementation simplicity offered by the proposed CVB algorithms.</t>
  </si>
  <si>
    <t>Mora, Andres/I-6953-2015; Espinoza, Mauricio/AAH-8647-2019; Lezana, Pablo/E-4605-2015; Angulo, Alejandro/H-3042-2018; Cardenas, Roberto/C-6395-2011; Diaz, Matias/R-7570-2018</t>
  </si>
  <si>
    <t>Lezana, Pablo/0000-0001-8787-5536; Angulo, Alejandro/0000-0002-1695-5106; Cardenas, Roberto/0000-0003-3853-7703; MORA, ANDRES/0000-0002-5606-2783; Diaz, Matias/0000-0003-4489-9532</t>
  </si>
  <si>
    <t>10.1109/TIE.2018.2844842</t>
  </si>
  <si>
    <t>WOS:000449114800075</t>
  </si>
  <si>
    <t>Barra, R; Morgan, C; Sáez-Briones, P; Reyes-Parada, M; Burgos, H; Morales, B; Hernández, A</t>
  </si>
  <si>
    <t>Barra, Rafael; Morgan, Carlos; Saez-Briones, Patricio; Reyes-Parada, Miguel; Burgos, Hector; Morales, Bernardo; Hernandez, Alejandro</t>
  </si>
  <si>
    <t>Facts and hypotheses about the programming of neuroplastic deficits by prenatal malnutrition</t>
  </si>
  <si>
    <t>NUTRITION REVIEWS</t>
  </si>
  <si>
    <t>Studies in rats have shown that a decrease in either protein content or total dietary calories results in molecular, structural, and functional changes in the cerebral cortex and hippocampus, among other brain regions, which lead to behavioral disturbances, including learning and memory deficits. The neurobiological bases underlying those effects depend at least in part on fetal programming of the developing brain, which in turn relies on epigenetic regulation of specific genes via stable and heritable modifications of chromatin. Prenatal malnutrition also leads to epigenetic programming of obesity, and obesity on its own can lead to poor cognitive performance in humans and experimental animals, complicating understanding of the factors involved in the fetal programming of neuroplasticity deficits. This review focuses on the role of epigenetic mechanisms involved in prenatal malnutrition-induced brain disturbances, which are apparent at a later postnatal age, through either a direct effect of fetal programming on brain plasticity or an indirect effect on the brain mediated by the postnatal development of obesity.</t>
  </si>
  <si>
    <t>Hernandez, Alejandro/0000-0001-9222-6522; BURGOS, HECTOR/0000-0001-7705-4347</t>
  </si>
  <si>
    <t>0029-6643</t>
  </si>
  <si>
    <t>1753-4887</t>
  </si>
  <si>
    <t>10.1093/nutrit/nuy047</t>
  </si>
  <si>
    <t>WOS:000456024100001</t>
  </si>
  <si>
    <t>Zapata, PA; Zamora, P; Canales, DA; Quijada, R; Benavente, R; Rabagliati, FM</t>
  </si>
  <si>
    <t>Zapata, Paula A.; Zamora, Paulina; Canales, Daniel A.; Quijada, Raul; Benavente, Rosario; Rabagliati, Franco M.</t>
  </si>
  <si>
    <t>Preparation of nanocomposites based on styrene/(p-methylstyrene) and SiO2 nanoparticles, through a metallocene-MAO initiating system</t>
  </si>
  <si>
    <t>POLYMER BULLETIN</t>
  </si>
  <si>
    <t>The preparation of nanocomposites, including styrene, tertbutylstyrene, and SiO2 nanoparticles, in toluene solution was attempted by in situ polymerization using a cyclopentadienyltitaniumtrichloride-methylaluminoxane, CpTiCl3-MAO, initiator system. SiO2 nanospheres (ca. 20nm in diameter) were synthesized by the sol-gel method. The nanoparticles' surface was modified with hexadecyltrimethoxysilane (Mod-SiO(2)Nps) in order to improve the interactions with the polymer. The polymerization activity increased as the proportion of p-methyl styrene was increased in the initial feed. With respect to the effect of the incorporation of nanoparticles in the reactions, the catalytic activity increased slightly in the presence of 5wt% of nanospheres compared to neat copolymerization without any nanoparticles. Our studies achieved a convenient route through in situ polymerization, avoiding further treatment of the nanocomposite. The thermal stability of the PS increased with nanoparticle incorporation. The effect of SiO2-Npts on the catalyst's activity and on the thermal properties of the resulting nanocomposites was determined.</t>
  </si>
  <si>
    <t>Benavente, Rosario/F-5034-2016; Canales Arévalo, Daniel/HSG-6748-2023</t>
  </si>
  <si>
    <t>QUIJADA, RAUL/0000-0003-0791-6954; Canales, Daniel A./0000-0002-2691-6864; Zapata, Paula Andrea/0000-0003-3361-6226</t>
  </si>
  <si>
    <t>0170-0839</t>
  </si>
  <si>
    <t>1436-2449</t>
  </si>
  <si>
    <t>10.1007/s00289-018-2420-0</t>
  </si>
  <si>
    <t>WOS:000457419700029</t>
  </si>
  <si>
    <t>Sánchez, J; Espinos, C; Pooch, F; Tenhu, H; Pizarro, GDC; Oyarzún, DP</t>
  </si>
  <si>
    <t>Sanchez, Julio; Espinos, Carolina; Pooch, Fabian; Tenhu, Heikki; Pizarro, Guadalupe del C.; Oyarzun, Diego P.</t>
  </si>
  <si>
    <t>Poly(N,N-dimethylaminoethyl methacrylate) for removing chromium (VI) through polymer-enhanced ultrafiltration technique</t>
  </si>
  <si>
    <t>REACTIVE &amp; FUNCTIONAL POLYMERS</t>
  </si>
  <si>
    <t>This work is focused on the removal of Cr(VI) ions from aqueous solution using polymer-enhanced ultrafiltration (PEUF) techniques with water-soluble poly(N,N-dimethylaminoethyl methacrylate), PDMAEMA, used as sorbent. The polymer was prepared by reversible addition-fragmentation chain transfer (RAFT) polymerization at different reaction times, characterized by size exclusion chromatography (SEC) and proton nuclear magnetic resonance (H-1 NMR). The sorption of Cr(VI) was studied by PEUF as a function of pH, the polymer:Cr(VI) molar ratio, and the presence of interfering ions. The PEUF-enrichment mode was used to saturate the polymer and further determine the release of Cr(VI) and regeneration of the polymer using sorption-desorption process. The RAFT polymerization showed a yield in the range 46% to 79% (determined by H-1 NMR) for polymers with molecular weight (M-n) between 28 and 195 kg mol(-1). The polydispersity estimated by SEC was between 1.1 and 1.8. The capacity of PDMAEMA as sorbent of Cr(VI), by the PEUF technique showed an efficient removal of Cr(VI) (100%, 25 mg L-1 in the feed) at pH 4 using polymer:Cr molar ratio of 40:1. The presence of interfering ions does not significantly decrease the retention capacity of PDMAEMA. Finally the results indicated that PDMAEMA can release Cr(VI) and be regenerated.</t>
  </si>
  <si>
    <t>Oyarzun, Diego/MTF-4062-2025; Tenhu, Heikki/ABB-7934-2021; Sanchez, Julio/AEO-4360-2022; PIZARRO, GUADALUPE/V-3353-2017</t>
  </si>
  <si>
    <t>Sanchez, Julio/0000-0003-4245-0096; Tenhu, Heikki/0000-0001-5957-4541; Pooch, Fabian/0000-0003-1925-1072</t>
  </si>
  <si>
    <t>1381-5148</t>
  </si>
  <si>
    <t>1873-166X</t>
  </si>
  <si>
    <t>10.1016/j.reactfunctpolym.2018.04.002</t>
  </si>
  <si>
    <t>WOS:000433649000008</t>
  </si>
  <si>
    <t>Ramírez-Vélez, R; Correa-Bautista, JE; García-Hermoso, A; Tordecilla-Sanders, A; Prieto-Benavides, DH; Sandoval-Cuellar, C; González-Ruíz, K; Cobo-Mejía, EA; Castellanos-Vega, RD</t>
  </si>
  <si>
    <t>Ramirez-Velez, Robinson; Correa-Bautista, Jorge E.; Garcia-Hermoso, Antonio; Tordecilla-Sanders, Alejandra; Prieto-Benavides, Daniel H.; Sandoval-Cuellar, Carolina; Gonzalez-Ruiz, Katherine; Andrea Cobo-Mejia, Elisa; del Pilar Castellanos-Vega, Rocio</t>
  </si>
  <si>
    <t>Muscular Strength Attenuates Adverse Effects Of Overweight On Cardiometabolic Risk Factors But Not In Its Counterparts With Higher Fat Among Collegiate Students</t>
  </si>
  <si>
    <t>MEDICINE AND SCIENCE IN SPORTS AND EXERCISE</t>
  </si>
  <si>
    <t>Annual Meeting of the American-College-of-Sports-Medicine (ACSM)</t>
  </si>
  <si>
    <t>MAY 29-JUN 02, 2018</t>
  </si>
  <si>
    <t>Minneapolis, MN</t>
  </si>
  <si>
    <t>Amer Coll Sports Med</t>
  </si>
  <si>
    <t>García-Hermoso, Antonio/ADU-2591-2022; Tordecilla Sanders, Maria Alejandra/O-6276-2017; Sandoval-Cuellar, Carolina/AAP-8957-2021; Correa-Bautista, Jorge/N-2741-2015; González-Ruíz, Katherine/CAA-4624-2022; Castellanos Vega, Rocío del Pilar/ABB-2550-2021; Ramírez-Vélez, Robinson/D-5311-2016; Garcia-Hermoso, Antonio/P-1857-2017</t>
  </si>
  <si>
    <t>Garcia-Hermoso, Antonio/0000-0002-1397-7182</t>
  </si>
  <si>
    <t>WOS:000456870501206</t>
  </si>
  <si>
    <t>Alvarez, AC; García, GC; Sarkis, M</t>
  </si>
  <si>
    <t>Alvarez, Amaury C.; Garcia, Galina C.; Sarkis, Marcus</t>
  </si>
  <si>
    <t>The ultra weak variational formulation for the modified mild-slope equation</t>
  </si>
  <si>
    <t>APPLIED MATHEMATICAL MODELLING</t>
  </si>
  <si>
    <t>This paper is devoted to evaluate a new alternative numerical method to capture accurately the diffraction-refraction process of waves in coastal areas. The modified mild-slope equation (MMSE) has been used to predict the water wave transformation when waves approach the shoreline. We perform numerical simulations in order to illustrate the efficiency of the ultra weak variational formulation (UWVF) method in comparison with the finite elements method (FEM). The UWVF method uses plane wave solutions on each element and has been shown to reduce the computational complexity at high wave numbers. We also present an alternative method to seek the angle of attack of the wave front on the domain boundary and show that the UWVF method reproduces effectively the numerical experimental data. We compare the FEM and the UWVF method for the MMSE and show that the UWVF method solves some of the difficulties that arise when the FEM is applied. (C) 2017 Elsevier Inc. All rights reserved.</t>
  </si>
  <si>
    <t>Alvarez, A./AAJ-5204-2020; Garcia, Galina/U-1019-2017</t>
  </si>
  <si>
    <t>Alvarez Cruz, Amaury/0000-0002-5513-7974; Garcia, Galina C./0000-0003-2188-6368</t>
  </si>
  <si>
    <t>0307-904X</t>
  </si>
  <si>
    <t>1872-8480</t>
  </si>
  <si>
    <t>10.1016/j.apm.2017.07.018</t>
  </si>
  <si>
    <t>WOS:000415780400003</t>
  </si>
  <si>
    <t>Ramírez-Vélez, R; Correa-Bautista, JE; González-Ruíz, K; Tordecilla-Sanders, A; García-Hermoso, A; Schmidt-RioValle, J; González-Jiménez, E</t>
  </si>
  <si>
    <t>Ramirez-Velez, Robinson; Enrique Correa-Bautista, Jorge; Gonzalez-Ruiz, Katherine; Tordecilla-Sanders, Alejandra; Garcia-Hermoso, Antonio; Schmidt-RioValle, Jacqueline; Gonzalez-Jimenez, Emilio</t>
  </si>
  <si>
    <t>The Role of Body Adiposity Index in Determining Body Fat Percentage in Colombian Adults with Overweight or Obesity</t>
  </si>
  <si>
    <t>The aim of this study is to investigate the accuracy of body adiposity index (BAI) as a convenient tool for assessing body fat percentage (BF%) in a sample of adults with overweight/obesity using bioelectrical impedance analysis (BIA). The study population was composed of 96 volunteers (60% female, mean age 40.6 +/- 7.5 years old). Anthropometric characteristics (body mass index, height, waist-to-height ratio, hip and waist circumference), socioeconomic status, and diet were assessed, and BF% was measured by BIA-BF% and by BAI-BF%. Pearson's correlation coefficient was used to evaluate the correlation between BAI-BF% and BF% assessed by BIA-BF%, while controlling for potential confounders. The concordance between the BF% measured by both methods was obtained with a paired sample t-test, Lin's concordance correlation coefficient, and Bland-Altman plot analysis. Overall, the correlation between BF% obtained by BIA-BF% and estimated by BAI-BF% was r = 0.885, p &lt; 0.001, after adjusting for potential confounders (age, socioeconomic status, and diet). Lin's concordance correlation coefficient was moderate in both sexes. In the men, the paired t-test showed a significant mean difference in BF% between the methods (-5.6 (95% CI -6.4 to -4.8); p &lt; 0.001). In the women, these differences were (-3.6 (95% CI -4.7 to -2.5); p &lt; 0.001). Overall, the bias of the BAI-BF% was -4.8 +/- 3.2 BF%; p &lt; 0.001), indicating that the BAI-BF% method significantly underestimated the BF% in comparison with the reference method. In adults with overweight/obesity, the BAI presents low agreement with BF% measured by BIA-BF%; therefore, we conclude that BIA-BF% is not accurate in either sex when body fat percentage levels are low or high. Further studies are necessary to confirm our findings in different ethnic groups.</t>
  </si>
  <si>
    <t>García-Hermoso, Antonio/ADU-2591-2022; González-Ruíz, Katherine/CAA-4624-2022; Correa-Bautista, Jorge Enrique/JDD-3131-2023; Schmidt-Riovalle, Jacqueline/I-6333-2017; Correa-Bautista, Jorge Enrique/N-2741-2015; Gonzalez-Jimenez, Emilio/I-6039-2017; Tordecilla-Sanders, Alejandra/O-6276-2017; Ramirez-Velez, Robinson/D-5311-2016; Garcia-Hermoso, Antonio/P-1857-2017</t>
  </si>
  <si>
    <t>Schmidt-Riovalle, Jacqueline/0000-0003-2775-0058; Correa-Bautista, Jorge Enrique/0000-0002-0646-2316; Gonzalez-Ruiz, Katherine/0000-0001-7518-0761; Gonzalez-Jimenez, Emilio/0000-0001-5103-6028; Tordecilla-Sanders, Alejandra/0000-0002-7461-8124; Ramirez-Velez, Robinson/0000-0003-3075-6960; Garcia-Hermoso, Antonio/0000-0002-1397-7182</t>
  </si>
  <si>
    <t>10.3390/ijerph14101093</t>
  </si>
  <si>
    <t>WOS:000414763200002</t>
  </si>
  <si>
    <t>SUBJECTIVE WELL-BEING AND LEVELS OF CLINICAL SYMPTOMATOLOGY IN A TRANSWOMEN SAMPLE AND MEN WHO HAVE SEX WITH MEN IN CHILE</t>
  </si>
  <si>
    <t>Gomez, Fabiola/0000-0002-8390-9476; Barrientos, Jaime/0000-0001-8497-3552</t>
  </si>
  <si>
    <t>E286</t>
  </si>
  <si>
    <t>10.1016/j.jsxm.2017.04.376</t>
  </si>
  <si>
    <t>WOS:000424205700287</t>
  </si>
  <si>
    <t>García-Hermoso, A; González-Ruiz, K; Triana-Reina, HR; Olloquequi, J; Ramírez-Vélez, R</t>
  </si>
  <si>
    <t>Garcia-Hermoso, Antonio; Gonzalez-Ruiz, Katherine; Reynaldo Triana-Reina, Hector; Olloquequi, Jordi; Ramirez-Velez, Robinson</t>
  </si>
  <si>
    <t>Effects of Exercise on Carotid Arterial Wall Thickness in Obese Pediatric Populations: A Meta-Analysis of Randomized Controlled Trials</t>
  </si>
  <si>
    <t>CHILDHOOD OBESITY</t>
  </si>
  <si>
    <t>Background: In pediatric populations, the use of carotid intima-media thickness (IMT) as a marker of cardiovascular risk has increased. However, previous studies examining the effects of exercise training on arterial structure and function in obese children and adolescents have shown inconsistent findings. The primary aim of this systematic review and meta-analysis is to expand on the current body of literature by providing a quantitative estimate of the change in carotid IMT following exercise training as well as to provide an exploratory analysis of potential moderators associated with the variation in response to an exercise training intervention in overweight and obese youth. Materials and Methods: A computerized search was made using three databases. The analysis was restricted to studies that examined the effect of exercise interventions on carotid IMT in pediatric obesity (6-18-year-olds). Hedges' g and 95% confidence intervals (CIs) were calculated. Results: Six randomized controlled trials (303 youths) were included. Exercise was associated with a small-to-moderate but significant reduction in carotid IMT (g = -0.306; 95% CI -0.540 to -0.072; p = 0.011). Likewise, exercise program duration per week significantly influenced the effect of exercise on carotid IMT (beta = -0.060; p = 0.015). Conclusions: Exercise seems to reduce carotid IMT in childhood obesity. Therefore, encouraging obese pediatric individuals to become physically active can lead to favorable changes in the arterial wall.</t>
  </si>
  <si>
    <t>González-Ruíz, Katherine/CAA-4624-2022; García-Hermoso, Antonio/ADU-2591-2022; Triana-Reina, Héctor/JMP-5055-2023; Olloquequi, Jordi/ITR-9680-2023; Ramirez-Velez, Robinson/D-5311-2016; Garcia-Hermoso, Antonio/P-1857-2017</t>
  </si>
  <si>
    <t>Gonzalez-Ruiz, Katherine/0000-0001-7518-0761; Olloquequi, Jordi/0000-0002-6492-2739; Ramirez-Velez, Robinson/0000-0003-3075-6960; TRIANA-REINA, HECTOR REYNALDO/0000-0002-6334-7082; Garcia-Hermoso, Antonio/0000-0002-1397-7182</t>
  </si>
  <si>
    <t>2153-2168</t>
  </si>
  <si>
    <t>2153-2176</t>
  </si>
  <si>
    <t>10.1089/chi.2016.0265</t>
  </si>
  <si>
    <t>WOS:000398713100007</t>
  </si>
  <si>
    <t>Pineda, C; Cortés, CE; Jara-Moroni, P; Moreno, E</t>
  </si>
  <si>
    <t>Pineda, Cristobal; Cortes, Cristian E.; Jara-Moroni, Pedro; Moreno, Eduardo</t>
  </si>
  <si>
    <t>Integrated traffic-transit stochastic equilibrium model with park-and-ride facilitiesd</t>
  </si>
  <si>
    <t>TRANSPORTATION RESEARCH PART C-EMERGING TECHNOLOGIES</t>
  </si>
  <si>
    <t>We propose an Integrated Stochastic Equilibrium model that considers both private automobile traffic and transit networks to incorporate the interactions between these two modes in terms of travel time and generalized costs. In addition, in the general version of the model, travelers are allowed to switch from personal vehicles to mass transit at specific locations in a park-and-ride scheme. The assignment for traffic equilibrium is based on the Markovian Traffic Equilibrium model of Baillon and Cominetti (2008), whereas the equilibrium of the transit network is represented by the Stochastic Transit Equilibrium model of Cortes et al. (2013). Stochastic travel decisions are made at the node level, thereby avoiding the enumeration of routes or strategies and incorporating various perception and uncertainty issues. We propose a Method-of-Successive-Averages algorithm to calculate an Integrated Stochastic Equilibrium and conduct numerical experiments to highlight the effect of stochasticity on equilibrium flows and travel times. Our experiments show that higher stochasticity implies greater dispersion of equilibrium flows and longer expected travel times. Results on a real network with mode combination and park and ride facilities provide insights regarding the use of park and ride in terms of number and location, potential modal share of the combined mode option under different circumstances, and travel time impact due to the implementation of such park and ride facilities in a real setting. (C) 2016 Elsevier Ltd. All rights reserved.</t>
  </si>
  <si>
    <t>Cortes, Cristian/A-1491-2010; Moreno, Eduardo/B-2541-2008; Jara-Moroni, Pedro/C-2269-2013</t>
  </si>
  <si>
    <t>Jara-Moroni, Pedro/0000-0001-5760-388X; Moreno, Eduardo/0000-0002-3404-8294; Pineda, Cristobal/0000-0003-4295-6943; Cortes, Cristian E./0000-0001-7041-4602</t>
  </si>
  <si>
    <t>0968-090X</t>
  </si>
  <si>
    <t>10.1016/j.trc.2016.06.021</t>
  </si>
  <si>
    <t>WOS:000385602200006</t>
  </si>
  <si>
    <t>Sourtzinos, P; Velastin, SA; Jara, M; Zegers, P; Makris, D</t>
  </si>
  <si>
    <t>Hua, G; Jegou, H</t>
  </si>
  <si>
    <t>Sourtzinos, Panos; Velastin, Sergio A.; Jara, Miguel; Zegers, Pablo; Makris, Dimitrios</t>
  </si>
  <si>
    <t>People Counting in Videos by Fusing Temporal Cues from Spatial Context-Aware Convolutional Neural Networks</t>
  </si>
  <si>
    <t>COMPUTER VISION - ECCV 2016 WORKSHOPS, PT II</t>
  </si>
  <si>
    <t>14th European Conference on Computer Vision (ECCV)</t>
  </si>
  <si>
    <t>OCT 08-16, 2016</t>
  </si>
  <si>
    <t>Amsterdam, NETHERLANDS</t>
  </si>
  <si>
    <t>We present an efficient method for people counting in video sequences from fixed cameras by utilising the responses of spatially context-aware convolutional neural networks (CNN) in the temporal domain. For stationary cameras, the background information remains fairly static, while foreground characteristics, such as size and orientation may depend on their image location, thus the use of whole frames for training a CNN improves the differentiation between background and foreground pixels. Foreground density representing the presence of people in the environment can then be associated with people counts. Moreover the fusion, of the responses of count estimations, in the temporal domain, can further enhance the accuracy of the final count. Our methodology was tested using the publicly available Mall dataset and achieved a mean deviation error of 0.091.</t>
  </si>
  <si>
    <t>Zegers, Pablo/AAY-7512-2020</t>
  </si>
  <si>
    <t>Makris, Dimitrios/0000-0001-6170-0236</t>
  </si>
  <si>
    <t>978-3-319-48881-3; 978-3-319-48880-6</t>
  </si>
  <si>
    <t>10.1007/978-3-319-48881-3_46</t>
  </si>
  <si>
    <t>WOS:000389501700046</t>
  </si>
  <si>
    <t>Carvalho-Santos, VL; Elías, RG; Nunez, AS</t>
  </si>
  <si>
    <t>Carvalho-Santos, V. L.; Elias, R. G.; Nunez, A. S.</t>
  </si>
  <si>
    <t>Spin wave vortex from the scattering on Bloch point solitons</t>
  </si>
  <si>
    <t>ANNALS OF PHYSICS</t>
  </si>
  <si>
    <t>The interaction of a spin wave with a stationary Bloch point is studied. The topological non-trivial structure of the Bloch point manifests in the propagation of spin waves endowing them with a gauge potential that resembles the one associated with the interaction of a magnetic monopole and an electron. By pursuing this analogy, we are led to the conclusion that the scattering of spin waves and Bloch points is accompanied by the creation of a magnon vortex. Interference between such a vortex and a plane wave leads to dislocations in the interference pattern that can be measurable by means of magnon holography. (C) 2015 Elsevier Inc. All rights reserved.</t>
  </si>
  <si>
    <t>Elias, Ricardo/F-2608-2012; Núñez, Alvaro/F-4572-2011; Carvalho-Santos, Vagson/E-8806-2013</t>
  </si>
  <si>
    <t>Carvalho-Santos, Vagson/0000-0002-2759-2152; Nunez, Alvaro S./0000-0002-6804-9703</t>
  </si>
  <si>
    <t>0003-4916</t>
  </si>
  <si>
    <t>1096-035X</t>
  </si>
  <si>
    <t>10.1016/j.aop.2015.10.005</t>
  </si>
  <si>
    <t>WOS:000365834900022</t>
  </si>
  <si>
    <t>García-Melián, J; Iturriaga, L; Quoirin, HR</t>
  </si>
  <si>
    <t>Garcia-Melian, J.; Iturriaga, L.; Ramos Quoirin, H.</t>
  </si>
  <si>
    <t>A Priori Bounds and Existence of Solutions for Slightly Superlinear Elliptic Problems</t>
  </si>
  <si>
    <t>ADVANCED NONLINEAR STUDIES</t>
  </si>
  <si>
    <t>We consider the semilinear elliptic problem {-Delta u = a(x)f(u) in Omega u = 0 on partial derivative Omega where a is a continuous function which may change sign and f is superlinear but does not satisfy the standard Ambrosetti-Rabinowitz condition. We show that if f is regularly varying of index one at infinity then the above problem has a positive solution, provided a satisfies some additional assumptions. Our proof uses an abstract theorem due to L. Jeanjean on critical points of functionals with mountain-pass structure, and it relies on the obtention of a priori bounds for positive solutions.</t>
  </si>
  <si>
    <t>Iturriaga, Leonelo/F-6339-2012</t>
  </si>
  <si>
    <t>Iturriaga, Leonelo/0000-0001-7621-7976</t>
  </si>
  <si>
    <t>1536-1365</t>
  </si>
  <si>
    <t>2169-0375</t>
  </si>
  <si>
    <t>WOS:000365969100009</t>
  </si>
  <si>
    <t>Pitzschel, K; Bachmann, J; Martens, S; Montero-Moreno, JM; Kimling, J; Meier, G; Escrig, J; Nielsch, K; Görlitz, D</t>
  </si>
  <si>
    <t>Pitzschel, Kristina; Bachmann, Julien; Martens, Stephan; Montero-Moreno, Josep M.; Kimling, Judith; Meier, Guido; Escrig, Juan; Nielsch, Kornelius; Goerlitz, Detlef</t>
  </si>
  <si>
    <t>Magnetic reversal of cylindrical nickel nanowires with modulated diameters</t>
  </si>
  <si>
    <t>JOURNAL OF APPLIED PHYSICS</t>
  </si>
  <si>
    <t>Anodic alumina membranes with modulated pore diameters serve as template for the preparation of magnetic nanowires. Filling the pores with Ni by electrodeposition delivers wires replicating the variation in modulation in pore diameter from 80 to 160 nm. Such structures are of interest for the observation and control of magnetic domain wall motion. Single-object characterization utilizing the magneto-optical Kerr effect magnetometry evidences a strong correlation between geometric parameters and magnetic properties. Ensemble magnetization measurements with a superconducting quantum interference device show the effect of dipolar interactions. Analytical models can reproduce the lowering of coercivity due to the presence of enhanced stray fields within the array. Magnetic force microscopy at individual wires indicates the presence of a strong stray field in the vicinity of the diameter change. The preparation technique demonstrates a mass production method of nano-objects with designed geometric irregularities, which could be used to control the motions of magnetic domain walls. (C) 2011 American Institute of Physics. [doi:10.1063/1.3544036]</t>
  </si>
  <si>
    <t>Görlitz, Detlef/D-8530-2012; Moreno, Josep/E-4920-2010; Nielsch, Kornelius/S-3196-2016; Bachmann, Julien/G-4381-2011; Escrig, Juan/N-4304-2015</t>
  </si>
  <si>
    <t>Bachmann, Julien/0000-0001-6480-6212; Escrig, Juan/0000-0002-3958-8185; Nielsch, Kornelius/0000-0003-2271-7726</t>
  </si>
  <si>
    <t>0021-8979</t>
  </si>
  <si>
    <t>1089-7550</t>
  </si>
  <si>
    <t>10.1063/1.3544036</t>
  </si>
  <si>
    <t>WOS:000287366000055</t>
  </si>
  <si>
    <t>Parada, V; Ferland, JA; Arias, M; Schwarzenberg, P; Vargas, LS</t>
  </si>
  <si>
    <t>Parada, Victor; Ferland, Jacques A.; Arias, Miguel; Schwarzenberg, Pablo; Vargas, Luis S.</t>
  </si>
  <si>
    <t>Heuristic Determination of Distribution Trees</t>
  </si>
  <si>
    <t>IEEE TRANSACTIONS ON POWER DELIVERY</t>
  </si>
  <si>
    <t>Electrical distribution networks develop configurations that deviate from the original long-term plan. The Distribution Trees Problem (DTP) is one means of measuring this development, which finds the deviation between long-term planning and the optimal topology for the actual conditions of the network. Each feasible solution corresponds to a set of directed out-trees rooted at the substations. DTP takes into account characteristics of the substations and consumer demand. It also determines the optimal topology of the network to distribute electrical energy at minimum cost. In this paper, we use two search techniques to solve this problem: 1) simulated annealing and 2) tabu search. Nine different problems within 500 to 30 000 consumer points and 20 substations were used to calibrate the parameters of both methods and to compare their efficiency. The numerical results indicate that the efficiency of simulated annealing decreases as the problem size increases, and that tabu search is more efficient than simulated annealing.</t>
  </si>
  <si>
    <t>Parada, Victor/M-5840-2014; Schwarzenberg, Pablo/GXH-4698-2022; vargas, luis/A-2109-2011</t>
  </si>
  <si>
    <t>Schwarzenberg, Pablo/0000-0002-7753-353X; vargas, Luis/0000-0001-6539-1768</t>
  </si>
  <si>
    <t>0885-8977</t>
  </si>
  <si>
    <t>1937-4208</t>
  </si>
  <si>
    <t>10.1109/TPWRD.2009.2033929</t>
  </si>
  <si>
    <t>WOS:000276036700036</t>
  </si>
  <si>
    <t>García, KP; Rubilar, PS; Vargas, MF; Cárdenas, H; Rios, MA; Orihuela, PA; Vargas, RH; Fuhrer, J; Heckels, JE; Christodoulides, M; Velásquez, LA</t>
  </si>
  <si>
    <t>Garcia, Katherine P.; Rubilar, Paulina S.; Vargas, Macarena F.; Cardenas, Hugo; Rios, Miguel A.; Orihuela, Pedro A.; Vargas, Renato H.; Fuhrer, Juan; Heckels, John E.; Christodoulides, Myron; Velasquez, Luis A.</t>
  </si>
  <si>
    <t>Nitric oxide is not involved in Neisseria gonorrhoeae-induced cellular damage of human Fallopian tubes in vitro</t>
  </si>
  <si>
    <t>BIOLOGICAL RESEARCH</t>
  </si>
  <si>
    <t>In the present study, we investigated whether cellular damage, as demonstrated by lactate dehydrogenase (LDH) release in the human fallopian tube (FT) infected by Neisseria gonorrhoeae (Ngo), correlated with high levels of nitric oxide synthase (NOS) mRNA and enzyme activity. Infection with Ngo induced a significant increase (similar to 35-fold) in mRNA transcripts of the inducible isoform of NOS. Paradoxically, a reduction in NOS enzyme activity was observed in infected cultures, suggesting that gonococcal infection possibly influences translation of iNOS mRNA to the enzyme. In addition, treatment with the NOS inhibitor TRIM did not prevent gonococcal-induced cellular damage. In contrast, the addition of the inhibitor L-NAME induced a 40% reduction in LDH release, which correlated with a similar to 50% reduction in gonococcal numbers. Moreover, treatment of normal FT explants with an exogenous NO donor, SNAP, did not induce significant cellular damage. Taken together, our data suggest that NO does not contribute to cellular damage during infection of the human FT with Neisseria gonorrhoeae.</t>
  </si>
  <si>
    <t>Christodoulides, Myron/C-6699-2011</t>
  </si>
  <si>
    <t>Christodoulides, Myron/0000-0002-9663-4731; Garcia, Katherine/0000-0003-0443-604X; Velasquez, Luis/0000-0002-9479-1792</t>
  </si>
  <si>
    <t>0716-9760</t>
  </si>
  <si>
    <t>0717-6287</t>
  </si>
  <si>
    <t>WOS:000276887500006</t>
  </si>
  <si>
    <t>Peña, R; Cárdenas, R; Reyes, E; Clare, J; Wheeler, P</t>
  </si>
  <si>
    <t>Pena, Ruben; Cardenas, Roberto; Reyes, Eduardo; Clare, Jon; Wheeler, Patrick</t>
  </si>
  <si>
    <t>A Topology for Multiple Generation System With Doubly Fed Induction Machines and Indirect Matrix Converter</t>
  </si>
  <si>
    <t>In this paper, a topology for a grid-connected generation system, based on two doubly fed induction machines, is presented. The proposed scheme is implemented using an indirect matrix converter (IMC) consisting of an input stage, a three-to-two matrix converter, and two output stages consisting of a pair of voltage source inverters. The input stage is connected to the grid and provides the required dc voltage for the output stages. Space vector modulation (SVM) is used for the input stage producing the maximum dc voltage, with unity power factor operation at the IMC grid-side input. Each of the output converters is connected to the rotor of a DFIM. The rotor currents of each machine are vector controlled for fast dynamic response and tight torque control. Moreover, the SVM algorithm used for the inverters is designed to provide soft switching operation in the input converter. Simulation and experimental results obtained from a 2.5-kW experimental prototype are presented. Steady-state and transient operation is discussed with the system running at below and above synchronous speed. The results demonstrate the feasibility of the proposed scheme for variable speed energy systems.</t>
  </si>
  <si>
    <t>Clare, Jon/M-2032-2018; Cardenas, Roberto/C-6395-2011</t>
  </si>
  <si>
    <t>Clare, Jon/0000-0001-8243-4280; Cardenas, Roberto/0000-0003-3853-7703; Wheeler, Patrick/0000-0003-0307-581X</t>
  </si>
  <si>
    <t>10.1109/TIE.2009.2028353</t>
  </si>
  <si>
    <t>WOS:000269838700046</t>
  </si>
  <si>
    <t>De La Rosa, D; Olivares, S; Lima, L; Diaz, O; Moyano, S; Bastías, JM; Muñoz, O</t>
  </si>
  <si>
    <t>De La Rosa, D.; Olivares, S.; Lima, L.; Diaz, O.; Moyano, S.; Bastias, J. M.; Munoz, O.</t>
  </si>
  <si>
    <t>Estimate of mercury and methyl mercury intake associated with fish consumption from Sagua la Grande River, Cuba</t>
  </si>
  <si>
    <t>FOOD ADDITIVES &amp; CONTAMINANTS PART B-SURVEILLANCE</t>
  </si>
  <si>
    <t>This paper provides an estimate of the weekly intake of total mercury (THg) and methyl mercury (MeHg) from consumption of fish from the Sagua la Grande River, Villa Clara, Cuba, by determining the THg levels in different fish species. The levels varied between 0.143 and 0.484 mg g(-1) on a fresh weight basis. None of the analysed fish was found to have levels above the national and international regulatory levels, although THg levels over 0.2 mu g g(-1), the threshold concentration established by the World Health Organization (WHO) for the consumption by vulnerable population groups, were found in 75% of samples. The MeHg level was found to be 84% of the THg content. A Food Frequency Survey was given to 127 townspeople to estimate river fish consumption. The weekly intake of MeHg was found to be greater than the value established by the provisional tolerable weekly intake (PTWI) in 50% of children, in 80% of pregnant women, and in 75% of women in childbearing age. These weekly intakes can represent an important risk to the population's health, especially for vulnerable groups.</t>
  </si>
  <si>
    <t>Lima, Lázaro/GLT-2990-2022; Munoz, Ociel/K-2951-2016</t>
  </si>
  <si>
    <t>Munoz, Ociel/0000-0002-2445-4336; Lima Cazorla, Lazaro/0000-0003-0900-9602</t>
  </si>
  <si>
    <t>1939-3210</t>
  </si>
  <si>
    <t>1939-3229</t>
  </si>
  <si>
    <t>10.1080/02652030802609614</t>
  </si>
  <si>
    <t>WOS:000269316700001</t>
  </si>
  <si>
    <t>Baeza, P; Villarroel, M; Avila, P; Agudo, AL; Delmon, B; Gil-Llambías, FJ</t>
  </si>
  <si>
    <t>Baeza, P.; Villarroel, M.; Avila, P.; Agudo, A. Lopez; Delmon, B.; Gil-Llambias, F. J.</t>
  </si>
  <si>
    <t>Spillover hydrogen mobility during Co-Mo catalyzed HEIS in industrial-like conditions</t>
  </si>
  <si>
    <t>APPLIED CATALYSIS A-GENERAL</t>
  </si>
  <si>
    <t>The work concerns the spillover hydrogen (H-so) mobility between Co9S8 and MoS2 and the corresponding synergetic effects in gas-oil hydrodesulfurization (HDS), when a solid material separates the partners, either as a powder or a monolith surface. The influences of the distance (0-10 mm) between Co9S8 and MoS2 and the nature of the separator (gamma-Al2O3, SiO2, carbon, MgSiO3 and two silica-aluminas) on the synergism were studied. A correlation exists between the value of the isoelectric point (IEP) of the separator surface and the enhancement of HDS activity. Inferring that the synergetic effect is due to hydrogen spillover, this shows that the IEP is an important parameter controlling spillover. To our knowledge, this is the first time the IEP of surfaces has been shown to have a direct effect on the spillover of hydrogen. The other results confirm that the remote control model is able to explain the synergism detected in this study. (c) 2006 Elsevier B.V. All rights reserved.</t>
  </si>
  <si>
    <t>Avila, Pedro/S-7588-2017</t>
  </si>
  <si>
    <t>Baeza Chandia, Patricio/0000-0003-1613-2860; Avila, Pedro/0000-0002-0212-941X</t>
  </si>
  <si>
    <t>0926-860X</t>
  </si>
  <si>
    <t>1873-3875</t>
  </si>
  <si>
    <t>10.1016/j.apcata.2006.02.029</t>
  </si>
  <si>
    <t>WOS:000237748700013</t>
  </si>
  <si>
    <t>Briceño, M; Escudey, M; Galindo, G; Borchardt, D; Chang, A</t>
  </si>
  <si>
    <t>Characterization of chemical phosphorus forms in volcanic soils using 31P-NMR spectroscopy</t>
  </si>
  <si>
    <t>COMMUNICATIONS IN SOIL SCIENCE AND PLANT ANALYSIS</t>
  </si>
  <si>
    <t>Phosphorus (P) is rapidly immobilized in Chilean volcanic soils and its availability to plant is greatly reduced. Chemical forms of P accumulated in soils would eventually determine its availability of plants and its potential to cause pollution in water bodies down stream. To characterize different chemical P species, we carried out chemical fractionation and P-31-Nuclear Magnetic Resonance (NMR) spectroscopy analyses for 10 volcanic ash-derived soils in central southern Chile. Phosphorus ill the alkaline extracts of soils at 0-15 cm and 15-30cm depth was characterized by P-31-NMR. The P-31-NMR results indicate that inorganic-P and monoester-P are the most important P forms in all soils. The diester-P and pyrophosphate were also found in some soils. The patterns of P distribution in the 0-15 and 15-30cm were essentially the same; the signal intensities were usually stronger in the upper samples. The amounts of organic- and inorganic-P determined by P-31-NMR method correlate with those by the chemical fractionation procedure. Furthermore, the organic P of soils, calculated from NMR signals, correlates with the organic matter content of the soils (r = 0.82, p &lt; 0.01). Those results suggest that the observed P-31-NMR signals represent the P forms in soils.</t>
  </si>
  <si>
    <t>0010-3624</t>
  </si>
  <si>
    <t>1532-2416</t>
  </si>
  <si>
    <t>10.1081/css-120037549</t>
  </si>
  <si>
    <t>WOS:000221944400011</t>
  </si>
  <si>
    <t>Gamboa, J; Méndez, F; Loewe, M; Rojas, JC</t>
  </si>
  <si>
    <t>Noncommutative quantum mechanics:: The two-dimensional central field</t>
  </si>
  <si>
    <t>INTERNATIONAL JOURNAL OF MODERN PHYSICS A</t>
  </si>
  <si>
    <t>Quantum mechanics in a noncommutative plane is considered. For a general two-dimensional central field, we find that the theory can be perturbatively solved for large values of the noncommutative parameter (theta) and explicit expressions for the eigenstates and eigenvalues are given. The Green function is explicitly obtained and we show that it can be expressed as an infinite series. For polynomial type potentials, we found a smooth limit for small values of theta and for nonpolynomial ones this limit is necessarily abrupt. The Landau problem, as a limit case of a noncommutative system, is also considered.</t>
  </si>
  <si>
    <t>Loewe, Marcelo/0000-0002-8998-6923</t>
  </si>
  <si>
    <t>0217-751X</t>
  </si>
  <si>
    <t>1793-656X</t>
  </si>
  <si>
    <t>JUL 30</t>
  </si>
  <si>
    <t>10.1142/S0217751X02010960</t>
  </si>
  <si>
    <t>WOS:000177389200004</t>
  </si>
  <si>
    <t>Klishevich, SM; Plyushchay, MS; de Traubenberg, MR</t>
  </si>
  <si>
    <t>Fractional helicity, Lorentz symmetry breaking, compactification and anyons</t>
  </si>
  <si>
    <t>NUCLEAR PHYSICS B</t>
  </si>
  <si>
    <t>We construct the covariant, spinor sets of relativistic wave equations for a massless field on the basis of the two copies of the R-deformed Heisenberg algebra. For the finite-dimensional representations of the algebra they give a universal description of the states with integer and half-integer helicity. The infinite-dimensional representations correspond formally to the massless states with fractional (real) helicity. The solutions of the latter type, however, break down the (3 + 1)D Poincare invariance to the (2 + 1)D Poincare invariance, and via a compactification on a circle a consistent theory for massive anyons in d = 2 + 1 is produced. A general analysis of the helicity equation shows that the (3 + 1)D Poincare group has no massless irreducible representations with the trivial non-compact part of the little group constructed on the basis of the infinite-dimensional representations of sl(2, C). This result is in contrast with the massive case where integer and half-integer spin states can be described on the basis of such representations, and means, in particular, that the (3 + 1)D Dirac positive energy covariant equations have no massless limit. (C) 2001 Elsevier Science B.V. All rights reserved.</t>
  </si>
  <si>
    <t>de Traubenberg Michel, Rausch/B-2255-2013</t>
  </si>
  <si>
    <t>0550-3213</t>
  </si>
  <si>
    <t>1873-1562</t>
  </si>
  <si>
    <t>10.1016/S0550-3213(01)00442-4</t>
  </si>
  <si>
    <t>WOS:000172179800002</t>
  </si>
  <si>
    <t>RAFF, U; SCHERZINGER, AL; VARGAS, PF; SIMON, JH</t>
  </si>
  <si>
    <t>QUANTITATION OF GREY-MATTER, WHITE-MATTER, AND CEREBROSPINAL-FLUID FROM SPIN-ECHO MAGNETIC-RESONANCE IMAGES USING AN ARTIFICIAL NEURAL-NETWORK TECHNIQUE</t>
  </si>
  <si>
    <t>MEDICAL PHYSICS</t>
  </si>
  <si>
    <t>0094-2405</t>
  </si>
  <si>
    <t>2473-4209</t>
  </si>
  <si>
    <t>10.1118/1.597231</t>
  </si>
  <si>
    <t>WOS:A1994PY38000013</t>
  </si>
  <si>
    <t>Fuentes-Pereira, I; Hayes, RE; Blanco, A; Poblete-Castro, I; Donoso-García, P; Gracia, F</t>
  </si>
  <si>
    <t>Fuentes-Pereira, Ismael; Hayes, Robert E.; Blanco, Adriana; Poblete-Castro, Ignacio; Donoso-Garcia, Pablo; Gracia, Francisco</t>
  </si>
  <si>
    <t>CO hydrogenation in a microreactor under non-differential regime: Kinetics, and impact of reactor design and operational variables</t>
  </si>
  <si>
    <t>FUEL</t>
  </si>
  <si>
    <t>A kinetic model for CO methanation and the water gas shift reaction, using a commercial catalyst 12 % Ni/gamma-Al2O3 powder catalyst, is developed for a wall-coated microreactor to assess the impact of reactor design and operational parameters on catalytic performance. This model incorporates the simultaneous resolution of multidimensional balances of momentum, energy, and species continuity both in the catalytic and the hollow zones within the microchannels. The microreactor consists of 80 microchannels, each with dimensions of 0.45 x 0.15 x 50 mm(3) and coated with a catalytic layer with an average thickness of 0.04 mm. Ninety-five experimental assays are carried out in triplicate under various conditions, including temperature (250 - 350 degrees C), H-2/CO molar ratio at the inlet (2 - 11) and volumetric flow rates (110 - 140 mL/min). The corrected Akaike Information Criterion (AICc) indicated that a variation of the Champon model accurately described the experimental data of CO conversion and methane selectivity up to the non-differential regime, which generally occurs at an industrial scale. An apparent activation energy of 92.3 and 156 kJ/mol for the CO methanation and water gas shift reactions are calculated, respectively. The impact of operational variables on the methane mass flow, such as reaction temperature, feed composition, and flow rate, is quantified. Considering a mixture close to stoichiometric (H-2/CO = 3.2), a boundary temperature of 325 degrees C and GHSV of 88 L/h/g(cat), a maximum velocity of 1.26 m/s, complete isothermicity in the microchannel and a pressure drop of less than 0.5 kPa were achieved. Experimentally, a 47 % conversion and 93 % selectivity to methane were achieved, which closely approximated the value reported by the selected model. It is determined that the smaller dimensions of the microchannels favored CO conversion and methane formation, and it is verified that the microchannels operate isothermally throughout their entire domain, with pressure losses being negligible (&lt;1%). Additionally, catalyst thickness has a greater impact on methane mass flow rate than the length and number of microchannels. This research contributes to the design of more efficient catalytic and thermal processes for the production of clean synthetic fuels, which is essential for the sustainable development of processes.</t>
  </si>
  <si>
    <t>Donosoga, Pablo/HZI-2632-2023; Poblete-Castro, Ignacio/J-2755-2019; Gracia, Francisco/I-2145-2013</t>
  </si>
  <si>
    <t>Gracia, Francisco/0000-0001-5266-3234; Fuentes Pereira, Ismael/0009-0000-9016-6976; Donoso Garcia, Pablo/0000-0001-9839-8691</t>
  </si>
  <si>
    <t>0016-2361</t>
  </si>
  <si>
    <t>1873-7153</t>
  </si>
  <si>
    <t>10.1016/j.fuel.2024.134134</t>
  </si>
  <si>
    <t>DEC 2024</t>
  </si>
  <si>
    <t>WOS:001413811400001</t>
  </si>
  <si>
    <t>Etcheverry-Méndez, L; Yanez-Tapia, J; Peralta-Arancibia, K; Muñoz-Díaz, J; Toro-Ascuy, D; Orellana, P; García-Diíz, D; Fuenzalida, LF</t>
  </si>
  <si>
    <t>Etcheverry-Mendez, Lissette; Yanez-Tapia, Javiera; Peralta-Arancibia, Katherine; Munoz-Diaz, Javiera; Toro-Ascuy, Daniela; Orellana, Paz; Garcia-Diaz, Diego; Fuenzalida, Loreto F.</t>
  </si>
  <si>
    <t>Overnutrition as a risk factor for severity in children with COVID-19: A systematic review</t>
  </si>
  <si>
    <t>REVISTA CHILENA DE NUTRICION</t>
  </si>
  <si>
    <t>Introduction: Obesity is an ongoing pandemic that coincided with the COVID-19 pandemic, and it has been recognized as a significant risk factor for severe COVID-19 cases. This study aims to analyze the relationship between excess malnutrition and the severity of COVID-19 in minors through a systematic review. Methods: A systematic review was conducted following PRISMA guidelines. The search was carried out in PubMed/MEDLINE and SciELO databases using keywords, covering the period from 2020 to 2023. Studies of children and adolescents reporting age and nutritional status in English and Spanish were included. Studies with other pathologies, animal studies, pregnant women, and other reviews were excluded. The study was registered on the PROSPERO platform. Results: A total of 28 articles met the search criteria, of which 18 found a relationship between childhood obesity and increased severity, associated with longer hospital stays, mechanical ventilation requirements, and death. Additionally, out of 7 studies addressing Multisystem Inflammatory Syndrome in Children associated with COVID-19 (MIS-C), 3 found a relationship between obesity and the risk of developing MIS-C. Conclusion: Obesity is a risk factor for severe COVID-19 and an increased risk of developing and worsening MIS-C in children and adolescents. Identifying high-risk groups for severe COVID-19 could help guide hospital admissions and SARS-CoV-2 vaccination strategies.</t>
  </si>
  <si>
    <t>Toro-Ascuy, Daniela/JDC-8224-2023; Orellana, Paz/HJP-2498-2023</t>
  </si>
  <si>
    <t>Toro-Ascuy, Daniela/0000-0002-2563-9711</t>
  </si>
  <si>
    <t>0717-7518</t>
  </si>
  <si>
    <t>10.4067/s0717-75182024000400321</t>
  </si>
  <si>
    <t>WOS:001342100300008</t>
  </si>
  <si>
    <t>Moreira-Ramos, S; Saavedra-Torrico, J; G-Poblete, C; Olivares, LG; Sangorrin, M; Ganga, MA</t>
  </si>
  <si>
    <t>Moreira-Ramos, Sandra; Saavedra-Torrico, Jorge; G-Poblete, Camila; Olivares, Liliana Godoy; Sangorrin, Marcela; Ganga, Maria Angelica</t>
  </si>
  <si>
    <t>Screening of native Saccharomyces cerevisiae strains from Chile for beer production</t>
  </si>
  <si>
    <t>Introduction: Beer is one of the most consumed alcoholic drinks in the world, and this industry is a growing market that demands different properties to satisfy new consumers. The yeasts are used in different fermented beverages to contribute to new flavors. However, yeast strains used in the beer industry are limited so far, thus the diversity of flavors is very restricted. Therefore, the use of native yeast strains has been taking more importance with the purpose of conferring differentiated organoleptic properties to the product. Based on this observation the potentiality of native Saccharomyces cerevisiae strains obtained from different localities in Chile was researched. Methods: In this work was selected those strains that produced the highest ethanol concentration (nearly 6% v/v), consumed the highest amounts of sugars, and produced the lowest amounts of organic acids in the resulting beers. Finally, we did a beer tasting to select those strains that added different flavors to the final beer compared with a commercial strain used. Results and discussion: In this study, two native strains that produced fruity descriptors are described, which could be used in the future in brewing, craft or industrial production.</t>
  </si>
  <si>
    <t>Olivares, Liliana/AAB-6276-2020; González, Camila/JDC-3277-2023; Ganga, Maria/S-8176-2019</t>
  </si>
  <si>
    <t>Gonzalez Poblete, Camila/0000-0003-3095-5505; Godoy Olivares, Liliana/0000-0001-5110-5978</t>
  </si>
  <si>
    <t>FEB 9</t>
  </si>
  <si>
    <t>10.3389/fmicb.2024.1345324</t>
  </si>
  <si>
    <t>WOS:001173456600001</t>
  </si>
  <si>
    <t>Cruz-Grau, JMS; Kuhlmann, C</t>
  </si>
  <si>
    <t>Cruz-Grau, Jose-Miguel Santa; Kuhlmann, Carolina</t>
  </si>
  <si>
    <t>Representations of the Unrepresentable: The Coup d'etat in Contemporary Chilean Cinema (2004-2020)</t>
  </si>
  <si>
    <t>HISTORIA Y SOCIEDAD</t>
  </si>
  <si>
    <t>in this article we propose to problematize how contemporary Chilean fictional cinema and audiovisuals have represented the coup d'etat in light of the concept of event. Following Alain Badiou's theory of historical discontinuities, this is understood as the existential gravity of the unrepresentable. If the coup d'etat in Chile (1973) operates as that singularity that destroys the structural foundations, transforms the senses of past and future, and fractures the historical evolution. The questions that surround the text are the following: is it possible to represent what is denied to representation? How can a limited organization of images contain such a density? And then, what has been produced in this attempt? It is in the midst of this questioning that the audiovisual representations of the coup are investigated, as an essay in the midst of impossibility, we build the category of Basic Representation Scheme (EBR). This concept -which refers to a moldable structure of audiovisual elements- enables the review and discursive aesthetic analysis of a corpus of Chilean films and television series that deal with such an event. The notion of EBR allows us to approach from the most basic formal structures to the most complex concepts that organize each staging of the coup. From here, we determine two predominant aesthetic problems in these productions: emptiness and accumulation.</t>
  </si>
  <si>
    <t>0121-8417</t>
  </si>
  <si>
    <t>2357-4720</t>
  </si>
  <si>
    <t>JUL-DEC</t>
  </si>
  <si>
    <t>10.15446/hys.n45.100186</t>
  </si>
  <si>
    <t>WOS:001101965400004</t>
  </si>
  <si>
    <t>dos Santos, M; Ferrari, G; Drenowatz, C; Estivaleti, JM; de Victo, ER; de Oliveira, LC; Matsudo, V</t>
  </si>
  <si>
    <t>dos Santos, Mauricio; Ferrari, Gerson; Drenowatz, Clemens; Estivaleti, Jose Matheus; de Victo, Eduardo Rossato; de Oliveira, Luis Carlos; Matsudo, Victor</t>
  </si>
  <si>
    <t>Association between breastfeeding, parents' body mass index and birth weight with obesity indicators in children</t>
  </si>
  <si>
    <t>BMC PEDIATRICS</t>
  </si>
  <si>
    <t>Background Childhood obesity is potentially affected by breastfeeding, parents' body mass index and birth weight. Thus, this study aimed to verify the association between breastfeeding, parents' body mass index and birth weight with obesity indicators in children. Methods This is a cross-sectional study, including data from 402 schoolchildren between 9 and 11 of age in the city of Sao Caetano do Sul, Brazil. Parents or guardians answered a questionnaire about breastfeeding (month), birth weight (kg), and parental body weight and height (parents' body mass index [kg/m(2)] was calculated). Body mass index (kg/m(2)), waist circumference (cm) and body fat (%), determined via bio-impedance, were measured and used as obesity indicators. Multi-level linear regression models were used to assess the respective associations adjusted for the potential confounders. Results Considering body mass index of children, the overall prevalence of eutrophic, overweight and obese were 58.2%, 20.9% and 17.2%, respectively. Significant and positive correlations were observed between breastfeeding, maternal as well as paternal body mass index and the children's body mass index, body fat and waist circumference. Birth weight was weakly and positively associated with body mass index and body fat but was not associated with waist circumference. After adjusting for school, sex, age, race/ethnicity, annual household income, sedentary time and moderate-to-vigorous physical activity, maternal body mass index and birth weight were positively associated with children's body mass index (beta: 0.228; 95%CI: 0.142; 0.314 and beta: 0.001; 95%CI: 0.001; 0.002), body fat (beta: 0.484; 95%CI: 0.297; 0.671 and beta: 0.002; 95%CI: 0.001; 0.003) and waist circumference (beta: 0.509; 95%CI: 0.304; 0.715 and beta: 0.003; 95%CI: 0.001; 0.005). Breastfeeding was not associated with any obesity indicators. Conclusion Maternal body mass index and birth weight were associated with children's obesity indicators. The perinatal environment, therefore, appears to be a critical contributor to childhood obesity and public policies need to address parental obesity in order to tackle childhood obesity.</t>
  </si>
  <si>
    <t>Victo, Eduardo/JQI-9333-2023; Ferrari, Gerson/HHM-6173-2022; Ferrari, Gerson/P-1152-2014</t>
  </si>
  <si>
    <t>Rossato de Victo, Eduardo/0000-0002-4409-741X; Ferrari, Gerson/0000-0003-3177-6576</t>
  </si>
  <si>
    <t>1471-2431</t>
  </si>
  <si>
    <t>OCT 18</t>
  </si>
  <si>
    <t>10.1186/s12887-022-03641-3</t>
  </si>
  <si>
    <t>WOS:000869831300002</t>
  </si>
  <si>
    <t>Escanilla-Figueroa, C; Valenzuela-Ahumada, F; Gatica-Monsalve, JL; Tabak-Cabrera, D; Barraza-Etcheverry, C; Del Castillo-Pacheco, D; Sazunic-Yáñez, I</t>
  </si>
  <si>
    <t>Escanilla-Figueroa, Claudio; Valenzuela-Ahumada, Fernando; Luis Gatica-Monsalve, Jose; Tabak-Cabrera, Denise; Barraza-Etcheverry, Camilo; Del Castillo-Pacheco, Douglas; Sazunic-Yanez, Ivo</t>
  </si>
  <si>
    <t>Amicrobial pustulosis of the folds: report of two cases</t>
  </si>
  <si>
    <t>Amicrobial Pustulosis of the Folds is a relapsing chronic and rare neutrophilic dermatosis, characterized by papulopustular, eczematous and aseptic lesions on skin folds. This disorder usually occurs predominantly in females (30 years of age average) with a history of an autoimmune disorder, especially systemic lupus erythematosus. There is no standard therapy, but systemic corticosteroids, alone or in combination with other immunosuppressive drugs, are usually the first-line therapy. We report two females aged 37 and 20 years with the disease but without associated autoimmune diseases. They were successfully treated with non-steroidal treatments.</t>
  </si>
  <si>
    <t>Valenzuela, Fernando/AAX-5037-2020</t>
  </si>
  <si>
    <t>Valenzuela, Fernando/0000-0003-1032-9347</t>
  </si>
  <si>
    <t>WOS:000836614000015</t>
  </si>
  <si>
    <t>Effects of Learner-Generated Highlighting and Instructor-Provided Highlighting on Learning from Text: A Meta-Analysis</t>
  </si>
  <si>
    <t>EDUCATIONAL PSYCHOLOGY REVIEW</t>
  </si>
  <si>
    <t>The present study examines the existing published research about the effectiveness of learner-generated highlighting and instructor-provided highlighting on learning from text. A meta-analysis was conducted of scientifically rigorous experiments comparing the learning outcomes (i.e., performance on memory and/or comprehension tests) of students (i.e., college students and/or K-12 students) who read an academic text with or without being asked to highlight important material (i.e., with or without learner-generated highlighting) or who read an academic text with or without the important material already being highlighted (i.e., with or without instructor-provided highlighting). We found 36 published articles that met these criteria ranging from the years 1938 to 2019, which generated 85 effect sizes. The results showed that learner-generated highlighting improved memory but not comprehension, with average effect sizes of 0.36 and 0.20, respectively; and instructor-provided highlighting improved both memory and comprehension, both with an average effect size of 0.44. Learner-generated highlighting improved learning for college students but not for school students, with average effect sizes of 0.39 and 0.24, respectively; and instructor-provided highlighting improved learning for both college and school students, with average effect sizes of 0.41 and 0.48, respectively. We discuss the theoretical and practical implications of these findings.</t>
  </si>
  <si>
    <t>1040-726X</t>
  </si>
  <si>
    <t>1573-336X</t>
  </si>
  <si>
    <t>10.1007/s10648-021-09654-1</t>
  </si>
  <si>
    <t>WOS:000740186100001</t>
  </si>
  <si>
    <t>Rojas, V; Cáceres, G; López, S; Henríquez, R; Grez, P; Schrebler, R; Navarrete, E; Herrera, F; Caballero, A; Gómez-Cámer, JL; Muñoz, E</t>
  </si>
  <si>
    <t>Rojas, Victor; Caceres, Gustavo; Lopez, Silvana; Henriquez, Rodrigo; Grez, Paula; Schrebler, Ricardo; Navarrete, Emilio; Herrera, Francisco; Caballero, Alvaro; Gomez-Camer, Juan Luis; Munoz, Eduardo</t>
  </si>
  <si>
    <t>Rechargeable Lithium-Ion Battery Based on a Cathode of Copper Hexacyanoferrate</t>
  </si>
  <si>
    <t>JOURNAL OF THE ELECTROCHEMICAL SOCIETY</t>
  </si>
  <si>
    <t>In this work, the performance of copper(II) hexacyanoferrate(III) (CuHCF) as a cathode material for lithium-ion batteries was studied. The compound was synthesized by a precipitation reaction in aqueous solution in a closed system. The morphology and structure show nanoparticles with sizes between 40 and 70 nm with a high agglomeration and a crystalline phase with a cubic structure, respectively. The material exhibited a stable performance with a working potential of around 3.6 V vs Li+/Li and a decrease in the charge transfer resistance due to increased ionic conductivity. The gravimetric capacity obtained is near 60 mAh g(-1) during 300 cycles at a rate of C/20, close to the practical capacity. Considering its electrochemical performance, CuHCF could be a promising cathode material for lithium-ion batteries.</t>
  </si>
  <si>
    <t>Henríquez, Rodrigo/E-2155-2014; Gómez-Cámer, Juan/O-5194-2019; Caballero, Alvaro/L-2713-2017</t>
  </si>
  <si>
    <t>Caceres Inzunza, Gustavo Alejandro/0000-0002-4483-2672; Herrera, Francisco/0000-0001-7783-2970; Rojas, Victor/0000-0002-5009-0046; Gomez-Camer, Juan Luis/0000-0001-8127-5046</t>
  </si>
  <si>
    <t>0013-4651</t>
  </si>
  <si>
    <t>1945-7111</t>
  </si>
  <si>
    <t>AUG 1</t>
  </si>
  <si>
    <t>10.1149/1945-7111/ac1a53</t>
  </si>
  <si>
    <t>WOS:000685241300001</t>
  </si>
  <si>
    <t>Durán, C; Palominos, F; Carrasco, R; Carrillo, E</t>
  </si>
  <si>
    <t>Duran, Claudia; Palominos, Fredi; Carrasco, Raul; Carrillo, Eduardo</t>
  </si>
  <si>
    <t>Influence of Strategic Interrelationships and Decision-Making in Chilean Port Networks on Their Degree of Sustainability</t>
  </si>
  <si>
    <t>An extensive literary review is carried out to determine the strategic and business advantages, and difficulties that non-smart ports must face to develop sustainability. Based on a two-port case study, the strategic text of the corporate missions of port administrators and operators is analyzed and classified in order to understand to what extend economic, social and environmental aspects are fulfilled. A conceptual model is designed for an information system based on indicators that can determine the state or degree of sustainability in the critical operational activities of the ports studied. A system is proposed that is based on a data warehouse core and a multidimensional database, which can be implemented in the ROLAP mode, allowing taking advantage of the good characteristics of relational databases without losing the OLAP approach. A discussion of the strategic feasibility of implementing this conceptual model of case study monitoring and its long-term benefits is delivered. The conclusions state that the development of this green technology requires cultural changes, public policy initiatives and the incorporation of new actors. In addition, more research is needed in this area to identify other relevant sustainable variables.</t>
  </si>
  <si>
    <t>Duran, Claudia/S-1175-2019; Palominos, Fredi/U-4690-2019; Carrasco, Raul/G-5440-2015</t>
  </si>
  <si>
    <t>Carrillo Lucero, Eduardo Patricio/0009-0000-5079-6228; Carrasco, Raul/0000-0002-5023-9349; Duran, Claudia/0000-0002-0903-4333; Palominos, Fredi/0000-0002-6119-4991</t>
  </si>
  <si>
    <t>10.3390/su13073959</t>
  </si>
  <si>
    <t>WOS:000638924200001</t>
  </si>
  <si>
    <t>Medina-Yáñez, I; Olivares, GH; Vega-Macaya, F; Mlodzik, M; Olguín, P</t>
  </si>
  <si>
    <t>Medina-Yanez, Ignacio; Olivares, Gonzalo H.; Vega-Macaya, Franco; Mlodzik, Marek; Olguin, Patricio</t>
  </si>
  <si>
    <t>Phosphatidic acid increases Notch signalling by affecting Sanpodo trafficking during Drosophila sensory organ development</t>
  </si>
  <si>
    <t>Organ cell diversity depends on binary cell-fate decisions mediated by the Notch signalling pathway during development and tissue homeostasis. A clear example is the series of binary cell-fate decisions that take place during asymmetric cell divisions that give rise to the sensory organs of Drosophila melanogaster. The regulated trafficking of Sanpodo, a transmembrane protein that potentiates receptor activity, plays a pivotal role in this process. Membrane lipids can regulate many signalling pathways by affecting receptor and ligand trafficking. It remains unknown, however, whether phosphatidic acid regulates Notch-mediated binary cell-fate decisions during asymmetric cell divisions, and what are the cellular mechanisms involved. Here we show that increased phosphatidic acid derived from Phospholipase D leads to defects in binary cell-fate decisions that are compatible with ectopic Notch activation in precursor cells, where it is normally inactive. Null mutants of numb or the alpha-subunit of Adaptor Protein complex-2 enhance dominantly this phenotype while removing a copy of Notch or sanpodo suppresses it. In vivo analyses show that Sanpodo localization decreases at acidic compartments, associated with increased internalization of Notch. We propose that Phospholipase D-derived phosphatidic acid promotes ectopic Notch signalling by increasing receptor endocytosis and inhibiting Sanpodo trafficking towards acidic endosomes.</t>
  </si>
  <si>
    <t>Olivares, Gonzalo/JTU-0800-2023; Olguin, Patricio/H-3270-2014</t>
  </si>
  <si>
    <t>Olivares, Gonzalo/0000-0002-2784-0160; Olguin, Patricio/0000-0002-8847-4969; Medina-Yanez, Ignacio/0000-0002-2033-7175</t>
  </si>
  <si>
    <t>DEC 10</t>
  </si>
  <si>
    <t>10.1038/s41598-020-78831-z</t>
  </si>
  <si>
    <t>WOS:000609195000087</t>
  </si>
  <si>
    <t>Werneck, AO; Schuch, FB; Ferrari, G; Silva, DR</t>
  </si>
  <si>
    <t>Werneck, Andre O.; Schuch, Felipe B.; Ferrari, Gerson; Silva, Danilo R.</t>
  </si>
  <si>
    <t>Association between different contexts of physical activity and anxiety-induced sleep disturbance among 100,648 Brazilian adolescents: Brazilian school-based health survey</t>
  </si>
  <si>
    <t>PSYCHIATRY RESEARCH</t>
  </si>
  <si>
    <t>Physical activity (PA) practice can be a protective factor for anxiety-induced sleep disturbance (AISD), however the association between different contexts of PA and anxiety-induced sleep disturbance is not clear. We aimed to analyze the association between different contexts of PA and AISD. Data from the Brazilian School-based Health Survey [n=100,648; age: 14.3y (range:11-18 years)], conducted in 2015, were used. Higher PA during transport was associated with higher AISD. PA during physical education classes presented lower odds for AISD. PA practiced outside school was associated with reduced AISD among boys. The association between PA and AISD seems to be context-dependent.</t>
  </si>
  <si>
    <t>Ferrari, Gerson/ABG-6635-2021; Schuch, Felipe/AAF-5028-2019; Schuch, Felipe/L-4620-2016; Ferrari, Gerson/P-1152-2014; Werneck, Andre/N-5006-2016; Silva, Danilo/E-3747-2018</t>
  </si>
  <si>
    <t>Schuch, Felipe/0000-0002-5190-4515; Ferrari, Gerson/0000-0003-3177-6576; Werneck, Andre/0000-0002-9166-4376; Silva, Danilo/0000-0003-3995-4795</t>
  </si>
  <si>
    <t>0165-1781</t>
  </si>
  <si>
    <t>1872-7123</t>
  </si>
  <si>
    <t>10.1016/j.psychres.2020.113367</t>
  </si>
  <si>
    <t>WOS:000591588300034</t>
  </si>
  <si>
    <t>Marcos, DJ; Souto, M; Ubilla, P</t>
  </si>
  <si>
    <t>Marcos, Joao do O.; Souto, Marco; Ubilla, Pedro</t>
  </si>
  <si>
    <t>Stationary Kirchhoff equations involving critical growth and vanishing potential</t>
  </si>
  <si>
    <t>ESAIM-CONTROL OPTIMISATION AND CALCULUS OF VARIATIONS</t>
  </si>
  <si>
    <t>We establish the existence of positive solutions for a class of stationary Kirchhoff-type equations defined in the whole (3) involving critical growth in the sense of the Sobolev embedding and potentials, which may decay to zero at infinity. We use minimax techniques combined with an appropriate truncated argument and a priori estimate. These results are new even for the local case, which corresponds to nonlinear Schrodinger equations.</t>
  </si>
  <si>
    <t>1292-8119</t>
  </si>
  <si>
    <t>1262-3377</t>
  </si>
  <si>
    <t>SEP 30</t>
  </si>
  <si>
    <t>10.1051/cocv/2019054</t>
  </si>
  <si>
    <t>WOS:000577110600005</t>
  </si>
  <si>
    <t>Vercruysse, F; Cerda, FMC; Verleysen, P; Petrov, RH</t>
  </si>
  <si>
    <t>Vercruysse, Florian; Castro Cerda, Felipe M.; Verleysen, Patricia; Petrov, Roumen H.</t>
  </si>
  <si>
    <t>Behavior of ultrafast annealed advanced high strength steels under static and dynamic conditions</t>
  </si>
  <si>
    <t>MATERIALS SCIENCE AND ENGINEERING A-STRUCTURAL MATERIALS PROPERTIES MICROSTRUCTURE AND PROCESSING</t>
  </si>
  <si>
    <t>Ultrafast annealing (UFA) is considered a feasible alternative processing route for third-generation advanced high strength steels (AHSSs). In fact, significant grain refinement occurs in low carbon steels (0.1 wt%) when heating rates (example, 1000 K/s) considerably higher than the conventional heating rates are applied. Additionally, high heating rates result in multiphase microstructures containing ferrite, retained austenite, and martensite/bainite. The mixture of structural constituents is induced by carbon gradients resulting from the short time available for diffusion during ultrafast annealing of the steel. Quasi-static and high strain rate tensile tests, with strain rates ranging from 0.0033 s(-1) to 600 s(-1), revealed that the tensile strength of both conventional and UFA samples increases with increasing strain rates, whereas the strain to fracture decreases. However, compared with the conventionally heat-treated samples (heating rate: 10 K/s), the UFA samples exhibited less ductility deterioration at high strain rates. The samples were investigated using light optical microscopy, scanning electron microscopy, electron backscatter diffraction (EBSD), and X-ray diffraction. The results indicated that the improved tensile properties of the UFA steels (compared with those of the conventional steels) resulted mainly from the presence of retained austenite (up to 5%) in conjunction with a lower carbon martensite/bainite fraction. Owing to adiabatic heating associated with dynamic conditions, the stability of retained austenite shifted to higher strain values than those encountered under static conditions. The TRIP effect of the UFA samples appeared at higher strain values than in the conventionally heat-treated samples. The delayed transformation is considered essential for realizing improved preservation of the deformation capacity and, in turn, improved crashworthiness.</t>
  </si>
  <si>
    <t>Petrov, Roumen/A-5066-2008; Castro Cerda, Felipe Manuel/Q-2714-2016</t>
  </si>
  <si>
    <t>Castro Cerda, Felipe Manuel/0000-0001-8126-5593; Petrov, Roumen/0000-0003-0551-9058</t>
  </si>
  <si>
    <t>0921-5093</t>
  </si>
  <si>
    <t>1873-4936</t>
  </si>
  <si>
    <t>APR 7</t>
  </si>
  <si>
    <t>10.1016/j.msea.2020.139168</t>
  </si>
  <si>
    <t>WOS:000524357800009</t>
  </si>
  <si>
    <t>Estay, H; Gim-Krumm, M; Seriche, G; Quilaqueo, M; Barros, L; Ruby-Figueroa, R; Romero, J; Troncoso, E</t>
  </si>
  <si>
    <t>Estay, Humberto; Gim-Krumm, Minghai; Seriche, Gabriel; Quilaqueo, Michelle; Barros, Lorena; Ruby-Figueroa, Rene; Romero, Julio; Troncoso, Elizabeth</t>
  </si>
  <si>
    <t>Optimizing the SART process: A critical assessment of its design criteria</t>
  </si>
  <si>
    <t>The SART (Sulfidization, Acidification, Recycling and Thickening) process has been successfully installed to recover cyanide and copper in seven worldwide gold cyanidation plants in the last 15 years. This technology has allowed the extraction of gold ores containing high grades of cyanide-soluble copper. However, this process has high capital costs and requires rigorous operational control, which have limited the installation of this process in the last 5 years. These drawbacks have not been overcome despite the successful operation of the SART process worldwide, limiting the interest of gold mining in performing new studies to support new developments in order to optimize plant design. In this framework, this study attempts to give a critical assessment of the design criteria of the SART process, based on experimental work focused on optimizing the SART process, challenging some conventional criteria typically considered in the design of SART plants. Thus, this study involves (i) a kinetic characterization, which allows determining the optimal residence time in the sulfidization reactor to be determined, (ii) oxidation/reduction potential (ORP) measurements with respect to the conversion, which suggest an adequate control logic that maximizes metal recovery in the sulfidization reactor, and finally (iii) settling tests to propose a correct criterion for recycling the settled slurry into the sulfidization reactor. These results show that it is possible to reduce the residence time in the sulfidization reactor by up to 1 min. Furthermore, it was established that the precipitation performance depends on the ORP value. Therefore, a control logic as a function of this parameter could be implemented. Finally, the settling results pave the way for establishing a new criterion for recycling the underfiow slurry from the thickener to the sulfidization reactor, based on the copper concentration in the feed solution. Hence, this study proposes new design criteria for future SART plants, saving capital costs and optimizing the metal recovery control.</t>
  </si>
  <si>
    <t>Romero, Julio/I-6705-2013; Estay, Humberto/I-3499-2017</t>
  </si>
  <si>
    <t>Ruby-Figueroa, Rene/0000-0001-7747-1837; Romero, Julio/0000-0002-1229-1592; Gim Krumm, Minghai/0000-0003-0450-4751; Estay, Humberto/0000-0001-8518-7131</t>
  </si>
  <si>
    <t>10.1016/j.mineng.2019.106116</t>
  </si>
  <si>
    <t>WOS:000509630400011</t>
  </si>
  <si>
    <t>Quiroz, L; Sandoval, SA; Planella, MT; Belmar, C; Echeverría, J; Niemeyer, HM; Meneses, F; Alvarez, XA; Carrasco, C; Thielemann, B</t>
  </si>
  <si>
    <t>Quiroz, Luciana; Alfaro Sandoval, Silvia; Teresa Planella, Maria; Belmar, Carolina; Echeverria, Javier; Niemeyer, Hermann M.; Meneses, Femanda; Albornoz Alvarez, Ximena; Carrasco, Carolina; Thielemann, Benjamin</t>
  </si>
  <si>
    <t>About smoking practices and smoking complexes during the Early Ceramic period in northern semiarid region of Chile</t>
  </si>
  <si>
    <t>ESTUDIOS ATACAMENOS</t>
  </si>
  <si>
    <t>Smoking pipes are one of the cultural expressions of Early Ceramic Period groups that inhabited the northern semiarid region (NSA) of Chile between Salado and Choapa rivers basins (26 degrees-31, 5 degrees S). We have explored the smoking complex in this region in search of the type of connections we previously found for the Chilean central region in La Granja archeological context of the Cachapoal basin (Planella, Belmar, Quiroz, Falabella, Alfaro, Echeverria y Niemeyer, 2016). Specialized analysis, i.e ceramic and lithic, archaeobotanical (microfossils) and chemical (gas chromatography/mass spectrometry) of smoking pipes fragments from three northern semiarid areas (Copiapo, Huasco-Elqui, Limari and Choapa), has shown that the major part of them correspond to the Inverted T pipes type, and have evidenced the presence of Pooideae phytoliths, Nicotiana spp., Zea mays L. and Solanaceae starch grains, as well as chemical compound where the fatty acids methyl esters highlighted (palmitic and stearic) and long chain alcohols. The morphology and contents of pipes, also seen in those from central Chile, confirms the existence of a shared cultural background between these regions, albeit in multiple contexts. Finally, it is concluded that this contextual diversity is evocative of the ritual centrality in the re-conceptualization of smoking complex in NSA.</t>
  </si>
  <si>
    <t>Niemeyer, Hermann/I-1100-2013; Belmar, Carolina/P-9961-2019; Álvarez-Pérez, Xosé/K-1082-2012; Echeverría, Javier/AAK-3323-2020</t>
  </si>
  <si>
    <t>Meneses, Fernanda/0000-0003-3227-5757; Echeverria, Javier/0000-0002-1688-968X; Belmar, Carolina/0000-0002-1757-6976</t>
  </si>
  <si>
    <t>0718-1043</t>
  </si>
  <si>
    <t>10.22199/issn.0718-1043-2020-0053</t>
  </si>
  <si>
    <t>WOS:000654684700012</t>
  </si>
  <si>
    <t>Hassan, STS; Sudomová, M; Berchová-Bímová, K; Smejkal, K; Echeverría, J</t>
  </si>
  <si>
    <t>Hassan, Sherif T. S.; Sudomova, Miroslava; Berchova-Bimova, Katerina; Smejkal, Karel; Echeverria, Javier</t>
  </si>
  <si>
    <t>Psoromic Acid, a Lichen-Derived Molecule, Inhibits the Replication of HSV-1 and HSV-2, and Inactivates HSV-1 DNA Polymerase: Shedding Light on Antiherpetic Properties</t>
  </si>
  <si>
    <t>Psoromic acid (PA), a bioactive lichen-derived compound, was investigated for its inhibitory properties against herpes simplex virus type 1 (HSV-1) and type 2 (HSV-2), along with the inhibitory effect on HSV-1 DNA polymerase, which is a key enzyme that plays an essential role in HSV-1 replication cycle. PA was found to notably inhibit HSV-1 replication (50% inhibitory concentration (IC50): 1.9 mu M; selectivity index (SI): 163.2) compared with the standard drug acyclovir (ACV) (IC50: 2.6 mu M; SI: 119.2). The combination of PA with ACV has led to potent inhibitory activity against HSV-1 replication (IC50: 1.1 mu M; SI: 281.8) compared with that of ACV. Moreover, PA displayed equivalent inhibitory action against HSV-2 replication (50% effective concentration (EC50): 2.7 mu M; SI: 114.8) compared with that of ACV (EC50: 2.8 mu M; SI: 110.7). The inhibition potency of PA in combination with ACV against HSV-2 replication was also detected (EC50: 1.8 mu M; SI: 172.2). Further, PA was observed to effectively inhibit HSV-1 DNA polymerase (as a non-nucleoside inhibitor) with respect to dTTP incorporation in a competitive inhibition mode (half maximal inhibitory concentration (IC50): 0.7 mu M; inhibition constant (K-i): 0.3 mu M) compared with reference drugs aphidicolin (IC50: 0.8 mu M; K-i: 0.4 mu M) and ACV triphosphate (ACV-TP) (IC50: 0.9 mu M; K-i: 0.5 mu M). It is noteworthy that the mechanism by which PA-induced anti-HSV-1 activity was related to its inhibitory action against HSV-1 DNA polymerase. Furthermore, the outcomes of in vitro experiments were authenticated using molecular docking analyses, as the molecular interactions of PA with the active sites of HSV-1 DNA polymerase and HSV-2 protease (an essential enzyme required for HSV-2 replication) were revealed. Since this is a first report on the above-mentioned properties, we can conclude that PA might be a future drug for the treatment of HSV infections as well as a promising lead molecule for further anti-HSV drug design.</t>
  </si>
  <si>
    <t>Echeverría, Javier/AAK-3323-2020; Berchová-Bímová, Kateřina/AAW-6432-2020; Šmejkal, Karel/ABF-5925-2020; Hassan, Sherif T.S./F-5265-2016</t>
  </si>
  <si>
    <t>Echeverria, Javier/0000-0002-1688-968X; Smejkal, Karel/0000-0002-4336-7924; Hassan, Sherif T.S./0000-0003-3922-2738</t>
  </si>
  <si>
    <t>10.3390/molecules24162912</t>
  </si>
  <si>
    <t>WOS:000482998900085</t>
  </si>
  <si>
    <t>Iquilio, RA; Cerda, FMC; Monsalve, A; Guzmán, CF; Yanez, SJ; Pina, JC; Vercruysse, F; Petrov, RH; Saavedra, EI</t>
  </si>
  <si>
    <t>Iquilio, R. A.; Castro Cerda, F. M.; Monsalve, A.; Guzman, C. F.; Yanez, S. J.; Pina, J. C.; Vercruysse, F.; Petrov, R. H.; Saavedra, E. I.</t>
  </si>
  <si>
    <t>Novel experimental method to determine the limit strain by means of thickness variation</t>
  </si>
  <si>
    <t>INTERNATIONAL JOURNAL OF MECHANICAL SCIENCES</t>
  </si>
  <si>
    <t>In this work an experimental method to determine the limit strain by means of digital image correlation is proposed. This method analyzes the variation of the thickness of a sheet metal through the temporal evolution of the strains, assuming incompressibility during the plastic strain process. To achieve this objective, the center and the edge of the necking area are identified with the strain history and the strain rate, respectively. The limit strain is thus determined when a non-homogeneous decrease in the thickness necking area begins, in contrast with existing methods based on performing analysis of surface strains. The proposed method is applied to determine the forming limit curve of commercial stainless steel and compared with other approaches. The results indicate that the proposed methodology is more reliable for determining the forming limit curve of the sheet, because it captures the heterogeneity of the strain distribution at the local necking site. The microstructure and the textures of the initial material are characterized via optical microscopy, x-ray diffraction and electron backscattering diffraction. The mechanical properties of the material are discussed in the light of the microstructural analysis.</t>
  </si>
  <si>
    <t>Petrov, Roumen/A-5066-2008; Yanez, Sergio/G-5230-2019; Pina, Juan/AAC-3455-2021; Castro Cerda, Felipe Manuel/Q-2714-2016; Guzman, Carlos Felipe/D-7722-2013</t>
  </si>
  <si>
    <t>Yanez, Sergio/0000-0002-8856-0955; Castro Cerda, Felipe Manuel/0000-0001-8126-5593; Pina, Juan Carlos/0000-0003-2556-3638; Petrov, Roumen/0000-0003-0551-9058; Guzman, Carlos Felipe/0000-0002-5537-3854; Monsalve, Alberto/0000-0002-5772-8815</t>
  </si>
  <si>
    <t>0020-7403</t>
  </si>
  <si>
    <t>1879-2162</t>
  </si>
  <si>
    <t>10.1016/j.ijmecsci.2019.01.036</t>
  </si>
  <si>
    <t>WOS:000462100200017</t>
  </si>
  <si>
    <t>Retamal, J; Reyes, A; Ramirez, P; Bravo, D; Hernandez, A; Pelissier, T; Villanueva, L; Constandil, L</t>
  </si>
  <si>
    <t>Retamal, Jeffri; Reyes, Andrea; Ramirez, Paulina; Bravo, David; Hernandez, Alejandro; Pelissier, Teresa; Villanueva, Luis; Constandil, Luis</t>
  </si>
  <si>
    <t>Burst-Like Subcutaneous Electrical Stimulation Induces BDNF-Mediated, Cyclotraxin B-Sensitive Central Sensitization in Rat Spinal Cord</t>
  </si>
  <si>
    <t>Intrathecal administration of brain derived neurotrophic factor (BDNF) induces long-term potentiation (LTP) and generates long-lasting central sensitization in spinal cord thus mimicking chronic pain, but the relevance of these observations to chronic pain mechanisms is uncertain. Since C-fiber activation by a high-frequency subcutaneous electrical stimulation (SES) protocol causes spinal release of BDNF and induces spinal cord LTP, we propose that application of such protocol would be a sufficient condition for generating long-lasting BDNF-mediated central sensitization. Results showed that application of burst-like SES to rat toes produced (i) rapid induction of hyperalgesia that lasted for more than 3 weeks, (ii) early increase of C-reflex activity followed by increased wind-up scores lasting for more than 1 week, and (iii) early increase followed by late decrease in BDNF protein levels and phosphorylated TrkB that lasted for more than 1 week. These changes were prevented by the TrkB antagonist cyclotraxin-B administered shortly before SES, while hyperalgesia was reversed by cyclotraxin-B administered 3 days after SES. Results suggest that mechanisms underlying central sensitization first involve BDNF release of probably neuronal origin, followed by brief increased expression of likely glial BDNF and pTrkB that could switch early phase sensitization into late one.</t>
  </si>
  <si>
    <t>Bravo, David/G-5788-2017; VILLANUEVA, LUIS/AAX-2817-2020; Hernandez, Alejandro/M-4796-2019</t>
  </si>
  <si>
    <t>Retamal, Jeffri S./0000-0003-4984-4530; Villanueva, Luis/0000-0003-3872-9211; Constandil, Luis/0000-0002-2504-0119; Bravo Lopez, David/0009-0008-5143-4278; Ramirez Garcia, Paulina/0000-0003-0971-3501; Hernandez, Alejandro/0000-0001-9222-6522</t>
  </si>
  <si>
    <t>OCT 10</t>
  </si>
  <si>
    <t>10.3389/fphar.2018.01143</t>
  </si>
  <si>
    <t>WOS:000446874100001</t>
  </si>
  <si>
    <t>Montalvo, S; Vielma, S; Borja, R; Huiliñir, C; Guerrero, L</t>
  </si>
  <si>
    <t>Montalvo, Silvio; Vielma, Stephania; Borja, Rafael; Huilinir, Cesar; Guerrero, Lorna</t>
  </si>
  <si>
    <t>Increase in biogas production in anaerobic sludge digestion by combining aerobic hydrolysis and addition of metallic wastes</t>
  </si>
  <si>
    <t>RENEWABLE ENERGY</t>
  </si>
  <si>
    <t>The objective of this work was to determine the effect of a controlled micro-aeration as a pretreatment or hydrolytic stage of mixed sewage sludge and the incorporation of solid wastes as a source of trace metals in the anaerobic digestion of this pretreated sludge. Three experimental runs were carried out under the same conditions in laboratory-scale anaerobic reactors, to which a previously aerated mixed sludge was added as a substrate and anaerobic sludge as the inoculum. Two anaerobic digesters (blank) were also operated without aerobic pretreatment and without the addition of metallic wastes. The aerobic pretreatment was performed during 48 hat 35 degrees C with an aeration flow of 0.35 vvm. All anaerobic reactors were operated at the mesophilic temperature of 35 +/- 2 degrees C. Fly ash or Copper mining residues were added to the anaerobic reactors as trace metal supplementation. The aggregated concentrations were 250 mg L-1 fly ash, 25 mg L-1 Copper mining residues and 0 mg/L The blank reactors produced 38% less methane than those generated in the reactors operating with the pre-aerobic treatment without addition of metallic wastes (controls). It was found that the reactors with micro-aerobic pretreated sludge and the addition of fly ash gave the best yields of methane, producing a 201.6% increase in methane with respect to the blank reactors. On the other hand, the pretreatment of micro-aerobic hydrolysis and the addition of mining residues generated an increase of 185.8% in methane production compared to the blank reactors. (C) 2018 Elsevier Ltd. All rights reserved.</t>
  </si>
  <si>
    <t>Huilinir, Cesar/IYS-6899-2023; Borja, Rafael/P-5314-2016</t>
  </si>
  <si>
    <t>Huilinir, Cesar/0000-0002-3487-684X; Borja, Rafael/0000-0002-3699-7223</t>
  </si>
  <si>
    <t>0960-1481</t>
  </si>
  <si>
    <t>10.1016/j.renene.2018.02.004</t>
  </si>
  <si>
    <t>WOS:000430769100046</t>
  </si>
  <si>
    <t>On the ergodic theory of free group actions by real-analytic circle diffeomorphisms</t>
  </si>
  <si>
    <t>INVENTIONES MATHEMATICAE</t>
  </si>
  <si>
    <t>We consider finitely generated groups of real-analytic circle diffeomorphisms. We show that if such a group admits an exceptional minimal set (i.e., a minimal invariant Cantor set), then its Lebesgue measure is zero; moreover, there are only finitely many orbits of connected components of its complement. For the case of minimal actions, we show that if the underlying group is (algebraically) free, then the action is ergodic with respect to the Lebesgue measure. This provides first answers to questions due to Ae. Ghys, G. Hector and D. Sullivan.</t>
  </si>
  <si>
    <t>Kleptsyn, Victor/0000-0001-5825-5856; Navas Flores, Andres Ignacio/0000-0002-0853-5136</t>
  </si>
  <si>
    <t>0020-9910</t>
  </si>
  <si>
    <t>1432-1297</t>
  </si>
  <si>
    <t>10.1007/s00222-017-0779-4</t>
  </si>
  <si>
    <t>WOS:000432208300001</t>
  </si>
  <si>
    <t>Díaz-Báñez, JM; Lopez, MA; Ochoa, C; Pérez-Lantero, P</t>
  </si>
  <si>
    <t>Diaz-Banez, J. M.; Lopez, M. A.; Ochoa, C.; Perez-Lantero, P.</t>
  </si>
  <si>
    <t>Computing the coarseness with strips or boxes</t>
  </si>
  <si>
    <t>DISCRETE APPLIED MATHEMATICS</t>
  </si>
  <si>
    <t>Recently, the concept of coarseness was introduced as a measure of how blended a 2-colored point set S is. In the definition of this measure, a convex partition 17, that is, a partition of S into sets (Si, ..., S-k} of S whose convex hulls are pairwise disjoint, is considered. The discrepancy of Pi, denoted by d(S, Pi), is the smallest (bichromatic) discrepancyof the elements of Pi. The coarseness of S, denoted by C(s), is then defined as the maximum of d(S, Pi) over all convex partitions Pi of S. Roughly speaking, the value of the coarseness is high when we can split S into blocks, each with large discrepancy. It has been conjectured that computing the coarseness is NP-hard. In this paper, we study how to compute the coarseness for two constrained cases: (1) when the k elements of Pi are separated by k - 1 pairwise parallel lines (strips) and, (2) the case in which the cardinality of the partition is fixed and the elements of Pi are covered by pairwise disjoint axis-aligned rectangles (boxes). For the first case we present an O(n(2) log(2) n)-time algorithm, and show that such a computation problem is 3SUM-hard; for the second, we show that computing the coarseness with k boxes is NP-hard, when k is part of the input. Fork fixed, we show that the coarseness can be computed in O(n(2k-1)) time and propose more efficient algorithms for k = 2, 3, 4. (C) 2017 Elsevier B.V. All rights reserved.</t>
  </si>
  <si>
    <t>; Diaz-Banez, Jose Miguel/L-1996-2014</t>
  </si>
  <si>
    <t>Ochoa, Carlos/0000-0002-1366-3028; Diaz-Banez, Jose Miguel/0000-0002-4031-4309</t>
  </si>
  <si>
    <t>0166-218X</t>
  </si>
  <si>
    <t>1872-6771</t>
  </si>
  <si>
    <t>10.1016/j.dam.2017.02.022</t>
  </si>
  <si>
    <t>WOS:000401212300007</t>
  </si>
  <si>
    <t>Mendoza, M; Marín, M; Gil-Costa, V; Ferrarotti, F</t>
  </si>
  <si>
    <t>Mendoza, Marcelo; Marin, Mauricio; Gil-Costa, Veronica; Ferrarotti, Flavio</t>
  </si>
  <si>
    <t>Reducing hardware hit by queries in web search engines</t>
  </si>
  <si>
    <t>INFORMATION PROCESSING &amp; MANAGEMENT</t>
  </si>
  <si>
    <t>In this paper, we introduce a new collection selection strategy to be operated in search engines with document partitioned indexes. Our method involves the selection of those document partitions that are most likely to deliver the best results to the formulated queries, reducing the number of queries that are submitted to each partition. This method employs learning algorithms that are capable of ranking the partitions, maximizing the probability of recovering documents with high gain. The method operates by building vector representations of each partition on the term space that is spanned by the queries. The proposed method is able to generalize to new queries and elaborate document lists with high precision for queries not considered during the training phase. To update the representations of each partition, our method employs incremental learning strategies. Beginning with an inversion test of the partition lists, we identify queries that contribute with new information and add them to the training phase. The experimental results show that our collection selection method favorably compares with state-of-the-art methods. In addition our method achieves a suitable performance with low parameter sensitivity making it applicable to search engines with hundreds of partitions. (C) 2016 Elsevier Ltd. All rights reserved.</t>
  </si>
  <si>
    <t>Marin, Mauricio/GLR-7700-2022; Gil-Costa, Veronica/GPT-4785-2022; Mendoza, Marcelo/D-2312-2014</t>
  </si>
  <si>
    <t>Ferrarotti, Flavio/0000-0003-2278-8233; Mendoza, Marcelo/0000-0002-7969-6041; Marin, Mauricio/0000-0003-0662-7149; Gil-Costa, Veronica/0000-0003-4637-9725</t>
  </si>
  <si>
    <t>0306-4573</t>
  </si>
  <si>
    <t>1873-5371</t>
  </si>
  <si>
    <t>10.1016/j.ipm.2016.04.008</t>
  </si>
  <si>
    <t>WOS:000385605300004</t>
  </si>
  <si>
    <t>Franco, C; Amutio, A; López-González, L; Oriol, X; Martínez-Taboada, C</t>
  </si>
  <si>
    <t>Franco, Clemente; Amutio, Alberto; Lopez-Gonzalez, Luis; Oriol, Xavier; Martinez-Taboada, Cristina</t>
  </si>
  <si>
    <t>Effect of a Mindfulness Training Program on the Impulsivity and Aggression Levels of Adolescents with Behavioral Problems in the Classroom</t>
  </si>
  <si>
    <t>FRONTIERS IN PSYCHOLOGY</t>
  </si>
  <si>
    <t>Objective: The aim of the present study was to analyze the effects of a mindfulness training psycho-educative program on impulsivity and aggression levels in a sample of high school students. Methods: A randomized controlled trial with pre-test post-test measurements was applied to an experimental group and a control group (waiting list). The Barratt Impulsivity Scale (BIS-11) Patton et al. (1995) and the Aggression Questionnaire (Buss and Perry, 1992) were used. Results: Statistical analyses showed a significant decrease in the levels of impulsivity and aggressiveness in the experimental group compared with the control group. These results have important implications for improving the level of academic engagement and self-efficacy of students and for reducing school failure. Conclusion: This is one of the first studies showing the effectiveness of mindfulness training at reducing impulsive and aggressive behaviors in the classroom. The efficacy of mindfulness-based programs is emphasized.</t>
  </si>
  <si>
    <t>Amutio, Alberto/AAP-7380-2020; Amutio, Alberto/O-3068-2016; Oriol, Xavier/AAO-3112-2021</t>
  </si>
  <si>
    <t>Amutio, Alberto/0000-0003-3989-9992; Martinez Taboada Kutz, CRISTINA/0000-0002-7749-1114; Oriol, Xavier/0000-0001-7130-7729</t>
  </si>
  <si>
    <t>1664-1078</t>
  </si>
  <si>
    <t>SEP 22</t>
  </si>
  <si>
    <t>10.3389/fpsyg.2016.01385</t>
  </si>
  <si>
    <t>WOS:000383661400001</t>
  </si>
  <si>
    <t>Aravena, D; Atanasov, M; Neese, F</t>
  </si>
  <si>
    <t>Aravena, Daniel; Atanasov, Mihail; Neese, Frank</t>
  </si>
  <si>
    <t>Periodic Trends in Lanthanide Compounds through the Eyes of Multireference ab Initio Theory</t>
  </si>
  <si>
    <t>INORGANIC CHEMISTRY</t>
  </si>
  <si>
    <t>Regularities among electronic configurations for common oxidation states in lanthanide complexes and the low involvement of f orbitals in bonding result in the appearance of several periodic trends along the lanthanide series. These trends can be observed on relatively different properties, such as bonding distances or ionization potentials. Well-known concepts like the lanthanide contraction, the double-double (tetrad) effect, and the similar chemistry along the lanthanide series stem from these regularities. Periodic trends on structural and spectroscopic properties are examined through complete active space self-consistent field (CASSCF) followed by second-order N-electron valence perturbation theory (NEVPT2) including both scalar relativistic and spinorbit coupling effects. Energies and wave functions from electronic structure calculations are further analyzed in terms of ab initio ligand field theory (AILFT), which allows one to rigorously extract angular overlap model ligand field, Racah, and spinorbit coupling parameters directly from high-level ab initio calculations. We investigated the elpasolite Cs(2)NaLn(III)C(l6) (Ln(III) = Ce-Nd, Sm-Eu, Tb-Yb) crystals because these compounds have been synthesized for most LnIII ions. Cs(2)NaLn(III)C(l6) elpasolites have been also thoroughly characterized with respect to their spectroscopic properties, providing an exceptionally vast and systematic experimental database allowing one to analyze the periodic trends across the lanthanide series. Particular attention was devoted to the apparent discrepancy in metalligand covalency trends between theory and spectroscopy described in the literature. Consistent with earlier studies, natural population analysis indicates an increase in covalency along the series, while a decrease in both the nephelauxetic (Racah) and relativistic nephelauxetic (spinorbit coupling) reduction with increasing atomic number is calculated. These apparently conflicting results are discussed on the basis of AILFT parameters. The AILFT derived parameters faithfully reproduce the underlying multireference electronic structure calculations. The remaining discrepancies with respect to experimentally derived data are mostly due to underestimation of the ligand field splittings, while the dynamic correlation and nephelauxetic effects appears to be adequately covered by CASSCF/NEVPT2.</t>
  </si>
  <si>
    <t>Aravena, Daniel/F-2174-2011; Neese, Frank/J-4959-2014</t>
  </si>
  <si>
    <t>Aravena, Daniel/0000-0003-3140-4852; Neese, Frank/0000-0003-4691-0547</t>
  </si>
  <si>
    <t>0020-1669</t>
  </si>
  <si>
    <t>1520-510X</t>
  </si>
  <si>
    <t>MAY 2</t>
  </si>
  <si>
    <t>10.1021/acs.inorgchem.6b00244</t>
  </si>
  <si>
    <t>WOS:000375519700042</t>
  </si>
  <si>
    <t>García, GC; Takahashi, T</t>
  </si>
  <si>
    <t>Garcia, Galina C.; Takahashi, Takeo</t>
  </si>
  <si>
    <t>Numerical observers with vanishing viscosity for the 1d wave equation</t>
  </si>
  <si>
    <t>ADVANCES IN COMPUTATIONAL MATHEMATICS</t>
  </si>
  <si>
    <t>We consider a numerical scheme associated with the iterative method developed in Ramdani et al. (ESAIM Control Optim. Calc. Var. 13(3):503-527, 2007) to recover initial conditions of conservative systems. In this method, the initial conditions are reconstructed by using observers. Here we use a finite-difference discretization in space of these observers and our aim is to prove estimates of the errors with respect to the mesh size and to the number of steps in the iterative method. This is done in the particular example of the 1d wave equation. In order to avoid restrictions of the number of steps with respect to the mesh size, we add a numerical viscosity in the numerical observers. A generalization for other equations is also given.</t>
  </si>
  <si>
    <t>Garcia, Galina/U-1019-2017</t>
  </si>
  <si>
    <t>Garcia, Galina C./0000-0003-2188-6368; Takahashi, Takeo/0000-0003-1270-6150</t>
  </si>
  <si>
    <t>1019-7168</t>
  </si>
  <si>
    <t>1572-9044</t>
  </si>
  <si>
    <t>10.1007/s10444-013-9320-5</t>
  </si>
  <si>
    <t>WOS:000340049400001</t>
  </si>
  <si>
    <t>Muñoz, MA; Urzúa, A; Echeverría, J; Modak, B; Joseph-Nathan, P</t>
  </si>
  <si>
    <t>Munoz, Marcelo A.; Urzua, Alejandro; Echeverria, Javier; Modak, Brenda; Joseph-Nathan, Pedro</t>
  </si>
  <si>
    <t>Solid State Structure and Absolute Configuration of Filifolinol Acetate</t>
  </si>
  <si>
    <t>NATURAL PRODUCT COMMUNICATIONS</t>
  </si>
  <si>
    <t>Careful reevaluation of the (1)H and (13)C NMR spectroscopic data of filifolinol acetate (4) led to the reassignment of the C-10 and C-11 signals, as well as the gem-dimethyl signals. Single crystal X-ray analysis provided an independent structural confirmation of 4, and comparison of the experimental vibrational circular dichroism spectrum with calculations performed using density functional theory provided the absolute configuration of this 3H-spiro-1-benzofuran-2,1'-cyclohexane and related molecules.</t>
  </si>
  <si>
    <t>Muñoz, Marcelo/S-7373-2019; Echeverría, Javier/AAK-3323-2020</t>
  </si>
  <si>
    <t>Urzua, Alejandro/0000-0003-2638-0921; Echeverria, Javier/0000-0002-1688-968X</t>
  </si>
  <si>
    <t>1934-578X</t>
  </si>
  <si>
    <t>WOS:000291838300004</t>
  </si>
  <si>
    <t>Zhang, H; Vu, NT; Bao, Q; Silverman, RW; Stout, DB; Taschereau, R; Berry-Pusey, BN; Williams, DA; Williams, DA; Douraghy, A; Rannou, FR; Phelps, ME; Chatziioannou, AF</t>
  </si>
  <si>
    <t>Yu, B</t>
  </si>
  <si>
    <t>Zhang, H.; Vu, N. T.; Bao, Q.; Silverman, R. W.; Stout, D. B.; Taschereau, R.; Berry-Pusey, B. N.; Williams, D. A.; Williams, D. A.; Douraghy, A.; Rannou, F. R.; Phelps, M. E.; Chatziioannou, A. F.</t>
  </si>
  <si>
    <t>Performance Evaluation of PETbox: A Low Cost Bench Top PET Scanner Dedicated to High Throughput Preclinical Imaging</t>
  </si>
  <si>
    <t>2009 IEEE NUCLEAR SCIENCE SYMPOSIUM CONFERENCE RECORD, VOLS 1-5</t>
  </si>
  <si>
    <t>IEEE Nuclear Science Symposium and Medical Imaging Conference</t>
  </si>
  <si>
    <t>IEEE Nuclear Science Symposium Conference 2009</t>
  </si>
  <si>
    <t>OCT 25-31, 2009</t>
  </si>
  <si>
    <t>Orlando, FL</t>
  </si>
  <si>
    <t>IEEE, Nucl Plasma Sci Sect,IEEE</t>
  </si>
  <si>
    <t>PETbox is designed to be a low cost and easy to use bench top small animal PET scanner dedicated for high throughput quantitative pharmacokinetic and pharmacodynamic studies. To achieve this goal, the scanner is integrated with a complete animal management system that provides life support including reproducible positioning, temperature control, anesthesia, real-time monitoring of animal respiration and a pathogen barrier. This approach minimizes the overall cost and complexity of preclinical PET imaging and should enable non-imaging scientists to embrace the technology. The system uses two opposing detector heads, each one consisting of a pixilated BGO array coupled to two H8500 multi-channel photomultiplier tubes. The BGO crystals were segmented into 20 x 44 arrays with a pixel pitch of 2.2 mm and a total active area of 44 mm x 96.8 mm. Position and timing signals from the photomultiplier tube readout circuitry were connected to a field programmable gate array (FPGA) hoard with eight ADC channels, each running at 100M Hz. Signal processing algorithms were developed for the FPGA to process received PET events and raw list-mode data were generated by the FPGA board and transferred to a host PC for storage. Basic system performance parameters were measured. The system has an average intrinsic spatial resolution of 1.72mm FWHM along detector long axis and 1.84mm FWHM along detector short axis. The coincidence timing resolution was measured to be 4.1ns FWHM. The average energy resolution of the crystals was 19.8% and the absolute sensitivity of the system was measured to be 3.8% at the center of the gantry. Initial imaging studies were also performed with live mice. A mouse tumor xenograft was imaged 1 hour after a 32uCi [F-18]FDG injection for 20 minutes. 3D images were generated using a ML-EM method. Results demonstrate the capability and potential of the PETbox system for dedicated high throughput mouse studies such as biodistribution and organ uptake quantification.</t>
  </si>
  <si>
    <t>Williams, David/A-1180-2007; STOUT, Brian/F-6919-2015; bao, qinan/A-2230-2012; Rannou, Fernando/G-5749-2019</t>
  </si>
  <si>
    <t>Rannou, Fernando/0000-0002-3244-1893</t>
  </si>
  <si>
    <t>1095-7863</t>
  </si>
  <si>
    <t>978-1-4244-3961-4</t>
  </si>
  <si>
    <t>10.1109/NSSMIC.2009.5401918</t>
  </si>
  <si>
    <t>WOS:000280505102139</t>
  </si>
  <si>
    <t>Bartolini, M; Molina, J; Ortega, MC; Sojo, P; Pardey, AJ; Longo, C; Moya, SA; Feazell, RP</t>
  </si>
  <si>
    <t>Bartolini, M.; Molina, J.; Ortega, M. C.; Sojo, P.; Pardey, A. J.; Longo, C.; Moya, S. A.; Feazell, R. P.</t>
  </si>
  <si>
    <t>Nitrobenzene reduction catalized by soluble carbonylrhodium complexes of methyl and dimethyl pyridine ligands</t>
  </si>
  <si>
    <t>The catalytic reduction of nitrobenzene by rhodium(I) complexes of the type cis-[Rh(CO)(2)(amine)(2)](PF6) (amine = 2-methylpyridine, 3-methylpyridine, 4-methylpyridine, or 2,6-dimethylpyridine) in methanol under an atmosphere of carbon monoxide is described. A single organic product, aniline, is seen in the post-reaction mixture. The amount of product formed depends upon the nature of the amine coordinated to the rhodium center.</t>
  </si>
  <si>
    <t>Bartolini, Manuela/L-8678-2014</t>
  </si>
  <si>
    <t>WOS:000249169500013</t>
  </si>
  <si>
    <t>Lobana, TS; Bawa, G; Castineiras, A; Butcher, RJ</t>
  </si>
  <si>
    <t>Lobana, Tarlok S.; Bawa, Gagandeep; Castineiras, Alfonso; Butcher, Ray J.</t>
  </si>
  <si>
    <t>First example of pyrrole-2-carbaldehyde thiosemicarbazone as tridentate dianion in [Pd(η3-N4,N3,S-ptsc)(PPh3)] complex</t>
  </si>
  <si>
    <t>INORGANIC CHEMISTRY COMMUNICATIONS</t>
  </si>
  <si>
    <t>Reaction of pyrrole-2-carbaldehyde thiosemicarbazone (H(2)ptsc) with PdCl2(PPh3)(2) in 1: 1 mol ratio in presence of Et3N leads to complete dechlorination to generate square planar complex, [Pd(eta(3)-N-4, N-3,S-ptsc)(PPh3)] (1), existing as three independent molecules in the same unit cell, and H(2)Ptsc behaves in an unusual dinegative tridentate mode. Salicylaldehyde thiosemicarbazone (H(2)stsc) formed similar compound, [Pd(eta(3) -O,N-3,S-stsc)(PPh3)] (3). (c) 2007 Elsevier B.V. All rights reserved.</t>
  </si>
  <si>
    <t>Castineiras, Alfonso/M-9122-2013</t>
  </si>
  <si>
    <t>1387-7003</t>
  </si>
  <si>
    <t>1879-0259</t>
  </si>
  <si>
    <t>10.1016/j.inoche.2006.12.024</t>
  </si>
  <si>
    <t>WOS:000245310300032</t>
  </si>
  <si>
    <t>Chaman, ME; Corcuera, LJ; Zúñiga, GE; Cardemil, L; Argandoña, VH</t>
  </si>
  <si>
    <t>Induction of soluble and cell wall peroxidases by aphid infestation in barley</t>
  </si>
  <si>
    <t>Peroxidase enzymes have been found in soluble, ionically bound, and covalently bound forms and have been implicated in several physiological processes in plants. This paper investigates the effect of aphid infestation on soluble and bound-cell wall peroxidase activity and bound-cell wall isoform changes of barley plants. Peroxidase activity: was measured in control plants and plants infested with the aphid Schizaphis graminum (Rondani). The activity of soluble peroxidases increased with time of infestation, older plants being more affected than younger ones. The increase in bound-cell wall peroxidase activity as a function of age was higher in infested than in control plants, being higher in ionically bound than in covalently bound peroxidases. When the aphids were removed from plants, the activities of both types of peroxidases decreased to control levels. Isoelectrofocusing analyses of the ionically bound peroxidases showed changes in the isoform pattern. A new isoform was induced by infestation. The activities of all covalently bound isoforms increased after infestation. The physiological implications of these changes are discussed.</t>
  </si>
  <si>
    <t>Corcuera, Luis/G-1714-2014; Zuñiga, Gustavo/P-8306-2015</t>
  </si>
  <si>
    <t>Zuniga, Gustavo/0000-0002-8286-9468; Chaman Medina, Mercedes Elizabeth/0000-0001-8621-375X; Cardemil, Liliana/0000-0003-3496-1101</t>
  </si>
  <si>
    <t>10.1021/jf0011440</t>
  </si>
  <si>
    <t>WOS:000168915200022</t>
  </si>
  <si>
    <t>Celentano, D; Gunasegaram, D; Nguyen, T</t>
  </si>
  <si>
    <t>A thermomechanical model for the analysis of light alloy solidification in a composite mould</t>
  </si>
  <si>
    <t>INTERNATIONAL JOURNAL OF SOLIDS AND STRUCTURES</t>
  </si>
  <si>
    <t>A coupled thermomechanical model to simulate light alloy solidification problems in permanent composite moulds is presented. This model is based on a general isotropic thermoelasto-plasticity theory and considers the different thermomechanical behaviours of each component of the mould as well as those of the solidifying material during its evolution from liquid to solid. To this end, plastic evolution equations, a phase-change variable and a specific free energy function are proposed in order to derive temperature-dependent material constitutive laws. The corresponding finite element formulation and the staggered scheme used to solve the coupled nonlinear system of equations are also presented. Finally, the temperature and displacement predictions of the model are validated with laboratory measurements obtained during an experimental trial. (C) 1999 Elsevier Science Ltd. All rights reserved.</t>
  </si>
  <si>
    <t>Celentano, Diego/JQW-5027-2023; Gunasegaram, Dayalan/C-9099-2009</t>
  </si>
  <si>
    <t>Gunasegaram, Dayalan/0000-0002-0197-569X</t>
  </si>
  <si>
    <t>0020-7683</t>
  </si>
  <si>
    <t>1879-2146</t>
  </si>
  <si>
    <t>10.1016/S0020-7683(98)00114-0</t>
  </si>
  <si>
    <t>WOS:000078738100002</t>
  </si>
  <si>
    <t>Salfate, G; Negrete-Vergara, C; Sánchez, J</t>
  </si>
  <si>
    <t>Salfate, Gabriel; Negrete-Vergara, Camila; Sanchez, Julio</t>
  </si>
  <si>
    <t>Sulfonated methacrylated lignin and itaconic acid hydrogels for Cu (II) removal from water</t>
  </si>
  <si>
    <t>CHEMICAL ENGINEERING SCIENCE</t>
  </si>
  <si>
    <t>In this work, lignin was modified to obtain sulfonated methacrylated lignin (LMS). Together with itaconic acid (AITC), polymeric hydrogels were obtained, characterized by Fourier transform infrared spectroscopy and thermogravimetric analysis, and evaluated in water swelling and Cu (II) adsorption. The AITC/LMS materials were obtained by free radical polymerization and behave as hydrogels, swelling up to 300 % their mass in the presence of water. These AITC/LMS polymers can capture Cu (II) ions through both electrostatic attractions and chemisorption according to the PFO, PSO and IPD kinetic models. Also, the Cu (II) sorption followed the Langmuir isotherm model, with qmax of 67 mg/g, showing the effectiveness of employing these AITC/LMS copolymers for Cu (II) removal from water, underscoring its potential as an eco-friendly and efficient material in addressing the challenges associated with heavy metal presence in water systems.</t>
  </si>
  <si>
    <t>0009-2509</t>
  </si>
  <si>
    <t>1873-4405</t>
  </si>
  <si>
    <t>10.1016/j.ces.2025.121440</t>
  </si>
  <si>
    <t>FEB 2025</t>
  </si>
  <si>
    <t>WOS:001437500400001</t>
  </si>
  <si>
    <t>Fondo, M; Oreiro-Martínez, P; Corredoira-Vázquez, J; García-Deibe, AM; Sanmartín-Matalobos, J; Aravena, D</t>
  </si>
  <si>
    <t>Fondo, Matilde; Oreiro-Martinez, Paula; Corredoira-Vazquez, Julio; Garcia-Deibe, Ana M.; Sanmartin-Matalobos, Jesus; Aravena, Daniel</t>
  </si>
  <si>
    <t>Modulating Magnetic Performance in DyIII Single Ion Magnets With N5O2 Ligands</t>
  </si>
  <si>
    <t>APPLIED ORGANOMETALLIC CHEMISTRY</t>
  </si>
  <si>
    <t>[Dy (L-Me)(H2O)]CF3SO30.25H(2)O (10.25H(2)O), where H2LMe is the reported ligand 2,2 '-(((pyridine-2,6-diylbis (methylene))bis((pyridin-2-ylmethyl)azanediyl))bis (methylene))bis(4-methylphenol), shows the DyIII ion in an N5O3 environment, with triangular dodecahedral geometry (D-2d symmetry). 10.25H(2)O is a single ion magnet (SIM) with an energy barrier for spin reversal of 510 K, and open hysteresis loops up to 8 K. The magnetostructural comparison of 10.25H(2)O with some closely related complexes and with other eight-coordinated SIMs with high energy barriers (&gt; 300 K) allows to draw some conclusions to enhance the magnetic performance in these nanomagnets with non-purely axial geometries. Ab initio calculations complement and support the experimental results.</t>
  </si>
  <si>
    <t>; Garcia-Deibe, Ana M./F-3136-2012; Corredoira-Vazquez, Julio/G-8477-2017; Sanmartin-Matalobos, Jesus/A-1415-2013; Aravena, Daniel/F-2174-2011; Fondo, Matilde/I-9185-2014</t>
  </si>
  <si>
    <t>Oreiro-Martinez, Paula/0000-0003-1199-5472; Garcia-Deibe, Ana M./0000-0001-9127-0740; Corredoira-Vazquez, Julio/0000-0002-7806-179X; Sanmartin-Matalobos, Jesus/0000-0002-9971-4657; Aravena, Daniel/0000-0003-3140-4852; Fondo, Matilde/0000-0002-7535-946X</t>
  </si>
  <si>
    <t>0268-2605</t>
  </si>
  <si>
    <t>1099-0739</t>
  </si>
  <si>
    <t>10.1002/aoc.7684</t>
  </si>
  <si>
    <t>AUG 2024</t>
  </si>
  <si>
    <t>WOS:001289327000001</t>
  </si>
  <si>
    <t>Chandía-Cristi, A; Gutiérrez, DA; Dulcey, AE; Lara, M; Vargas, L; Lin, YH; Jimenez-Muñoz, P; Larenas, G; Xu, X; Wang, A; Owens, A; Dextras, C; Chen, YC; Pinto, C; Marín, T; Almarza-Salazar, H; Acevedo, K; Cancino, GI; Hu, X; Rojas, P; Ferrer, M; Southall, N; Henderson, MJ; Zanlungo, S; Marugan, JJ; Alvarez, RA</t>
  </si>
  <si>
    <t>Chandia-Cristi, America; Gutierrez, Daniela A.; Dulcey, Andres E.; Lara, Marcelo; Vargas, Lina; Lin, Yi-Han; Jimenez-Munoz, Pablo; Larenas, Gabriela; Xu, Xin; Wang, Amy; Owens, Ashley; Dextras, Christopher; Chen, Yuchi; Pinto, Claudio; Marin, Tamara; Almarza-Salazar, Hugo; Acevedo, Keryma; Cancino, Gonzalo I.; Hu, Xin; Rojas, Patricio; Ferrer, Marc; Southall, Noel; Henderson, Mark J.; Zanlungo, Silvana; Marugan, Juan J.; Alvarez, R. Alejandra</t>
  </si>
  <si>
    <t>Prophylactic treatment with the c-Abl inhibitor, neurotinib, diminishes neuronal damage and the convulsive state in pilocarpine-induced mice</t>
  </si>
  <si>
    <t>CELL REPORTS</t>
  </si>
  <si>
    <t>The molecular mechanisms underlying seizure generation remain elusive, yet they are crucial for developing effective treatments for epilepsy. The current study shows that inhibiting c-Abl tyrosine kinase prevents apoptosis, reduces dendritic spine loss, and maintains N-methyl-D-aspartate D-aspartate (NMDA) receptor subunit 2B (NR2B) phosphorylated in in vitro models of excitotoxicity. Pilocarpine-induced status epilepticus (SE) in mice promotes c-Abl phosphorylation, and disrupting c-Abl activity leads to fewer seizures, increases latency toward SE, and improved animal survival. Currently, clinically used c-Abl inhibitors are non-selective and have poor brain penetration. The allosteric c-Abl inhibitor, neurotinib, used here has favorable potency, selectivity, pharmacokinetics, and vastly improved brain penetration. Neurotinib-administered mice have fewer seizures and improved survival following pilocarpine-SE induction. Our findings reveal c-Abl kinase activation as a key factor in ictogenesis and highlight the impact of its inhibition in preventing the insurgence of epileptic-like seizures in rodents and humans.</t>
  </si>
  <si>
    <t>Cancino, Gonzalo/ABF-6049-2021; Henderson, Mark/P-6810-2018; Southall, Noel/H-8991-2012; Acevedo, Keryma/LZE-7525-2025; Lin, Yi-Han/Q-6352-2018</t>
  </si>
  <si>
    <t>, Hugo Almarza-Salazar/0009-0005-7408-9639; Gutierrez Garcia, Daniela A./0000-0001-5823-8044; Cancino, Gonzalo/0000-0001-8697-7282; Henderson, Mark/0000-0001-8590-7338</t>
  </si>
  <si>
    <t>2211-1247</t>
  </si>
  <si>
    <t>MAY 28</t>
  </si>
  <si>
    <t>10.1016/j.celrep.2024.114144</t>
  </si>
  <si>
    <t>APR 2024</t>
  </si>
  <si>
    <t>WOS:001295847100001</t>
  </si>
  <si>
    <t>Paredes-Toledo, J; Herrera, J; Díaz-Calderón, P; Robert, P; Giménez, B</t>
  </si>
  <si>
    <t>Paredes-Toledo, Javier; Herrera, Javier; Diaz-Calderon, Paulo; Robert, Paz; Gimenez, Begona</t>
  </si>
  <si>
    <t>In Vitro Gastrointestinal Release of Chlorogenic Acid and Curcumin Co-Encapsulated in Double Emulsions with the Outer Interface Stabilized by Cellulose Nanocrystals</t>
  </si>
  <si>
    <t>COLLOIDS AND INTERFACES</t>
  </si>
  <si>
    <t>A Pickering double emulsion (DE) with an outer (O:W-2) interface stabilized by cellulose nanocrystals (DE-CNC) was designed as a co-delivery systems for chlorogenic acid (CA) and curcumin, then compared with a control DE emulsion with an O:W-2 interface stabilized with sodium caseinate (DE-NaCas). DE-CNC was more resistant to creaming during storage (6.79%, day 42) and showed higher encapsulation efficiency (EE) of CA (&gt;90%). Conversely, both DEs exhibited similarly high EE for curcumin (&gt;97%). The zeta-potential values were highly negative in both DEs, but tended to be lower in DE-CNC due to the highly negative charge of the CNCs. DE-CNC allowed for a steady release of CA during the oral, gastric, and intestinal phases of digestion, while a total release of CA was already observed in the gastric phase in case of DE-NaCas. The bioaccessibility of CA was similar in both DEs (similar to 57-58%). Curcumin was mainly released in the intestinal phase with both DEs, reaching slightly lower bioaccessibility values with DE-CNC. The use of CNCs as a stabilizer for the outer interface of DEs is a promising strategy to increase the stability and EE of these systems, providing oral co-delivery vehicles capable of releasing significantly bioactive compounds during the intestinal phase of digestion.</t>
  </si>
  <si>
    <t>Diaz-Calderon, Paulo/0000-0002-8375-2210; Paredes-Toledo, Javier/0000-0003-1354-2434; Gimenez, Begona/0000-0002-9553-6291</t>
  </si>
  <si>
    <t>2504-5377</t>
  </si>
  <si>
    <t>10.3390/colloids8020024</t>
  </si>
  <si>
    <t>WOS:001211268500001</t>
  </si>
  <si>
    <t>Aedo-Muñoz, E; Brito, CJ; Muñoz, PM; Nóbrega, ODT; Miarka, B; Valenzuela, MG; Arriagada-Tarifeño, D</t>
  </si>
  <si>
    <t>Aedo-Munoz, Esteban; Brito, Ciro Jose; Munoz, Pablo Merino; Nobrega, Otavio De Toledo; Miarka, Bianca; Valenzuela, Matias Gonzalez; Arriagada-Tarifeno, David</t>
  </si>
  <si>
    <t>Do judokas present differences between upper limbs for the concentric strength of the internal and external rotators of the shoulder?</t>
  </si>
  <si>
    <t>ISOKINETICS AND EXERCISE SCIENCE</t>
  </si>
  <si>
    <t>BACKGROUND: Long-time judo training can lead athletes to develop upper limb asymmetry and shoulder asymmetry during force production, mainly in the action of pulling, pushing, and throwing; that requires higher strength and velocity of the internal and external rotators of the shoulders, which may also result in shoulder injury, or a decrease in judo performance. OBJECTIVE: To investigate asymmetries in concentric force of the internal and external shoulder rotators of the dominant and non-dominant upper limbs in high-level judokas at angular velocities of 60, 180, and 300ffi/s. METHODS: 14 highly trained male judokas (age 24.4 similar to 4.8 yrs.; body mass 87.9 similar to 18.7 kg; height 1.8 similar to 0.1 m). All participants performed 5 attempts of movement concentric internal and external rotation of the shoulder with 3 angular velocities (60 degrees/s, 180 degrees/s, and 300 degrees/s) in an isokinetic dynamometer (Cybex similar to R Humac Norm Dynamometer CSMI, model 502140). The data were analyzed by independent t-student (discrete analysis) a statistical parametric mapping (SPM) curve (one-dimensional analysis). RESULTS: There was no difference in dominant vs. non-dominant for discrete analysis (p &gt; 0.05). There was no difference in dominant vs. non-dominant for SPM analysis. None of the comparisons surpassed the comparison cut-off (tcrit) for the t-test (p &gt; 0.05). CONCLUSIONS: Based on results, judokas do not present significant asymmetries in concentric force of external or internal shoulder rotators when compared to the dominant vs. the non-dominant upper limb according to discrete and one-dimensional (SPM) analysis.</t>
  </si>
  <si>
    <t>Brito, Ciro/AAC-9104-2019; Nobrega, Otavio/J-7738-2012; Aedo-Muñoz, Esteban/R-5623-2019; Merino Muñoz, Pablo/JGL-6690-2023; Miarka, Bianca/V-7395-2017</t>
  </si>
  <si>
    <t>Merino-Munoz, Pablo/0000-0002-8323-726X; Aedo-Munoz, Esteban/0000-0003-1544-2824; T Nobrega, Otavio/0000-0003-1775-7176; Arriagada, David/0000-0003-3540-6345; brito, ciro/0000-0002-9678-1977; Miarka, Bianca/0000-0002-7513-7605; Gonzalez Valenzuela, Matias/0000-0003-4953-6204</t>
  </si>
  <si>
    <t>0959-3020</t>
  </si>
  <si>
    <t>1878-5913</t>
  </si>
  <si>
    <t>10.3233/IES-230073</t>
  </si>
  <si>
    <t>WOS:001265081600002</t>
  </si>
  <si>
    <t>Soto, BL; Azurdia-Meza, CA; Zabala-Blanco, D; Soto, I; Játiva, PP; Ahumada-García, R</t>
  </si>
  <si>
    <t>Lobos Soto, Benjamin; Azurdia-Meza, Cesar A.; Zabala-Blanco, David; Soto, Ismael; Palacios Jativa, Pablo; Ahumada-Garcia, Roberto</t>
  </si>
  <si>
    <t>Analysis of a Visible Light Positioning Database in Extreme Learning Machines Applications</t>
  </si>
  <si>
    <t>Over the past few years, there has been a growing interest in indoor positioning systems that use Visible Light Communication (VLC) technology in conjunction with light-emitting diodes (LEDs). These systems have become popular because of their ability to provide high bandwidth, and it is anticipated that wireless communication may expand into the visible-light spectrum in the future. This makes VLC a promising option for high-speed line-of-sight communication. Additionally, the visible light spectrum can be deployed in the Industrial Internet of Things environment, as it does not emit electromagnetic radiation and is immune to electromagnetic interference. This article presents a database consisting of an average of 356 image samples obtained from a CMOS sensor. This database includes seven different classes, each class varying its frequency from 1 kHz to 4.5 kHz with a 500 Hz interval. The goal is to apply this database to various neural networks based on Extreme Learning Machines (ELM) in its variants: (1) Standard ELM, (2) Regularized ELM, and (3) Weighted ELM. MATLAB environment was used to evaluate the performance of the proposed indoor positioning system enabled for VLP. Our results indicate that a promising option is standard ELM since it has a performance greater than 99% accuracy and mean G, and low computational complexity compared to CNN.</t>
  </si>
  <si>
    <t>Palacios Játiva, Pablo/AAE-8235-2019; Meza, Cesar/D-6948-2014; Ahumada García, Roberto Carlos/KBB-2316-2024</t>
  </si>
  <si>
    <t>Ahumada-Garcia, Roberto/0000-0003-1107-4606</t>
  </si>
  <si>
    <t>10.1109/CSNDSP60683.2024.10636616</t>
  </si>
  <si>
    <t>WOS:001324588800063</t>
  </si>
  <si>
    <t>Groba, CG; Luczak, EB; Niewiadomska-Flis, U</t>
  </si>
  <si>
    <t>Gonzalez Groba, Constante; Luczak, Ewa Barbara; Niewiadomska-Flis, Urszula</t>
  </si>
  <si>
    <t>Corporeal Afterlives of Plantation Slavery Introduction</t>
  </si>
  <si>
    <t>PATHOLOGIZING BLACK BODIES: The Legacy of Plantation Slavery</t>
  </si>
  <si>
    <t>Routledge Studies in African American Literature</t>
  </si>
  <si>
    <t>Niewiadomska-Flis, Urszula/ABZ-1659-2022</t>
  </si>
  <si>
    <t>978-1-032-40963-4; 978-1-003-35555-7; 978-1-032-40962-7</t>
  </si>
  <si>
    <t>10.4324/9781003355557-1</t>
  </si>
  <si>
    <t>10.4324/9781003355557</t>
  </si>
  <si>
    <t>WOS:001198018700001</t>
  </si>
  <si>
    <t>Molina-Calderon, L; Basualto-Flores, C; Paredes-Garcia, V; Venegas-Yazigi, D</t>
  </si>
  <si>
    <t>Molina-Calderon, Lorena; Basualto-Flores, Carlos; Paredes-Garcia, Veronica; Venegas-Yazigi, Diego</t>
  </si>
  <si>
    <t>Advances of magnetic nanohydrometallurgy using superparamagnetic nanomaterials as rare earth ions adsorbents: A grand opportunity for sustainable rare earth recovery</t>
  </si>
  <si>
    <t>Rare earth elements (REEs) are among the most important raw materials in developing new high-tech devices. There are many ways to recover REE ions from diverse sources. A new emerging sustainable technology is Magnetic Nanohydrometallurgy (MNHM). It combines nanotechnology with the hydrometallurgy process as the adsorption. It is one of the most promising due to its simplicity, high efficiency, low cost, environmentally friendly, and excellent efficiency for recovering metal ions. The MNHM uses functionalized-magnetic nano ad-sorbents (MNAs) with specific complexing agents to extract, concentrate, and separate metal ions as REEs from diluted leaching solutions. The MNAs have the main advantage possess superparamagnetism, easing their separation from aqueous media by an external magnetic field (magnetic separation). This paper compiles the recent results published in the literature on the current synthesis methods, types of assembly, and surface modification procedures for MNAs. Furthermore, the REEs adsorption behavior onto MNAs is discussed in detail, as the factors affecting adsorption (pH, adsorbent dose, ionic strength, contact time, temperature, REEs concentration). The MNAs generally showed high REEs' adsorption capacity, fast removal rates, excellent selectivity, and great reusability power. The adsorption process, which mostly follows the Langmuir isotherm, and the pseudo-second-order kinetic model, is typically endothermic, decreasing randomness and being spontaneous. The dominant adsorption mechanisms were surface complexation and electrostatic interaction. The MNHM is a promising cleaner technology compared to other more conventional technologies because it allows multiple reuses of MNAs, and eliminates consuming organic solvent. Most MNAs used in the REEs adsorption are environmentally friendly.</t>
  </si>
  <si>
    <t>Venegas-Yazigi, Diego/C-5022-2009; Paredes-Garcia, Veronica/C-4415-2011</t>
  </si>
  <si>
    <t>Molina-Calderon, Lorena/0000-0002-4087-4306</t>
  </si>
  <si>
    <t>OCT 15</t>
  </si>
  <si>
    <t>10.1016/j.seppur.2022.121708</t>
  </si>
  <si>
    <t>JUL 2022</t>
  </si>
  <si>
    <t>WOS:000831686800004</t>
  </si>
  <si>
    <t>Rebolledo, OA; Vega, DC</t>
  </si>
  <si>
    <t>Aliaga Rebolledo, Oscar; Cofre Vega, Daniel</t>
  </si>
  <si>
    <t>The evolution of the Human Capital concept and the challenges for the Strategic Human Resource Management in Chile</t>
  </si>
  <si>
    <t>REVISTA GESTION DE LAS PERSONAS Y TECNOLOGIA</t>
  </si>
  <si>
    <t>The prevailing conditions in the social, cultural and institutional environment in a given time frame are fundamental elements for the analysis and interpretations of the human resource management professionals when they develop, implement, evaluate and adjust human resource management strategies (hereinafter SHRM). This strategy provides support and acts as a lever for competition and business strategies, facilitating the organization to achieve its goals. Within this scheme, the theoretical and conceptual notion of human capital is an approach that is used to understand the nature of workers and of the work itself, which is why it is crucial for the conception of the SHRM and high-performance practices of management of people who derive from it, in order for workers to achieve a higher degree of productivity and promote new questions and solutions to endogenous and exogenous challenges faced by labor organizations, transforming the result of work into innovative knowledge with the potential to generate sustainable competitive advantage over time. For this reason, we postulate that the current situation of Chilean society impels the search for the best fit of the SHRM over the best practices, whether local and/or foreign, for which the characteristics of the predominant social, cultural and institutional spheres in our country, which, being heterogeneous in nature, do not fit correctly with neoliberal economic notions such as the theory of human capital, whose homogenizing approach promotes a selfish rationality based on competition and personal benefit.</t>
  </si>
  <si>
    <t>0718-5693</t>
  </si>
  <si>
    <t>DEC-MAR</t>
  </si>
  <si>
    <t>WOS:000636429300004</t>
  </si>
  <si>
    <t>Loyola, CZ; Caro, AG; Govan, J; Abarca, G; Orellana, W; Tasca, F</t>
  </si>
  <si>
    <t>Zuniga Loyola, Cesar; Caro, Angelica Gatica; Govan, Joseph; Abarca, Gabriel; Orellana, Walter; Tasca, Federico</t>
  </si>
  <si>
    <t>Oxygen reduction reaction on a 68-atom-gold cluster supported on carbon nanotubes: theoretical and experimental analysis</t>
  </si>
  <si>
    <t>MATERIALS CHEMISTRY FRONTIERS</t>
  </si>
  <si>
    <t>68-Atom gold nanoparticles (Au-68) were adsorbed on fractured carbon nanotubes by acid treatment to obtain an active catalyst (Au-68-CNT) for the oxygen reduction reaction (ORR). TEM images show the importance of acid treatment to create defects on the walls of the CNT, where Au-68 would then adsorb. X-Ray photoelectron spectroscopy confirmed that the Au-68 surface is exclusively composed of metallic gold when at the surface of CNT. FTIR characterization showed the presence of 4-mercapto-benzoic acid residues, which are necessary for the synthesis and are then removed through electrochemical reduction. The electrocatalytic studies were conducted in an alkaline medium, where Au-68-CNT proved to be an efficient catalyst for the ORR with the transfer of 3.9 electrons for direct water production. In acidic medium, poor performance and stability were observed. Durability tests were conducted by performing 5000 accelerated cyclic voltammograms, during which the half-wave potential of the polarization curve for the ORR decreased only by 20 mV. The DFT calculations were performed to simulate the interactions between O-2 and Au-68-CNT, and energy barriers, using the NEB method for O-2 dissociation and contrasting values with Au (111), Au (110), Au (100), and Pt-68-CNT. Large energy barriers indicating low ORR activity were obtained at surfaces different from Au-68-CNT and Pt-68-CNT. O-2 would bind to four Au atoms in Au68-CNT with a binding energy of -0.56 eV. The reactivity of Au-68-CNT for ORR would be associated with the irregular geometry of the Au-68 surface.</t>
  </si>
  <si>
    <t>Orellana, Walter/ABA-6452-2021; Abarca, Gabriel/O-3451-2019; Zúñiga-Loyola, César/AAN-5621-2021; Govan, Joseph/AAR-4394-2021; Tasca, Federico/J-4134-2015; Abarca Anjari, Gabriel/L-4006-2016</t>
  </si>
  <si>
    <t>Orellana, Walter/0000-0002-6897-3875; Govan, Joseph/0000-0001-7668-1883; Tasca, Federico/0000-0002-4111-4624; Zuniga-Loyola, Cesar/0000-0002-0894-3383; Abarca Anjari, Gabriel/0000-0001-8477-2275</t>
  </si>
  <si>
    <t>2052-1537</t>
  </si>
  <si>
    <t>10.1039/d1qm00918d</t>
  </si>
  <si>
    <t>JUL 2021</t>
  </si>
  <si>
    <t>WOS:000693161000001</t>
  </si>
  <si>
    <t>Specchia, S; Atanassov, P; Zagal, JH</t>
  </si>
  <si>
    <t>Specchia, Stefania; Atanassov, Plamen; Zagal, Jose H.</t>
  </si>
  <si>
    <t>Mapping transition metal-nitrogen-carbon catalyst performance on the critical descriptor diagram</t>
  </si>
  <si>
    <t>Platinum group metal-free electrocatalysts and in particular transition metal-nitrogen-carbon catalysts are becoming interesting candidates as cheap alternatives to Pt-based catalysts for the oxygen reduction reaction in polymer electrolyte fuel cells. Unified activity-stability correlations are needed to provide practical guidelines for a rational catalyst design. A discussion of different characterization techniques for studying possible activity descriptors is presented, with a specific focus on active site density and turnover frequency. These descriptors will be associated to the morphology of the various transition metal-nitrogen-carbon electrocatalysts investigated in the recent literature. The underlined correlation for this class of platinum group metal-free electrocatalysts offers important insights required for the development of the next generation of catalytic materials with enhanced stability that can solve the main activity and durability barriers needed for the replacement of Pt-based counterparts.</t>
  </si>
  <si>
    <t>Atanassov, Plamen/AAI-4242-2020; zagal, jose/L-9648-2014; Specchia, Stefania/I-4487-2013</t>
  </si>
  <si>
    <t>Specchia, Stefania/0000-0003-3882-3240</t>
  </si>
  <si>
    <t>10.1016/j.coelec.2021.100687</t>
  </si>
  <si>
    <t>FEB 2021</t>
  </si>
  <si>
    <t>WOS:000662265900008</t>
  </si>
  <si>
    <t>Navas-Fonseca, A; Burgos-Mellado, C; Espina, E; Rute, E; Gomez, JS; Saez, D; Sumner, M</t>
  </si>
  <si>
    <t>Navas-Fonseca, Alex; Burgos-Mellado, Claudio; Espina, Enrique; Rute, Erwin; Gomez, Juan S.; Saez, Doris; Sumner, Mark</t>
  </si>
  <si>
    <t>Distributed Predictive Secondary Control for Voltage Restoration and Economic Dispatch of Generation for DC Microgrids</t>
  </si>
  <si>
    <t>2021 IEEE FOURTH INTERNATIONAL CONFERENCE ON DC MICROGRIDS (ICDCM)</t>
  </si>
  <si>
    <t>IEEE 4th International Conference on DC Microgrids (ICDCM)</t>
  </si>
  <si>
    <t>JUL 18-21, 2021</t>
  </si>
  <si>
    <t>DC microgrids ease the integration of renewables and can be easily put together with plug-and-play operation. However, most control techniques in DC microgrids focus on voltage regulation without considering its economical operation. Furthermore, the economic dispatch of different generation is usually implemented at a higher control level for long-term operation, and this is subject to prediction uncertainties. Therefore, this paper proposes a novel distributed model predictive control strategy for economic dispatch of the system generation and voltage restoration at the same time-scale in DC microgrids. Each distributed generator achieves both objectives using local measurements and predicted information from neighboring units. Experimental results in a 6 kW testbed validate the distributed structure of the predictive controller for communication problems and in the presence of plug-and-play scenarios without modifying and/or adjusting the control system parameters.</t>
  </si>
  <si>
    <t>Burgos-Mellado, Claudio/X-6305-2019; Espina, Enrique/AGZ-7297-2022; Gomez Quintero, Juan Sebastian/AAL-5096-2020; Navas Fonseca, Alex/ABA-2690-2021; Saez, Doris/JBJ-6880-2023</t>
  </si>
  <si>
    <t>978-1-7281-8641-2</t>
  </si>
  <si>
    <t>10.1109/ICDCM50975.2021.9504612</t>
  </si>
  <si>
    <t>WOS:000793860700004</t>
  </si>
  <si>
    <t>Ramírez-Vélez, R; Zambom-Ferraresi, F; García-Hermoso, A; Kievisiene, J; Rauckiene-Michealsson, A; Agostinis-Sobrinho, C</t>
  </si>
  <si>
    <t>Ramirez-Velez, Robinson; Zambom-Ferraresi, Fabiola; Garcia-Hermoso, Antonio; Kievisiene, Justina; Rauckiene-Michealsson, Alona; Agostinis-Sobrinho, Cesar</t>
  </si>
  <si>
    <t>Evidence-Based Exercise Recommendations to Improve Mental Wellbeing in Women with Breast Cancer during Active Treatment: A Systematic Review and Meta-Analysis</t>
  </si>
  <si>
    <t>CANCERS</t>
  </si>
  <si>
    <t>Simple Summary There is uncertainty whether the effects of different types of training (e.g., aerobic, strength, and/or combined) and intensity have different effects on mental health outcomes in women with breast cancer during active treatment. The results showed that exercise training led to a moderate improvement in quality of life by the Functional Assessment of Cancer Therapy-Breast Cancer (FACT-B) instrument and small improvements in mental wellbeing domains, such as anxiety, body image, depression, overall quality of life, and emotional function. Breast cancer was the most common cancer in women worldwide. The aims of the current systematic review and meta-analysis are: (i) to systematically examine the effects of exercise interventions on mental wellbeing; (ii) to examine the specific effect of the type of supervised exercise and its intensity, volume and frequency on mental wellbeing; and (iii) to explore which interventions are most effective in mental wellbeing among women with breast cancer during active treatment. An electronic literature search was performed using MEDLINE (via PubMed), Embase (Ovid), and Web of Science, we identified 175 full-text articles. The 57 publications included data from 6988 participants, age ranging from 18 to 78 years (weighted mean: 50.85 years). Compared with the control conditions, exercise training programs were associated with significant reductions in anxiety (d = -0.22, I-2 = 53.0%), depression (d = -0.24, I-2 = 66.6%), and fatigue (d = -0.47, I-2 = 69.8%), as well as increases in body image (d = 0.27, I-2 = 69.2%) and quality of life (overall, d = 0.46, I-2 = 71.6%; emotional function, d = 0.33, I-2 = 65.7%; and FACT-B, d = 0.60, I-2 = 76.2%). There were a variety of frequencies, intensities, and durations of supervised exercise programs reported in the included meta-analytic approach. In addition, we found that concomitant concurrent training, at moderate-to-vigorous intensity, and with a volume &gt;= 50 min/week had benefits on a number of health outcomes, such as fatigue, depression, and quality of life measure by the FACT-B instrument. These findings have important implications for healthcare providers and multidisciplinary teams involved in mental health management in cancer patients during active treatment.</t>
  </si>
  <si>
    <t>Ferraresi, Fabíola/P-3109-2019; García-Hermoso, Antonio/ADU-2591-2022; Agostinis Sobrinho, Cesar Aparecido/B-4971-2018; Ramirez-Velez, Robinson/D-5311-2016; Garcia-Hermoso, Antonio/P-1857-2017</t>
  </si>
  <si>
    <t>Kievisiene, Justina/0000-0002-6524-9910; Agostinis Sobrinho, Cesar Aparecido/0000-0001-9104-9042; Ramirez-Velez, Robinson/0000-0003-3075-6960; Zambom-Ferraresi, Fabiola/0000-0001-7068-5269; Garcia-Hermoso, Antonio/0000-0002-1397-7182</t>
  </si>
  <si>
    <t>2072-6694</t>
  </si>
  <si>
    <t>10.3390/cancers13020264</t>
  </si>
  <si>
    <t>WOS:000611114300001</t>
  </si>
  <si>
    <t>Alarcón, H; Herrera-Munoz, M; Périnet, N; Mujica, N; Gutiérrez, P; Gordillo, L</t>
  </si>
  <si>
    <t>Alarcon, Hector; Herrera-Munoz, Matias; Perinet, Nicolas; Mujica, Nicolas; Gutierrez, Pablo; Gordillo, Leonardo</t>
  </si>
  <si>
    <t>Faraday-Wave Contact-Line Shear Gradient Induces Streaming and Tracer Self-Organization: From Vortical to Hedgehoglike Patterns</t>
  </si>
  <si>
    <t>PHYSICAL REVIEW LETTERS</t>
  </si>
  <si>
    <t>In this Letter, we experimentally demonstrate self-organization of small tracers under the action of longitudinal Faraday waves in a narrow container. We observe a steady current formation dividing the interface in small cells given by Faraday-wave symmetries. These streaming currents rotate in each cell, and their circulation increases with wave amplitude. This streaming flow drives the tracers to form patterns, whose shapes depend on the Faraday-wave amplitude: From low to high amplitudes, we find tracers dispersed on vortices, narrow rotating rings, and a hedgehoglike pattern. We first describe the main pattern features and characterize thewave and tracers' motion. We then show experimentally that the main source of the streaming flow is the spatiotemporal-dependent shear at the wall contact line created by the Faraday wave itself. We end by presenting a 2D compressible advection model that considers the minimal ingredients present in the Faraday experiment, namely, the stationary circulation, the stretching component due to the oscillatory wave, and a steady converging field, which combined produce the observed self-organized patterns.</t>
  </si>
  <si>
    <t>; Gutierrez, Pablo/F-7447-2016; GORDILLO, Leonardo/I-8215-2014; Mujica, Nicolas/J-3646-2014</t>
  </si>
  <si>
    <t>Herrera-Munoz, Matias/0000-0001-7319-8490; Alarcon, Hector/0000-0003-4603-4946; Gutierrez, Pablo/0000-0002-4673-1656; GORDILLO, Leonardo/0000-0002-9516-1346; Mujica, Nicolas/0000-0003-4724-6246</t>
  </si>
  <si>
    <t>0031-9007</t>
  </si>
  <si>
    <t>1079-7114</t>
  </si>
  <si>
    <t>DEC 18</t>
  </si>
  <si>
    <t>10.1103/PhysRevLett.125.254505</t>
  </si>
  <si>
    <t>WOS:000600286000008</t>
  </si>
  <si>
    <t>Zorondo-Rodríguez, F; Moreira-Arce, D; Boutin, S</t>
  </si>
  <si>
    <t>Zorondo-Rodriguez, Francisco; Moreira-Arce, Dario; Boutin, Stan</t>
  </si>
  <si>
    <t>Underlying social attitudes towards conservation of threatened carnivores in human-dominated landscapes</t>
  </si>
  <si>
    <t>ORYX</t>
  </si>
  <si>
    <t>Carnivore conservation depends on people's willingness to implement management practices to reduce threats to carnivores and mitigate conflicts between carnivores and domestic animals. We assessed the willingness of rural communities in central-southern Chile to (1) conserve carnivores, and (2) adopt management practices to reduce predation of domestic animals, a key factor triggering carnivore-human conflicts in rural areas. The study focused on five carnivores: the chilla Lycalopex griseus, the culpeo Lycalopex culpaeus, Darwin's fox Lycalopex fulvipes, the guina or kodkod Leopardus guigna, and the puma Puma concolor. We found that rural communities perceived that threats towards carnivores rarely occurr in their region, contrary to the literature on this subject; people's attitudes differed depending on the carnivore; and people were willing to adopt management practices to help conserve carnivores (e.g. overnight protection of domestic animals and investment in infrastructure for henhouses and cowsheds), except leashing dogs. The willingness to conserve carnivores and adopt practices that would help do so may be associated with how these measures affect people's well-being. Although rural communities would like carnivores to be conserved, this cannot be achieved unless some pivotal practices, such as management of domestic dogs, are adopted by these communities. For successful biodiversity conservation outcomes in human-dominated landscapes, the social incentives necessary for rural communities to adopt appropriate management practices must be identified and implemented.</t>
  </si>
  <si>
    <t>Moreira-Arce, Dario/ABG-2898-2021; Zorondo-Rodríguez, Francisco/GWU-8371-2022; Zorondo-Rodriguez, Francisco/I-8273-2014; Boutin, Stan/A-2619-2014</t>
  </si>
  <si>
    <t>Moreira Arce, Dario/0000-0002-1188-496X; Zorondo-Rodriguez, Francisco/0000-0001-6469-9859; Boutin, Stan/0000-0001-6317-038X</t>
  </si>
  <si>
    <t>0030-6053</t>
  </si>
  <si>
    <t>1365-3008</t>
  </si>
  <si>
    <t>PII S0030605318000832</t>
  </si>
  <si>
    <t>10.1017/S0030605318000832</t>
  </si>
  <si>
    <t>WOS:000527984100008</t>
  </si>
  <si>
    <t>Castro, MA; Mancilla-Almonacid, D; Valdivia, JA; Allende, S</t>
  </si>
  <si>
    <t>Castro, M. A.; Mancilla-Almonacid, D.; Valdivia, J. A.; Allende, S.</t>
  </si>
  <si>
    <t>Magnetostatic interaction between two bubble skyrmions</t>
  </si>
  <si>
    <t>JOURNAL OF PHYSICS-CONDENSED MATTER</t>
  </si>
  <si>
    <t>A detailed analytic and numerical analysis of the interaction between two bubble skyrmions has been carried out. The results from the micromagnetic calculations show that when the skyrmions are in the same plane, the magnetic parameters vary weakly as a function of the separation between them. On the other hand, when the skyrmions are located in the same vertical axis, the magnetic parameters show a strong variation as a function of the separation of the skyrmions. In particular, when a magnetic disk is over another, there is a transition from a Bloch-like skyrmion configuration to a Neel-like skyrmion configuration as the distance between the disks decreases, as a consequence of the magnetostatic interaction. Therefore, it is possible to stabilize a bubble skyrmion with a Neel configuration without the Dzyaloshinskii-Moriya interaction. Thus, these results can be used for the control of the skyrmion parameters in magnetic spintronic devices that need to use these configurations.</t>
  </si>
  <si>
    <t>Castro, Mario/ABD-7776-2021; Valdivia, Juan/A-3631-2008; Mancilla Almonacid, Daniela/JEP-6778-2023</t>
  </si>
  <si>
    <t>castro, Mario/0000-0002-6956-8564; Mancilla Almonacid, Daniela/0000-0003-4356-5119; Valdivia, Juan Alejandro/0000-0003-3381-9904</t>
  </si>
  <si>
    <t>0953-8984</t>
  </si>
  <si>
    <t>1361-648X</t>
  </si>
  <si>
    <t>APR 24</t>
  </si>
  <si>
    <t>10.1088/1361-648X/ab6aec</t>
  </si>
  <si>
    <t>WOS:000520168700001</t>
  </si>
  <si>
    <t>Peña, R; Torres, F; Romero, G</t>
  </si>
  <si>
    <t>Pena, Ruben; Torres, Felipe; Romero, Guillermo</t>
  </si>
  <si>
    <t>Dynamical dimerization phase in Jaynes-Cummings lattices</t>
  </si>
  <si>
    <t>NEW JOURNAL OF PHYSICS</t>
  </si>
  <si>
    <t>We report on an emergent dynamical phase of a strongly-correlated light-matter system, which is governed by dimerization processes due to short-range and long-range two-body interactions. The dynamical phase is characterized by the spontaneous symmetry breaking of the translational invariance and appears in an intermediate regime of light-matter interaction between the resonant and dispersive cases. We describe the quench dynamics from an initial state with integer filling factor of a finite-sized array of coupled resonators, each doped with a two-level system, in a closed and open scenario. The closed system dynamics has an effective Hilbert space description that allows us to demonstrate and characterize the emergent dynamical phase via time-averaged quantities, such as fluctuations in the number of polaritons per site and linear entropy. We prove that the dynamical phase is governed by intrinsic two-body interactions and the lattice topological structure. In the open system dynamics, we show evidence about the robustness of dynamical dimerization processes under loss mechanisms. Our findings can be used to determine the light-matter detuning range, where the dimerized phase emerges.</t>
  </si>
  <si>
    <t>Torres, Felipe/ABA-9751-2020; Romero, Guillermo/C-8245-2009</t>
  </si>
  <si>
    <t>Pena Guzman, Ruben/0000-0002-4828-0932; Romero, Guillermo/0000-0003-2917-7814; Torres, Felipe/0000-0002-0444-3250</t>
  </si>
  <si>
    <t>1367-2630</t>
  </si>
  <si>
    <t>10.1088/1367-2630/ab78b0</t>
  </si>
  <si>
    <t>WOS:000522284400001</t>
  </si>
  <si>
    <t>Viña, N; Bascur, M; Guzmán, F; Riera, R; Paschke, K; Urzúa, A</t>
  </si>
  <si>
    <t>Vina, Natalia; Bascur, Miguel; Guzman, Fabian; Riera, Rodrigo; Paschke, Kurt; Urzua, Angel</t>
  </si>
  <si>
    <t>Interspecific variation in the physiological and reproductive parameters of porcelain crabs from the Southeastern Pacific coast: potential adaptation in contrasting marine environments</t>
  </si>
  <si>
    <t>COMPARATIVE BIOCHEMISTRY AND PHYSIOLOGY A-MOLECULAR &amp; INTEGRATIVE PHYSIOLOGY</t>
  </si>
  <si>
    <t>Porcelain crabs inhabit from upper intertidal to subtidal habitats. These environments are characterized by highly variable environmental conditions, which subject species found in these habitats to stress. In this study, we compared reproductive traits of mothers [i.e. fecundity, reproductive output (RO), dry weight, organic matter] and physiological parameters of their offspring (i.e. wet weight, water content, dry weight, organic matter, lactate content of embryos) of three species of porcelain crabs that inhabit the Southeastern Pacific: Petrolisthes laevigatus (upper intertidal); P. violaceus (low intertidal); Allopetrolisthes punctatus (subtidal). Overall, female P. laevigatus had lower fecundity (802 +/- 115 vs. 4181 +/- 1097 embryos) and amount of organic matter in their embryo masses (0.053 +/- 0.006 vs. 0.27 +/- 0.025 g) but higher RO values (1.34 +/- 0.34 vs. 0.20 +/- 0.07) than Allopetrolisthes punctatus. In addition, P. laevigatus embryos had higher organic matter content (81.09 +/- 28.8 vs. 64.54 +/- 6.1 mu g), higher water content (188.6 +/- 91.9 vs. 152.4 +/- 30.8 mu L) and higher lactate content (0.26 +/- 0.04% vs. 0.07 +/- 0.01% dry weight) than that found in A. punctatus embryos. Furthermore, females and embryos of P. violaceus showed low values and similar to those observed in P. laevigatus. As a potential strategy to increase survival of the offspring, P. laevigatus seems to invest a large portion of its energy in production of high quality embryos, despite costs to fecundity. This study reveals that porcelain crabs have physiological adaptations during their ontogeny that allow them to survive in fluctuating environments.</t>
  </si>
  <si>
    <t>RIERA, RODRIGO/ABH-1351-2020; Rivas, Fabián/AAH-3076-2019; Trillos, Natalia/U-8632-2019; Bascur, Miguel/AAJ-4426-2021; Urzúa, Ángel/AAA-6095-2019; RIERA, RODRIGO/I-4260-2013</t>
  </si>
  <si>
    <t>Bascur, Miguel Angel/0000-0002-4076-4262; RIERA, RODRIGO/0000-0003-1264-1625; Guzman-Rivas, Fabian/0000-0002-8883-2324; Urzua Osorio, Angel Gabriel/0000-0001-7706-5126; Vina Trillos, Natalia Andrea/0000-0002-9001-6844</t>
  </si>
  <si>
    <t>1095-6433</t>
  </si>
  <si>
    <t>1531-4332</t>
  </si>
  <si>
    <t>10.1016/j.cbpa.2018.07.006</t>
  </si>
  <si>
    <t>WOS:000447114200004</t>
  </si>
  <si>
    <t>Cajamarca, G; Rodríguez, I; Herskovic, V; Campos, M; Riofrío, JC</t>
  </si>
  <si>
    <t>Cajamarca, Gabriela; Rodriguez, Iyubanit; Herskovic, Valeria; Campos, Mauricio; Carlos Riofrio, Juan</t>
  </si>
  <si>
    <t>StraightenUp plus : Monitoring of Posture during Daily Activities for Older Persons Using Wearable Sensors</t>
  </si>
  <si>
    <t>SENSORS</t>
  </si>
  <si>
    <t>Monitoring the posture of older persons using portable sensors while they carry out daily activities can facilitate the process of generating indicators with which to evaluate their health and quality of life. The majority of current research into such sensors focuses primarily on their functionality and accuracy, and minimal effort is dedicated to understanding the experience of older persons who interact with the devices. This study proposes a wearable device to identify the bodily postures of older persons, while also looking into the perceptions of the users. For the purposes of this study, thirty independent and semi-independent older persons undertook eight different types of physical activity, including: walking, raising arms, lowering arms, leaning forward, sitting, sitting upright, transitioning from standing to sitting, and transitioning from sitting to standing. The data was classified offline, achieving an accuracy of 93.5%, while overall device user perception was positive. Participants rated the usability of the device, in addition to their overall user experience, highly.</t>
  </si>
  <si>
    <t>Herskovic, Valeria/D-1687-2014</t>
  </si>
  <si>
    <t>Cajamarca, Gabriela/0000-0002-6631-2846; Riofrio Herrera, Juan Carlos/0000-0001-9029-8194; Rodriguez, Iyubanit/0000-0003-0878-4076</t>
  </si>
  <si>
    <t>1424-8220</t>
  </si>
  <si>
    <t>10.3390/s18103409</t>
  </si>
  <si>
    <t>WOS:000448661500237</t>
  </si>
  <si>
    <t>Brice, C; Cubillos, FA; Dequin, S; Camarasa, C; Martínez, C</t>
  </si>
  <si>
    <t>Brice, Claire; Cubillos, Francisco A.; Dequin, Sylvie; Camarasa, Carole; Martinez, Claudio</t>
  </si>
  <si>
    <t>Adaptability of the Saccharomyces cerevisiae yeasts to wine fermentation conditions relies on their strong ability to consume nitrogen</t>
  </si>
  <si>
    <t>Saccharomyces cerevisiae strains are genetically diverse, largely as a result of human efforts to develop strains specifically adapted to various fermentation processes. These adaptive pressures from various ecological niches have generated behavioral differences among these strains, particularly in terms of their nitrogen consumption capacities. In this work, we characterize this phenotype by the specific quantity of nitrogen consumed under oenological fermentation conditions using a new approach. Indeed, unlike previous studies, our experiments were conducted in an environment containing excess nitrogen, eliminating the nitrogen limitation/starvation factor that is generally observed in fermentation processes. Using these conditions, we evaluated differences in the nitrogen consumption capacities for a set of five strains from diverse origins. The strains presented extremely different phenotypes and variations in their capacities to take up nitrogen from a wine fermentation environment. These variations reflect the differences in the nitrogen uptake capacities between wine and non-wine strains. Finally, the strains differed in their ability to adapt to the nitrogen composition of the environment, leading to variations in the cellular stress states, fermentation performances and the activity of the nitrogen sensing signaling pathway.</t>
  </si>
  <si>
    <t>Cubillos, Francisco/MIT-2389-2025; Martinez, Claudio/MGS-9961-2025; Cubillos, Francisco/G-5195-2019</t>
  </si>
  <si>
    <t>Cubillos, Francisco/0000-0003-3022-469X</t>
  </si>
  <si>
    <t>e0192383</t>
  </si>
  <si>
    <t>10.1371/journal.pone.0192383</t>
  </si>
  <si>
    <t>WOS:000424814300022</t>
  </si>
  <si>
    <t>Soto, GE; Pérez-Hernández, CG; Hahn, IJ; Rodewald, AD; Vergara, PM</t>
  </si>
  <si>
    <t>Soto, Gerardo E.; Perez-Hernandez, Christian G.; Hahn, Ingo J.; Rodewald, Amanda D.; Vergara, Pablo M.</t>
  </si>
  <si>
    <t>Tree senescence as a direct measure of habitat quality: Linking red-edge Vegetation Indices to space use by Magellanic woodpeckers</t>
  </si>
  <si>
    <t>Accurate estimates of the quality and quantity of remnant habitats is critical for planning management activities for the conservation of threatened species. Although habitat quality usually is understood from a multidimensional niche space approach, the availability of foraging substrates can be a suitable and more proximate index of habitat quality for species with specialized habitat requirements, like woodpeckers that feed almost exclusively on larvae of wood-boring beetles in the trunks and branches of infested trees. Recent approaches use simple mathematical algorithms on spectral bands called Vegetation Indices (VI) to identify infestations, providing a new opportunity to assess habitat quality for woodpeckers. In this paper, we tested the ability of 102 VI to estimate tree attributes explaining habitat quality for Magellanic woodpeckers for its usage as a reliable foraging habitat quality estimator. We hypothesized that space use of Magellanic woodpeckers is positively associated with the spatial distribution of decayed trees in the landscape. We developed a methodological framework based on high-resolution, multispectral imagery with three basic steps. First, we mapped individual Nothofagus trees based on estimates of species composition from a supervised classification procedure, VI estimates and image segmentation. Second, we selected the best VI predicting the tree quality for Magellanic woodpeckers. Third, we tested these habitat quality predictors, the species composition and tree age, by using two Synoptic Models of Space Use (SMSU) of Magellanic woodpeckers based on very high-frequency (VHF) radio-telemetry and global positioning system (GPS) telemetry data. Generalized Linear Mixed Models (GLMM) showed that the VI that best predicted habitat quality at the tree-scale was the Plant Senescence Reflectance Index (PSRI, computed as [Red-Blue]/Red-edge), included in almost all the most parsimonious models. The most parsimonious SMSU included only PSRI as an independent covariate, with a strong positive relation. Although coefficient differences were found between telemetry data (VHF vs. GPS data) both showed a positive overall response. Consequently, Red-edge based PSRI can be considered a reliable estimator of tree-scale foraging habitat quality at landscape extents for future research and management activities including Magellanic woodpeckers living on heterogeneous Nothofagus forests. (C) 2017 Elsevier Inc. All rights reserved.</t>
  </si>
  <si>
    <t>Vergara, Pablo/0000-0002-0024-1678; Rodewald, Amanda/0000-0002-6719-6306; Soto, Gerardo/0000-0002-9706-6588</t>
  </si>
  <si>
    <t>10.1016/j.rse.2017.02.018</t>
  </si>
  <si>
    <t>WOS:000400220200001</t>
  </si>
  <si>
    <t>Allahbakhshi, M; Hong, S; Jung, U</t>
  </si>
  <si>
    <t>Allahbakhshi, Mahsa; Hong, Soonjo; Jung, Utun</t>
  </si>
  <si>
    <t>Class-closing factor codes and constant-class-to-one factor codes from shifts of finite type</t>
  </si>
  <si>
    <t>DYNAMICAL SYSTEMS-AN INTERNATIONAL JOURNAL</t>
  </si>
  <si>
    <t>ICM Satellite Conference on Dynamical Systems and Related Topics</t>
  </si>
  <si>
    <t>AUG 08-12, 2014</t>
  </si>
  <si>
    <t>Chungnam Natl Univ, Daejeon, SOUTH KOREA</t>
  </si>
  <si>
    <t>Natl Inst Mathemat Sci,BK 21 Math Vis 2020 Ctr,Natl Res Fdn Korea,Chungnam Natl Univ</t>
  </si>
  <si>
    <t>Chungnam Natl Univ</t>
  </si>
  <si>
    <t>We define class-closing factor codes from shifts of finite type and show that they are continuing if their domains are irreducible and their images are of finite type. We establish several relations between class-closing factor codes, continuing factor codes and constant-class-to-one factor codes. In particular it is shown that a factor code between irreducible shifts of finite type is constant-class-to-one if and only if it is bi-class-closing, generalizing a result of Nasu.</t>
  </si>
  <si>
    <t>Jung, Uijin/0000-0003-0986-8044</t>
  </si>
  <si>
    <t>1468-9367</t>
  </si>
  <si>
    <t>1468-9375</t>
  </si>
  <si>
    <t>OCT 2</t>
  </si>
  <si>
    <t>10.1080/14689367.2015.1081156</t>
  </si>
  <si>
    <t>WOS:000365703100010</t>
  </si>
  <si>
    <t>Lahoz-García, N; García-Hermoso, A; Sánchez-López, M; García-Prieto, JC; Milla-Tobarra, M; Martínez-Vizcaíno, V</t>
  </si>
  <si>
    <t>Lahoz-Garcia, Noelia; Garcia-Hermoso, Antonio; Sanchez-Lopez, Mairena; Canete Garcia-Prieto, Jorge; Milla-Tobarra, Marta; Martinez-Vizcaino, Vicente</t>
  </si>
  <si>
    <t>Associations between energy and fat intakes with adiposity in schoolchildren - the Cuenca Study</t>
  </si>
  <si>
    <t>NUTRICION HOSPITALARIA</t>
  </si>
  <si>
    <t>Introduction: the relationship between changes in energy intake (El) over the last few decades and the trends towards of excess weight in children is still debated. Objective: to examine the relationship between energy and macronutrient intakes with adipostity in children, controlling for cardiorespiratory fitness (CRF) as a surrogate measure of physical activity. Method: we conducted a cross-sectional study of 320 schoolchildren aged 9-11 years (54.5% girls). We collected data on socio-demographic variables, and measured weight, height, waist circumference (WC), and fat mass percentage by bioimpedance analysis. Fat mass index (FMI) was calculated as fat mass (kg) divided by height (m) squared, to adjust for body size. Energy (kcal) and macronutrient intake (percentages) were measured by two non-consecutive 24-h recalls (weekday and weekend day), using the Young Adolescents' Nutrition Assessment on Computer (YANA-C) software program; CRF was measured by the 20-m shuttle run test. Results: boys in the 4th quartile of the WC distribution had lower fat intake (34.9%) than boys in the 1st (42.4%; p = 0.019) and 2nd quartiles (41.6%; p = 0.022). Children in the 1st quartile of the FMI distribution had higher daily EIs than children in the 4th quartile (1762.3 kcal vs. 1496.8 kcal; p = 0.023). All macronutrient intakes relative to weight were lower in children in the more adipose categories for weight status, WC and FM! (p &lt; 0.001). Conclusion: adiposity was inversely related to energy and fat intakes. Excessive El and high El from fats not appears to be directly associated with the current obesity epidemic among schoolchildren living in Cuenca (Spain).</t>
  </si>
  <si>
    <t>SANCHEZ-LOPEZ, MAIRENA/J-7933-2016; García-Hermoso, Antonio/ADU-2591-2022; MARTINEZ VIZCAINO, VICENTE/R-4336-2017; Garcia-Hermoso, Antonio/P-1857-2017</t>
  </si>
  <si>
    <t>MARTINEZ VIZCAINO, VICENTE/0000-0001-6121-7893; Garcia-Hermoso, Antonio/0000-0002-1397-7182</t>
  </si>
  <si>
    <t>0212-1611</t>
  </si>
  <si>
    <t>1699-5198</t>
  </si>
  <si>
    <t>10.3305/nh.2015.32.4.9185</t>
  </si>
  <si>
    <t>WOS:000363001400012</t>
  </si>
  <si>
    <t>Ortiz, MC; Lefimil, C; Rodas, PI; Vernal, R; Lopez, M; Acuña-Castillo, C; Imarai, M; Escobar, A</t>
  </si>
  <si>
    <t>Carolina Ortiz, Maria; Lefimil, Claudia; Rodas, Paula I.; Vernal, Rolando; Lopez, Mercedes; Acuna-Castillo, Claudio; Imarai, Monica; Escobar, Alejandro</t>
  </si>
  <si>
    <t>Neisseria gonorrhoeae Modulates Immunity by Polarizing Human Macrophages to a M2 Profile</t>
  </si>
  <si>
    <t>Current data suggest that Neisseria gonorrhoeae is able to suppress the protective immune response at different levels, such as B and T lymphocytes and antigen-presenting cells. The present report is focused on gonococcus evasion mechanism on macrophages (M phi) and its impact in the subsequent immune response. In response to various signals M phi may undergo classical-M1 (M1-M phi) or alternative-M2 (M2-M phi) activation. Until now there are no reports of the gonococcus effects on human M phi polarization. We assessed the phagocytic ability of monocyte-derived M phi (MDM) upon gonococcal infection by immunofluorescence and gentamicin protection experiments. Then, we evaluated cytokine profile and M1/M2 specific-surface markers on M phi challenged with N. gonorrhoeae and their proliferative effect on T cells. Our findings lead us to suggest N. gonorrhoeae stimulates a M2-M phi phenotype in which some of the M2b and none of the M1-M phi-associated markers are induced. Interestingly, N. gonorrhoeae exposure leads to upregulation of a Programmed Death Ligand 1 (PD-L1), widely known as an immunosuppressive molecule. Moreover, functional results showed that N. gonorrhoeae-treated M phi are unable to induce proliferation of human T-cells, suggesting a more likely regulatory phenotype. Taken together, our data show that N. gonorroheae interferes with M phi polarization. This study has important implications for understanding the mechanisms of clearance versus long-term persistence of N. gonorroheae infection and might be applicable for the development of new therapeutic strategies.</t>
  </si>
  <si>
    <t>Escobar, Alejandro/I-2775-2013; Galvez Ortiz, Maria Cruz/M-3640-2015; Vernal, Rolando/A-6285-2008; Lefimil, Claudia/B-1113-2015; Acuña-Castillo, Claudio/AAI-7090-2021; Lopez, Mercedes/CAF-4801-2022; Rodas, Paula I./I-3631-2013</t>
  </si>
  <si>
    <t>Acuna-Castillo, Claudio/0000-0003-3607-6077; Rodas, Paula I./0000-0002-8071-1229; Vernal, Rolando/0000-0002-1391-320X; Lopez, Mercedes/0000-0002-1744-2038; Imarai, Monica/0000-0001-8767-9180</t>
  </si>
  <si>
    <t>JUN 30</t>
  </si>
  <si>
    <t>e0130713</t>
  </si>
  <si>
    <t>10.1371/journal.pone.0130713</t>
  </si>
  <si>
    <t>WOS:000358151300023</t>
  </si>
  <si>
    <t>Iturriaga, L; Massa, E; Sánchez, J; Ubilla, P</t>
  </si>
  <si>
    <t>Iturriaga, Leonelo; Massa, Eugenio; Sanchez, Justino; Ubilla, Pedro</t>
  </si>
  <si>
    <t>Positive solutions for an elliptic equation in an annulus with a superlinear nonlinearity with zeros</t>
  </si>
  <si>
    <t>MATHEMATISCHE NACHRICHTEN</t>
  </si>
  <si>
    <t>We study existence, multiplicity, and the behavior, with respect to lambda, of positive radially symmetric solutions of -Delta u = lambda h(x, u) in annular domains in R-N, N &gt;= 2. The nonlinear term has a superlinear local growth at infinity, is nonnegative, and satisfies h(x, a(x)) = 0 for a suitable positive and concave function a. For this, we combine several methods such as the sub and supersolutions method, a priori estimates and degree theory. (C) 2014 WILEY-VCH Verlag GmbH &amp; Co. KGaA, Weinheim</t>
  </si>
  <si>
    <t>massa, eugenio/A-9370-2008; Sánchez, Justino/AAB-8477-2022; Iturriaga, Leonelo/F-6339-2012</t>
  </si>
  <si>
    <t>Sanchez, Justino/0000-0002-9607-5204; massa, eugenio/0000-0002-2284-1228; Iturriaga, Leonelo/0000-0001-7621-7976</t>
  </si>
  <si>
    <t>0025-584X</t>
  </si>
  <si>
    <t>1522-2616</t>
  </si>
  <si>
    <t>10.1002/mana.201100285</t>
  </si>
  <si>
    <t>WOS:000339011500004</t>
  </si>
  <si>
    <t>Espinosa, C; Gorigoitía, J; Maquieira, C; Vieito, JP</t>
  </si>
  <si>
    <t>Espinosa, Christian; Gorigoitia, Juan; Maquieira, Carlos; Vieito, Joao Paulo</t>
  </si>
  <si>
    <t>Nonlinear behaviour in EMBI series from Eastern Europe: evidence of 'window size effect'</t>
  </si>
  <si>
    <t>APPLIED ECONOMICS LETTERS</t>
  </si>
  <si>
    <t>The main objective of this article is to explore how the number of observations included in a window may impact the rejection rate of linear windows. We employ two methodologies proposed in the literature in order to study the linear and nonlinear behaviour. We use daily Emerging Markets Bond Index (EMBI) index spreads from six of the most important Eastern European countries (Bulgaria, Hungry, Poland, Russia, Serbia and Ukraine). The empirical results show what we call window size effect' because when we include more than 50 observations in each window, the rejection rate increases using the two different methodologies. Therefore, our findings support the idea that, even in this well informed and sophisticated market, the weak-form of the efficient market hypothesis cannot be confirmed.</t>
  </si>
  <si>
    <t>Maquieira, Carlos/ISB-9473-2023; Espinosa-Méndez, Christian/G-5177-2019; Vieito, João/AAE-1207-2020; Vieito, Joao Paulo/J-5191-2012</t>
  </si>
  <si>
    <t>Vieito, Joao Paulo/0000-0002-0899-4930; Maquieira, Carlos/0000-0001-5710-4669; Espinosa-Mendez, Christian/0000-0001-6499-2414</t>
  </si>
  <si>
    <t>1350-4851</t>
  </si>
  <si>
    <t>1466-4291</t>
  </si>
  <si>
    <t>JAN 22</t>
  </si>
  <si>
    <t>10.1080/13504851.2013.842627</t>
  </si>
  <si>
    <t>WOS:000325601500009</t>
  </si>
  <si>
    <t>Qualitatively different cognitive processing during online reading primed by different study activities</t>
  </si>
  <si>
    <t>This article uses eye-tracking technology to examine how study activities such as taking notes or filling in a graphic organizer affect cognitive processing during learning. College students read a computer-presented passage that compared the characteristics of eastern steamboats (top section) and western steamboats (bottom section), either by reading it twice (read-only group), typing notes into a textbox on the right side of the screen (note-taking group), or typing characteristics of the two types of steamboats into a compare-and-contrast graphic organizer on the right side of the screen (graphic organizer group). Compared to the note-taking group, the graphic organizer group displayed more eye movements between the top and bottom of the passage (i.e., integrative saccades, d = 1.03), more eye movements between the text and the type-in window on the right side (i.e., constructive saccades, d = 0.79), fewer constructive saccades during initial reading (d = -0.64), and less time looking to the right side during initial reading (d = -0.81); and scored higher on a comprehension test given afterwards (d = 1.17), although both study groups outscored the read-only group. Results suggest that students in the note-taking group (and read-only group) tended to use a linear learning strategy in which their eyes followed the text in the order presented whereas students in the graphic organizer group tended to use a generative learning strategy in which their eyes searched for connections between specific information across the passage required to make comparisons. (C) 2013 Elsevier Ltd. All rights reserved.</t>
  </si>
  <si>
    <t>10.1016/j.chb.2013.07.054</t>
  </si>
  <si>
    <t>WOS:000330090900014</t>
  </si>
  <si>
    <t>Pessoa-Mahana, H; Cuevas, MI; Pessoa-Mahana, CD; Araya-Maturana, R; Fajardo, IA; Barría, CS; Fajardo, IA</t>
  </si>
  <si>
    <t>Pessoa-Mahana, Hernan; Ignacio Cuevas, M.; David Pessoa-Mahana, C.; Araya-Maturana, Ramiro; Fajardo, Iriux Almodovar; Saitz Barria, Claudio; Almodovar Fajardo, Iriux</t>
  </si>
  <si>
    <t>SYNTHESIS OF 1-BENZYL-3-[4-(ARYL-1-PIPERAZINYL) CARBONYL]-1H-INDOLES. NOVEL LIGANDS WITH POTENTIAL D4 DOPAMINERGIC ACTIVITY (vol 56, pg 866, 2011)</t>
  </si>
  <si>
    <t>Araya-Maturana, Ramiro/N-8747-2015; SAITZ, CLAUDIO/I-1983-2013</t>
  </si>
  <si>
    <t>Araya-Maturana, Ramiro/0000-0002-5082-9146; Pessoa-Mahana, David/0000-0002-9571-0173</t>
  </si>
  <si>
    <t>WOS:000302755900023</t>
  </si>
  <si>
    <t>Do O, JM; Lorca, S; Ubilla, P</t>
  </si>
  <si>
    <t>Do O, Joao Marcos; Lorca, Sebastian; Ubilla, Pedro</t>
  </si>
  <si>
    <t>ON A CLASS OF NONVARIATIONAL ELLIPTIC SYSTEMS WITH NONHOMOGENOUS BOUNDARY CONDITIONS</t>
  </si>
  <si>
    <t>Using a fixed-point theorem of cone expansion/compression type, we show the existence of at least three positive radial solutions for the class of quasi linear elliptic systems { -Delta(p)u = lambda k(1) (vertical bar x vertical bar) f (u, v) in Omega, -Delta(q)v = lambda k(2) (vertical bar x vertical bar) g (u, v) in Omega, (u, v) = (a, b) on partial derivative Omega where the nonlinearities f, g is an element of C([0, +infinity)(2); [0, +infinity)) are superlinear at zero and sublinear at +infinity. The parameters lambda, a and b are positive, Omega is the ball in R-N, with N &gt;= 3, of radius R-0 which is centered at the origin, 1 &lt; p, q &lt;= 2, and k(1), k(2) is an element of C([0, R-0]; [0, + infinity)).</t>
  </si>
  <si>
    <t>WOS:000293821200003</t>
  </si>
  <si>
    <t>Cárdenas-Jirón, GI; Leon-Plata, P; Cortes-Arriagada, D; Seminario, JM</t>
  </si>
  <si>
    <t>Cardenas-Jiron, Gloria I.; Leon-Plata, Paola; Cortes-Arriagada, Diego; Seminario, Jorge M.</t>
  </si>
  <si>
    <t>Electrical Characteristics of Cobalt Phthalocyanine Complexes Adsorbed on Graphene</t>
  </si>
  <si>
    <t>We investigate, at a density functional level, the electric characteristics of 18 complexes of cobalt phthalocyanine (CoPc) and cobalt tetraaminephthalocyanine (CoTAPc) adsorbed on graphene functionalized with CO2- or CO moieties. Three models of graphene molecules are used, pristine, defect, and vacancy, leading to 12 complexes with CO2- functionalized graphene and 6 complexes with functionalized CO graphene. The molecular structures of the optimized complexes feature covalent adsorption Co-O lengths of similar to 1.9-2.1 angstrom and C-N lengths of similar to 1.4 angstrom in parallel, perpendicular, and coplanar structures of graphene with phthalocyanine. All these conformations have a direct effect on the electronic characteristics of the complexes. Binding energies calculated for the interaction between functionalized graphene and phthalocyanine show that structures with defects and vacancies have lower energies than pristine graphene. In particular, we found that complexes having a graphene-CO linked to phthalocyanine by an amide bond are of highest stability (by similar to 130 kcal/mol) and the formation of complexes with CO2- functionalized graphenes takes place preferably when involved with CoTAPc (by similar to 20 kcal/mol). Frontier molecular orbitals (HOMO and LUMO) suggest that several of these complexes behave as charge transfer compounds with phthalocyanine as an electron donor and graphene as an electron acceptor, thus these complexes could behave as sensors because of the absorption properties of phthalocyanine in the UV-vis region. The calculated current-voltage characteristics show that electron transfer is preferably favored in complexes with parallel structure and with pristine graphene CO2- functionalization (similar to 7 mu A) when both conjugates, graphene and phthalocyanine, face each other. The latter implies the transfer of charge through a pi-pi setting. However, the presence of defects and vacancies, for this face to face structure, shows lower electron transfer, having G-Def and G-Vac similar values of electron transfer. The conduction is very low for complexes with high stability (usually the coplanar structures) and with charge transfer features, i.e., those in which the HOMO and LUMO are in separated parts of the complex (usually the perpendicular and the coplanar structures). This study shows that cobalt phthalocyanine conducts electrical current toward graphene through a covalently attached CO2- to the graphene.</t>
  </si>
  <si>
    <t>Seminario, Jorge/C-9646-2012; Cortés-Arriagada, Diego/J-5940-2019; Cardenas-Jiron, Gloria/H-9508-2012</t>
  </si>
  <si>
    <t>Cardenas-Jiron, Gloria/0000-0003-4305-8088; Cortes-Arriagada, Diego/0000-0002-6709-1723</t>
  </si>
  <si>
    <t>10.1021/jp2041026</t>
  </si>
  <si>
    <t>WOS:000293758700042</t>
  </si>
  <si>
    <t>Guerrero, AR; Caballero, L; Adeva, A; Melo, F; Kogan, MJ</t>
  </si>
  <si>
    <t>Guerrero, Ariel R.; Caballero, Leonardo; Adeva, Alberto; Melo, Francisco; Kogan, Marcelo J.</t>
  </si>
  <si>
    <t>Exploring the Surface Charge on Peptide-Gold Nanoparticle Conjugates by Force Spectroscopy</t>
  </si>
  <si>
    <t>LANGMUIR</t>
  </si>
  <si>
    <t>The conformation and charge exposure of peptides attached to colloidal gold nanoparticles (AuNPs) are critical for both the colloidal stability and for the recognition of biological targets in biomedical applications such as diagnostics and therapy. We prepared conjugates of AuNPs and three isomer peptides capable of recognizing toxic aggregates of the amyloid beta protein (A beta) involved in Alzheimer's disease, namely, CLPFFD-CONH2 (i0), CDLPFF-CONH2 (i1), and CLPDFF-CONH2 (i2), where D is the amino acid aspartic acid that is negatively charged at pH = 7.4. We then studied the effect of peptide sequence on the charge exposure through force spectroscopy measurements. The peptide AuNPs conjugates were fixed on glass surfaces, and their interactions with peptide-functionalized tips were determined. Our results show a higher density of surface charge in the conjugates of the isomers i0 and 12 and a lower density in i1, which is due to the higher degree of functionalization in the first two compared with the third. However, the charge per molecule of the peptide is higher for i1 with respect to 10 and 12, which could be related to the local conformation that the peptides adopt on the surface. The acid base behavior of the peptide anchored to the AuNPs is different than expected in aqueous solutions of free peptides, which could be related to the low accessibility of the NH2-terminal group belonging to the cysteine that is located near the AuNPs surface. In contrast with other techniques, the fixation of the peptide-AuNPs conjugates to a surface allows for characterization of the local charge exposure of peptides anchored to AuNPs over a wide range of pH.</t>
  </si>
  <si>
    <t>kogan, Marcelo/I-2868-2013; Guerrero, Ariel/A-1395-2012; Melo, Francisco/M-3923-2014</t>
  </si>
  <si>
    <t>Melo, Francisco Esteban/0000-0001-6818-5476; Adeva, Alberto/0000-0003-3749-3796; Kogan, Marcelo/0000-0003-0608-5087</t>
  </si>
  <si>
    <t>0743-7463</t>
  </si>
  <si>
    <t>10.1021/la1014237</t>
  </si>
  <si>
    <t>WOS:000279756700061</t>
  </si>
  <si>
    <t>Eugenín, J; Von Bernhardi, R; Muller, KJ; Llona, I</t>
  </si>
  <si>
    <t>Eugenin, J.; Von Bernhardi, R.; Muller, K. J.; Llona, I.</t>
  </si>
  <si>
    <t>Development and pH sensitivity of the respiratory rhythm of fetal mice in vitro</t>
  </si>
  <si>
    <t>NEUROSCIENCE</t>
  </si>
  <si>
    <t>In newborn and adult mammals, chemosensory drive exerted by CO2 and H+ provides an essential tonic input: without it the rhythm of respiration is abolished. It is not known, however, whether this chemosensory drive and the respiratory rhythm appear simultaneously during development. In isolated brainstem-spinal cord preparations from fetal mice, we determined at what stage of fetal life the respiratory rhythm appeared in third to fifth cervical ventral roots (phrenic motoneurons) and whether this fetal rhythm was sensitive to chemosensory inputs. A respiratory-like rhythm consisting of short duration bursts of discharges recurring at 2-16 min(-1) was detected in two of nine embryonic day 13 fetuses; it was abolished by transection of the spinal cord between the first to second cervical segments and was phase-related to rhythmic activity from medullary units of the ventral respiratory group. At embryonic day 13, it coexisted with a slow rhythm (0.1-2.0 min(-1)) of long duration bursts of action potentials which was generated by the spinal cord. At later fetal stages, the respiratory-like rhythm became more robust and of higher frequency, while the spinal cord rhythm became less obvious. At all fetal stages, acidification of the superfusion medium from pH 7.5-7.2 or 7.4-7.3 or 7.4 to 7.2 increased the frequency of both the respiratory-like and the spinal cord rhythms. In addition, acidification reduced the amplitude of the integrated burst activity of the spinal cord rhythm of embryonic day 13-embryonic day 16 fetuses and the respiratory-like rhythm of embryonic day 17 and older fetuses. Our results indicate that the rhythms transmitted by phrenic motoneurons during fetal development are chemosensitive from early fetal stages. Through its effects on induction and patterning of the rhythm, chemosensory drive may play a role in activity-dependent formation of respiratory neural networks. (c) 2006 IBRO. Published by Elsevier Ltd. All rights reserved.</t>
  </si>
  <si>
    <t>von Bernhardi, Rommy/F-7232-2013</t>
  </si>
  <si>
    <t>von Bernhardi, Rommy/0000-0002-9022-7676</t>
  </si>
  <si>
    <t>0306-4522</t>
  </si>
  <si>
    <t>1873-7544</t>
  </si>
  <si>
    <t>10.1016/j.neuroscience.2006.03.046</t>
  </si>
  <si>
    <t>WOS:000239033300022</t>
  </si>
  <si>
    <t>Ispolatov, I; Krapivsky, PL; Yuryev, A</t>
  </si>
  <si>
    <t>Duplication-divergence model of protein interaction network</t>
  </si>
  <si>
    <t>We investigate a very simple model describing the evolution of protein-protein interaction networks via duplication and divergence. The model exhibits a remarkably rich behavior depending on a single parameter, the probability to retain a duplicated link during divergence. When this parameter is large, the network growth is not self-averaging and an average node degree increases algebraically. The lack of self-averaging results in a great diversity of networks grown out of the same initial condition. When less than a half of links are (on average) preserved after divergence, the growth is self-averaging, the average degree increases very slowly or tends to a constant, and a degree distribution has a power-law tail. The predicted degree distributions are in a very good agreement with the distributions observed in real protein networks.</t>
  </si>
  <si>
    <t>Krapivsky, Pavel/A-4612-2014; Ispolatov, Iaroslav/E-8544-2010</t>
  </si>
  <si>
    <t>Yuryev, Anton/0000-0003-1021-4849; Ispolatov, Iaroslav/0000-0002-0201-3396</t>
  </si>
  <si>
    <t>1539-3755</t>
  </si>
  <si>
    <t>1550-2376</t>
  </si>
  <si>
    <t>10.1103/PhysRevE.71.061911</t>
  </si>
  <si>
    <t>WOS:000230274500061</t>
  </si>
  <si>
    <t>Barticevic, Z; Latgé, A; Pacheco, M</t>
  </si>
  <si>
    <t>Optical properties of semiconductor quantum rings in a magnetic field</t>
  </si>
  <si>
    <t>REVISTA MEXICANA DE FISICA</t>
  </si>
  <si>
    <t>14th Latin American Symposiumm on Solid State Physics</t>
  </si>
  <si>
    <t>JAN 11-16, 1998</t>
  </si>
  <si>
    <t>OAXACA, MEXICO</t>
  </si>
  <si>
    <t>Here we present a theoretical investigation of the electronic and optical properties of semiconductor quantum rings in the presence of a magnetic field applied perpendicular to the plane of the ring. Working in the effective mass aproximation we have studied the electronic and the optical spectrum corresponding to different quantum ring geometries and different values of the magnetic field. For similar magnetic and confinement energies we found an increase in the effective-gap energy which depends on the ratio between the ring radius and the Landau radius.</t>
  </si>
  <si>
    <t>Latge, Andrea/D-9171-2015; Pacheco, Monica/AAG-8440-2019; Pacheco, Monica/L-9669-2014</t>
  </si>
  <si>
    <t>Pacheco, Monica/0000-0002-4293-5213</t>
  </si>
  <si>
    <t>0035-001X</t>
  </si>
  <si>
    <t>WOS:000077675900064</t>
  </si>
  <si>
    <t>Klimov, AB; Chumakov, SM; Retamal, JC; Saavedra, C</t>
  </si>
  <si>
    <t>An algebraic approach to the Jaynes-Cummings model with dissipation</t>
  </si>
  <si>
    <t>PHYSICS LETTERS A</t>
  </si>
  <si>
    <t>An alternative approach for the Jaynes-Cummings model with dissipation is presented. An analytic solution of the master equation is obtained in the strong field regime. The extension to other models is discussed.</t>
  </si>
  <si>
    <t>Saavedra, Carlos/C-4262-2008; Retamal, Juan/G-6425-2010; Klimov, Andrei/I-5785-2015</t>
  </si>
  <si>
    <t>Saavedra, Carlos/0000-0003-3156-3853; Klimov, Andrei/0000-0001-8493-721X; Retamal Abarzua, Juan Carlos/0000-0002-7174-7879</t>
  </si>
  <si>
    <t>0375-9601</t>
  </si>
  <si>
    <t>10.1016/0375-9601(95)00958-2</t>
  </si>
  <si>
    <t>WOS:A1996TV38800004</t>
  </si>
  <si>
    <t>Arenas-Rodríguez, K; Yusti-Muñoz, AP; Moreira-Arce, D; Simonetti, JA</t>
  </si>
  <si>
    <t>Arenas-Rodriguez, Kathia; Yusti-Munoz, Ana Paola; Moreira-Arce, Dario; Simonetti, Javier A.</t>
  </si>
  <si>
    <t>Livestock guarding dogs shape activity patterns of sympatric mesocarnivores in sheep ranches of the Patagonia region</t>
  </si>
  <si>
    <t>JOURNAL FOR NATURE CONSERVATION</t>
  </si>
  <si>
    <t>Predation of livestock by wild carnivores is a source of human-wildlife conflict. Livestock Guarding Dogs (LGDs) are one of the most effective non-lethal methods used. LGDs could impact wildlife due to their possible top predator role; their effect on mesocarnivores has been studied mainly in terms of space use, however, temporal effects may also exist. Our study sought to determine the possible effects of LGD presence on the activity patterns of the native foxes Lycalopex griseus and L. culpaeus in southern Chile. Activity patterns were estimated from fox detections with camera traps set on ranches with and without LGDs in Isla Riesco, Magallanes region, Chile, between 2016 and 2018. We quantified the activity patterns of each fox species in presence/absence of LGDs, and under different conditions including breeding vs non-breeding season, moon phase and vegetation cover. Both species modified their daily activity pattern, avoiding times of day of high LGD activity; nevertheless, these modifications did not change the temporal interaction between the native foxes. Activity patterns of foxes without LGDs did not differ from those in natural areas. The effect of LGDs on fox activity patterns was stronger than other ecological variables (breeding season, moon phase or vegetation cover). Since LGDs change the activity patterns of foxes, they cannot be seen as a totally innocuous predation control tool; however, carnivores' temporal avoidance of areas with a fear-evoking agent like LGDs would result in fewer livestock-predators encounters, thus reducing sheep predation risk. LGDs appear to exert non-lethal effects upon carnivores that would contribute to reduced predation rates and may help decrease producers' economic losses, as well as the retaliatory hunting of wild carnivores. Thus, our results support that LGDs could be contributing to the co-existence with native predators in areas destined for livestock production.</t>
  </si>
  <si>
    <t>Moreira-Arce, Dario/ABG-2898-2021; Simonetti, Javier/A-4658-2008</t>
  </si>
  <si>
    <t>Arenas, Kathia/0000-0002-3546-5321</t>
  </si>
  <si>
    <t>1617-1381</t>
  </si>
  <si>
    <t>1618-1093</t>
  </si>
  <si>
    <t>10.1016/j.jnc.2024.126745</t>
  </si>
  <si>
    <t>WOS:001334166200001</t>
  </si>
  <si>
    <t>Parra-Muñoz, N; López-Monsalves, V; Espinoza-González, R; Aravena, D; Pizarro, N; Soler, M</t>
  </si>
  <si>
    <t>Parra-Munoz, Nicole; Lopez-Monsalves, Valentina; Espinoza-Gonzalez, Rodrigo; Aravena, Daniel; Pizarro, Nancy; Soler, Monica</t>
  </si>
  <si>
    <t>Synthesis and Optical Properties of a Novel Hybrid Nanosystem Based on Covalently Modified nSiO2 Nanoparticles with a Curcuminoid Molecule</t>
  </si>
  <si>
    <t>A new curcuminoid molecule (3) has been designed and synthesized, containing a central -(CH2)(2)-COOH chain at the alpha carbon of the keto-enol moiety in the structure. The carboxylic acid group is added to react with exposed amino groups on silica oxide nanoparticles (nSiO(2)), forming an amide bond to attach the curcuminoid moiety to the nSiO(2) covalently. The Kaiser test quantifies the functionalization degree, yielding 222 mu mol of curcuminoid per gram of nanoparticles. The synthesized hybrid nanosystem, nSiO(2)-NHCO-CCM, displays significant emission properties, with a maximum emission at 538 nm in dichloromethane, similar to curcuminoid 1 (without the central chain), which emits at 565 nm in the same solvent. Solvent-induced spectral effects on the absorption and emission bands of the new hybrid nanosystem are confirmed, similar to those observed for the free curcuminoid (1). The new nanosystem is evaluated in the presence of kerosene in water, showing an emission band at 525 nm as a detection response. The ability of nSiO(2)-NHCO-CCM to change its fluorescence when interacting with kerosene in water is notable, as it overcomes the limitation caused by the insolubility of free curcuminoid 1 in water, allowing for the exploitation of its properties when connected to the water-stable nanosystem for future detection studies.</t>
  </si>
  <si>
    <t>Pizarro, Nancy/E-1131-2015; Aravena, Daniel/F-2174-2011; Soler, Monica/A-6705-2013; Espinoza-Gonzalez, Rodrigo/A-2731-2012</t>
  </si>
  <si>
    <t>Soler, Monica/0000-0003-2125-6809; Parra-Munoz, Nicole/0000-0002-8604-5343; Espinoza-Gonzalez, Rodrigo/0000-0003-1119-9716; Lopez Monsalves, Valentina Scarlett/0009-0002-9607-5770</t>
  </si>
  <si>
    <t>10.3390/nano14121022</t>
  </si>
  <si>
    <t>WOS:001257237000001</t>
  </si>
  <si>
    <t>Eugenin, J; Richerson, GB</t>
  </si>
  <si>
    <t>Eugenin, Jaime; Richerson, George B.</t>
  </si>
  <si>
    <t>Alternative and expanding views on central respiratory chemoreception in health and disease</t>
  </si>
  <si>
    <t>FRONTIERS IN PHYSIOLOGY</t>
  </si>
  <si>
    <t>1664-042X</t>
  </si>
  <si>
    <t>APR 5</t>
  </si>
  <si>
    <t>10.3389/fphys.2024.1403768</t>
  </si>
  <si>
    <t>WOS:001205484900001</t>
  </si>
  <si>
    <t>Vladuceanu, F; Ijaz, M; Ekpo, S; Adebisi, B; Soto, I; Ghafoor, S</t>
  </si>
  <si>
    <t>Vladuceanu, Filip; Ijaz, Muhammad; Ekpo, Sunday; Adebisi, Bamidele; Soto, Ismael; Ghafoor, Salman</t>
  </si>
  <si>
    <t>Experimental Proof-of-Concept Design of Self-Power LiFi Communication System for IoT Applications</t>
  </si>
  <si>
    <t>This paper experimentally investigates the performance of a proof-of-concept self-power Li-Fi System based on solar cell for future Internet of Things (IoT) applications. The proposed system is capable to provide a low bandwidth connectivity and wireless energy harvesting simultaneously which consists of multiple input and multiple output (MIMO) LiFi transceiver. Different configurations of MIMO LiFi based on solar cell receiver are used in series and parallel and tested experimentally to evaluate its bandwidth and harvested power. Experimental results show that the series combination of solar cells in 4x4 achieves the higher bandwidth, B= 71.97 KHz due to better accumulation of signal to noise ratio (SNR). The larger configurations, 4x4 when connected in series achieves the higher electrical power harvested of 80 mW than 65 mW in parallel combination. This harvested power could be stepped up and stored. Furthermore, for the communication performance, an on-off keying (OOK)- non return to zero (NRZ) modulation is implemented and tested. The results show that using a SISO system, a data rate of 50 Kb/s is achieved at BER= 5x10(-3), however, the data rate is doubled to 100 Kb/s at BER= 2.8x10(-3) using a 4x4 MIMO in series due to higher SNR and improved bandwidth. The results could be further justified with the received signal eye-diagrams and histograms.</t>
  </si>
  <si>
    <t>Ghafoor, Salman/AAT-8792-2021; EKPO, SUNDAY/AAB-5880-2020</t>
  </si>
  <si>
    <t>Ekpo, Sunday Cookey/0000-0001-9219-3759; Adebisi, Bamidele/0000-0001-9071-9120</t>
  </si>
  <si>
    <t>10.1109/CSNDSP60683.2024.10636573</t>
  </si>
  <si>
    <t>WOS:001324588800032</t>
  </si>
  <si>
    <t>Chávez, R; Vaca, I; García-Estrada, C</t>
  </si>
  <si>
    <t>Chavez, Renato; Vaca, Inmaculada; Garcia-Estrada, Carlos</t>
  </si>
  <si>
    <t>Secondary Metabolites Produced by the Blue-Cheese Ripening Mold Penicillium roqueforti; Biosynthesis and Regulation Mechanisms</t>
  </si>
  <si>
    <t>JOURNAL OF FUNGI</t>
  </si>
  <si>
    <t>Filamentous fungi are an important source of natural products. The mold Penicillium roqueforti, which is well-known for being responsible for the characteristic texture, blue-green spots, and aroma of the so-called blue-veined cheeses (French Bleu, Roquefort, Gorgonzola, Stilton, Cabrales, and Valdeon, among others), is able to synthesize different secondary metabolites, including andrastins and mycophenolic acid, as well as several mycotoxins, such as Roquefortines C and D, PR-toxin and eremofortins, Isofumigaclavines A and B, festuclavine, and Annullatins D and F. This review provides a detailed description of the biosynthetic gene clusters and pathways of the main secondary metabolites produced by P. roqueforti, as well as an overview of the regulatory mechanisms controlling secondary metabolism in this filamentous fungus.</t>
  </si>
  <si>
    <t>Garcia-Estrada, Carlos/F-7932-2014</t>
  </si>
  <si>
    <t>Garcia-Estrada, Carlos/0000-0001-5617-9669; Chavez, Renato/0000-0003-1754-3610</t>
  </si>
  <si>
    <t>2309-608X</t>
  </si>
  <si>
    <t>10.3390/jof9040459</t>
  </si>
  <si>
    <t>WOS:000979214000001</t>
  </si>
  <si>
    <t>Velasquez, E; de Dicastillo, CL; Vidal, CP; Copello, G; Reyes, C; Guarda, A; Galotto, MJ</t>
  </si>
  <si>
    <t>Velasquez, Eliezer; de Dicastillo, Carol Lopez; Vidal, Cristian Patino; Copello, Guillermo; Reyes, Cristopher; Guarda, Abel; Galotto, Maria Jose</t>
  </si>
  <si>
    <t>Feasibility of Valorization of Post-Consumer Recycled Flexible Polypropylene by Adding Fumed Nanosilica for Its Potential Use in Food Packaging toward Sustainability</t>
  </si>
  <si>
    <t>The food industry has a current challenge of increasing the recycling of post-consumer plastics to reduce plastic waste towards a circular economy, especially flexible polypropylene, which is highly demanded in food packaging. However, recycling post-consumer plastics is limited because service life and reprocessing degrade their physical-mechanical properties and modify the migration of components from the recycled material to the food. This research evaluated the feasibility of valorization of post-consumer recycled flexible polypropylene (PCPP) by incorporating fumed nanosilica (NS). For this purpose, the effect of concentration and type (hydrophilic and hydrophobic) of NS on the morphological, mechanical, sealing, barrier and overall migration properties of PCPP films was studied. Incorporating NS improved Young's modulus and, more significantly, tensile strength at 0.5 wt% and 1 wt%, where a better particle dispersion was confirmed by EDS-SEM, but it diminished elongation at breakage of the films. Interestingly, NS tended to increase the seal strength of PCPP nanocomposite films more significantly at higher NS content, showing a seal failure of the adhesive peel type which is preferred for flexible packaging. NS at 1 wt% did not affect the water vapor and oxygen permeabilities of the films. Overall migration of PCPP and nanocomposites exceeded the limit value of 10 mg dm(-2) allowed by European legislation at the studied concentrations of 1% and 4 wt%. Nonetheless, NS reduced the overall migration of PCPP from 17.3 to 15 mg dm(-2) in all nanocomposites. In conclusion, PCPP with 1 wt% of hydrophobic NS presented an improved overall performance of the studied packaging properties.</t>
  </si>
  <si>
    <t>Patiño Vidal, Cristian Javier/JDM-7961-2023; Lopez-de-Dicastillo, Carol/C-6347-2019; Copello, Guillermo/N-2878-2015</t>
  </si>
  <si>
    <t>VELASQUEZ, ELIEZER/0000-0001-8858-8926; Patino Vidal, Cristian Javier/0000-0002-5633-6908; Lopez-de-Dicastillo, Carol/0000-0003-0067-9765; Copello, Guillermo/0000-0003-2689-8202</t>
  </si>
  <si>
    <t>10.3390/polym15051081</t>
  </si>
  <si>
    <t>WOS:000948159300001</t>
  </si>
  <si>
    <t>Martínez, D; Zabala-Blanco, D; Ahumada-Garcia, R; Soto, I; Firoozabadi, AD; Játiva, PP</t>
  </si>
  <si>
    <t>Orjuela-Canon, AD</t>
  </si>
  <si>
    <t>Martinez, Diego; Zabala-Blanco, David; Ahumada-Garcia, Roberto; Soto, Ismael; Firoozabadi, Ali Dehghan; Jativa, Pablo Palacios</t>
  </si>
  <si>
    <t>Evaluation of Extreme Learning Machines for Detecting Heart Diseases</t>
  </si>
  <si>
    <t>2023 IEEE COLOMBIAN CONFERENCE ON APPLICATIONS OF COMPUTATIONAL INTELLIGENCE, COLCACI</t>
  </si>
  <si>
    <t>IEEE Colombian Conference on Applications in Computational Intelligence</t>
  </si>
  <si>
    <t>IEEE Colombian Conference on Applications of Computational Intelligence (ColCACI)</t>
  </si>
  <si>
    <t>JUL 26-28, 2023</t>
  </si>
  <si>
    <t>Bogota, DC</t>
  </si>
  <si>
    <t>IEEE,IEEE Computat Intelligence Soc Colombian Chapter,IEEE Colombia,IEEE Colombia Sect</t>
  </si>
  <si>
    <t>Currently, cardiovascular diseases are the leading cause of human death according to the World Health Organization. Their prediction allows doctors to indicate preventive measures to their patients and perform procedures on time. In this research, the performance of different Extreme Learning Machine (ELM)-based algorithms applied to the binary classification problem of the heart's state (healthy or sick) was evaluated. The following ELMs were used: the basic model, regularized, weighted, and multi-layer. The experiments were carried out in a MATLAB programming environment and a mid-range laptop. To evaluate the models' performance, the accuracy (Acc), the geometric mean (G-mean), and the execution time of the algorithms were used, comparing the results with other classifiers reported in the literature. In this research, it is proposed to use a Weighted ELM (W1-ELM) due to its acceptable accuracy of 0.81 and its low training complexity compared to deeper models such as Convolutional Neural Networks.</t>
  </si>
  <si>
    <t>Dehghan Firoozabadi, Ali/AAD-4858-2019; Martinez, Diego/ABF-4412-2021; Palacios Játiva, Pablo/AAE-8235-2019; Ahumada García, Roberto Carlos/KBB-2316-2024</t>
  </si>
  <si>
    <t>Ahumada-Garcia, Roberto/0000-0003-1107-4606; Palacios, Pablo/0000-0002-3958-503X</t>
  </si>
  <si>
    <t>2769-3651</t>
  </si>
  <si>
    <t>979-8-3503-1659-9</t>
  </si>
  <si>
    <t>10.1109/COLCACI59285.2023.10226128</t>
  </si>
  <si>
    <t>WOS:001062453300019</t>
  </si>
  <si>
    <t>Arcos, C; Muñoz, L; Cordova, D; Muñoz, H; Walter, M; Azócar, MI; Leiva, A; Sancy, M; Rodríguez-Grau, G</t>
  </si>
  <si>
    <t>Arcos, Camila; Munoz, Lisa; Cordova, Deborah; Munoz, Hugo; Walter, Mariana; Azocar, Manuel I.; Leiva, Angel; Sancy, Mamie; Rodriguez-Grau, Gonzalo</t>
  </si>
  <si>
    <t>The Effect of the Addition of Copper Particles in High-Density Recycled Polyethylene Matrices by Extrusion</t>
  </si>
  <si>
    <t>In this study, the effect of the recycling process and copper particle incorporation on virgin and recycled pellet HDPE were investigated by thermo-chemical analysis, mechanical characterization, and antibacterial analysis. Copper particles were added to pellet HDPE, virgin and recycled, using a tabletop single screw extruder. Some copper particles, called copper nano-particles (Cu-NPs), had a spherical morphology and an average particle size near 20 nm. The others had a cubic morphology and an average particle size close to 300 nm, labeled copper nano-cubes (Cu-NCs). The thermo-chemical analysis revealed that the degree of crystallization was not influenced by the recycling process: 55.38 % for virgin HDPE and 56.01% for recycled HDPE. The degree of crystallization decreased with the addition of the copper particles. Possibly due to a modification in the structure, packaging organization, and crystalline ordering, the recycled HDPE reached a degree of crystallization close to 44.78% with 0.5 wt.% copper nano-particles and close to 36.57% for the recycled HDPE modified with 0.7 wt.% Cu-NCs. Tensile tests revealed a slight reduction in the tensile strength related to the recycling process, being close to 26 MPa for the virgin HDPE and 15.99 MPa for the recycled HDPE, which was improved by adding copper particles, which were near 25.39 MPa for 0.7 wt.% copper nano-cubes. Antibacterial analysis showed a reduction in the viability of E. coli in virgin HDPE samples, which was close to 8% for HDPE containing copper nano-particles and lower than 2% for HDPE having copper nano-cubes. In contrast, the recycled HDPE revealed viability close to 95% for HDPE with copper nano-particles and nearly 50% for HDPE with copper nano-cubes. The viability of S. aureus for HDPE was lower than containing copper nano-particles and copper nano-cubes, which increased dramatically close to 80% for recycled HDPE with copper nano-particles 80% and 75% with copper nano-cubes.</t>
  </si>
  <si>
    <t>Azocar, Manuel/I-1226-2013; Muñoz, Hugo/HMV-5842-2023; Rodriguez-Grau, Gonzalo/AAV-6086-2020; Sancy, Mamie/L-6270-2014</t>
  </si>
  <si>
    <t>Rodriguez-Grau, Gonzalo/0000-0003-1068-3741; Azocar Guzman, Manuel/0000-0003-1098-4659; Arcos, Camila/0000-0001-6285-1319; Munoz, Hugo/0000-0001-5091-0457; Sancy, Mamie/0000-0001-9523-2629; munoz, lisa/0000-0002-4588-2620; Leiva-Campusano, Angel Rodrigo/0000-0003-3744-1945</t>
  </si>
  <si>
    <t>10.3390/polym14235220</t>
  </si>
  <si>
    <t>WOS:000933653800001</t>
  </si>
  <si>
    <t>Barreto, LBM; Aedo-Muñoz, EA; Soto, DAS; Miarka, B; Brito, CJ</t>
  </si>
  <si>
    <t>Mota Barreto, Lindsei Brabec; Ariel Aedo-Munoz, Esteban; Sorbazo Soto, Dany Alexis; Miarka, Bianca; Brito, Ciro Jose</t>
  </si>
  <si>
    <t>Has there been a change between combat time in male judo? Analysis of the top 20 athletes by weight division between the 2016-20 Olympic cycles</t>
  </si>
  <si>
    <t>INTERNATIONAL JOURNAL OF PERFORMANCE ANALYSIS IN SPORT</t>
  </si>
  <si>
    <t>This study compared male judo combat time in international competitions between the 2016 and 2020 Olympic cycles, by weight divisions. We analysed 1380 videos of male judo combat from top 20 in the World ranking by weight division. The 2020 cycle had a lower combat time and a higher occurrence of Golden Score (GS) compared to the 2016 cycle (combat time: 2020= 206.9, 2016= 240.3 seconds; GS time: 2020= 95.1, 2016= 77.6 seconds; p&lt;0.001; GS occurrence: 2020= 27%, 2016= 6%; p&lt;0.05). The 66kg and 73kg spent the most time and the +100kg category spent the least time in the GS than the other divisions, in both Olympic cycles. However, in the 2020 cycle compared to 2016, the 66kg was the only that reduced the combat time on the GS (p= 0.002), the 81kg and +100kg had a change in the distribution of combat closure minute-by-minute [81kg(2016)= 28%, 81kg(2020)= 68% finished until the 4th minute of Regular Time; +100kg(2016)= 25%, +100kg(2020)= 50% finished until the 3rd minute of Regular Time; p= 0.003 for both]. These data must be considered when prescribing male judo training for specific performance.</t>
  </si>
  <si>
    <t>Brito, Ciro/AAC-9104-2019; Aedo-Muñoz, Esteban/R-5623-2019; Brabec Mota Barreto, Lindsei/AAW-2501-2020; Miarka, Bianca/V-7395-2017</t>
  </si>
  <si>
    <t>Sobarzo-Soto, Dany Alexis/0000-0001-8479-7149; Aedo-Munoz, Esteban/0000-0003-1544-2824; Brabec Mota Barreto, Lindsei/0000-0001-5941-4409; brito, ciro/0000-0002-9678-1977; Miarka, Bianca/0000-0002-7513-7605</t>
  </si>
  <si>
    <t>2474-8668</t>
  </si>
  <si>
    <t>1474-8185</t>
  </si>
  <si>
    <t>JUL 4</t>
  </si>
  <si>
    <t>10.1080/24748668.2022.2086516</t>
  </si>
  <si>
    <t>WOS:000810388700001</t>
  </si>
  <si>
    <t>Hebel-Gerber, S; García-Cancino, A; Urbina, A; Simirgiotis, MJ; Echeverría, J; Bustamante-Salazar, L; Sáez-Carrillo, K; Alarcón, J; Pastene-Navarrete, E</t>
  </si>
  <si>
    <t>Hebel-Gerber, Sonja; Garcia-Cancino, Apolinaria; Urbina, Angelica; Simirgiotis, Mario J.; Echeverria, Javier; Bustamante-Salazar, Luis; Saez-Carrillo, Katia; Alarcon, Julio; Pastene-Navarrete, Edgar</t>
  </si>
  <si>
    <t>Chilean Rhubarb, Gunnera tinctoria (Molina) Mirb. (Gunneraceae): UHPLC-ESI-Orbitrap-MS Profiling of Aqueous Extract and its Anti-Helicobacter pylori Activity</t>
  </si>
  <si>
    <t>The full UHPLC-MS metabolome fingerprinting and anti-Helicobacter pylori effect of Gunnera tinctoria (Molina) Mirb. (Nalca) total extract (GTE) and fractions prepared from its edible fresh petioles were evaluated. The activity of G. tinctoria against H. pylori strains ATCC 45504 and J99 was assessed in vitro by means of agar diffusion assay, Minimum Inhibition Concentration (MIC), and Minimum Bactericidal Concentration (MBC), while killing curve and transmission electronic microscopy (TEM) were conducted in order to determine the effect of the plant extract on bacterial growth and ultrastructure. Additionally, the inhibitory effect upon urease was evaluated using both the Jack Bean and H. pylori enzymes. To determine which molecules could be responsible for the antibacterial effects, tentative identification was done by ultra-high performance liquid chromatography coupled with high-resolution mass spectrometry (UHPLC-Q-Orbitrap (R)-HR-MS). Furthermore, the total G. tinctoria extract was fractionated using centrifugal partition chromatography (CPC), giving four active fractions (1-4). It was determined that the crude extract and centrifugal partition chromatography fractions of G. tinctoria have a bactericidal effect being the lowest MIC and MBC = 32 mu g/ml. In the killing curves, fraction one acts faster than control amoxicillin. In the urease assay, F3 exhibited the lowest IC50 value of 13.5 mu g/ml. Transmission electronic microscopy showed that crude G. tinctoria extract promotes disruption and separation of the cellular wall and outer membrane detachment on H. pylori causing bacterial cell death.</t>
  </si>
  <si>
    <t>Simirgiotis, Mario/P-3871-2017; Echeverría, Javier/AAK-3323-2020</t>
  </si>
  <si>
    <t>Bustamante-Salazar, Luis/0000-0001-5077-474X; Echeverria, Javier/0000-0002-1688-968X; Garcia, Apolinaria/0000-0003-3909-9733</t>
  </si>
  <si>
    <t>JAN 27</t>
  </si>
  <si>
    <t>10.3389/fphar.2020.583961</t>
  </si>
  <si>
    <t>WOS:000616638300001</t>
  </si>
  <si>
    <t>Laroze, D; Neumayer, E; Plümper, T</t>
  </si>
  <si>
    <t>Laroze, Denise; Neumayer, Eric; Pluemper, Thomas</t>
  </si>
  <si>
    <t>COVID-19 does not stop at open borders: Spatial contagion among local authority districts during England's first wave</t>
  </si>
  <si>
    <t>SOCIAL SCIENCE &amp; MEDICINE</t>
  </si>
  <si>
    <t>Infectious diseases generate spatial dependence or contagion not only between individuals but also between geographical units. New infections in one local district do not just depend on properties of the district, but also on the strength of social ties of its population with populations in other districts and their own degree of infectiousness. We show that SARS-CoV-2 infections during the first wave of the pandemic spread across district borders in England as a function of pre-crisis commute to work streams between districts. Crucially, the strength of this spatial contagion depends on the phase of the epidemic. In the first pre-lockdown phase, the spread of the virus across district borders is high. During the lockdown period, the cross-border spread of new infections slows down significantly. Spatial contagion increases again after the lockdown is eased but not statistically significantly so.</t>
  </si>
  <si>
    <t>Neumayer, Eric/ABF-3741-2021; Plümper, Thomas/Q-4695-2016; Neumayer, Eric/A-3971-2012; Pluemper, Thomas/G-7559-2011</t>
  </si>
  <si>
    <t>0277-9536</t>
  </si>
  <si>
    <t>1873-5347</t>
  </si>
  <si>
    <t>10.1016/j.socscimed.2020.113655</t>
  </si>
  <si>
    <t>WOS:000621361500013</t>
  </si>
  <si>
    <t>NUMERICAL MODELING OF NON-AFFINE VISCOELASTIC FLUID FLOW INCLUDING VISCOUS DISSIPATION THROUGH A SQUARE CROSS-SECTION DUCT : HEAT TRANSFER ENHANCEMENT DUE TO THE INERTIA AND THE ELASTIC EFFECTS</t>
  </si>
  <si>
    <t>PROCEEDINGS OF THE ASME 2020 INTERNATIONAL MECHANICAL ENGINEERING CONGRESS AND EXPOSITION, IMECE2020, VOL 10</t>
  </si>
  <si>
    <t>ASME International Mechanical Engineering Congress and Exposition (IMECE)</t>
  </si>
  <si>
    <t>NOV 16-19, 2020</t>
  </si>
  <si>
    <t>Non-isothermal laminar flow of a viscoelastic fluid including viscous dissipation through a square cross-section duct is analyzed. Viscoelastic stresses are described by Giesekus modele orthe Phan-Thien-Tanner model and the solvent shear stress is given by the linear Newtonian constitutive relationship. The flow through the tube is governed by the conservation equations of energy, mass, momentum associated with to one non-affine rheological model mentioned above. The mixed type of the governing system of equations (elliptic-parabolic-hyperbolic) requires coupling between discretisation methods designed for elliptic-type equations and techniques adapted to transport equations. To allow appropriate spatial discretisation of the convection terms, the system is rewritten in a quasi-linear first-order and homogeneous form without the continuity and energy equations. With the rheological models of the Giesekus type, the conformation tensor is by definition symmetrical and positive-definite, with the PTT model the hyperbolicity condition is subject to restrictions related to the rheological parameters. Based on this hyperbolicity condition, the contribution of the hyperbolic part is approximated by applying the characteristic method to extract pure advection terms which are then discretized by high ordre schemes WENO and HOUC. The algorithm thus developed makes it possible, to avoid the problems of instabilities related to the high Weissenberg number without the use of any stabilization method. Finally, a Nusselt number analysis is given as a function of inertia, elasticity, viscous dissipation, for constant solvent viscosity ratio and constant material and rheological parameters.</t>
  </si>
  <si>
    <t>978-0-7918-8458-4</t>
  </si>
  <si>
    <t>V010T10A009</t>
  </si>
  <si>
    <t>WOS:001233269200009</t>
  </si>
  <si>
    <t>Alburquenque, D; Troncoso, L; Denardin, JC; Marco, JF; Gautier, JL</t>
  </si>
  <si>
    <t>Alburquenque, D.; Troncoso, L.; Denardin, J. C.; Marco, J. F.; Gautier, J. L.</t>
  </si>
  <si>
    <t>Cation distribution and magnetic properties of NixMn3-xO4-δ (x=0.5, 0.75) synthesized by an ultrasound method</t>
  </si>
  <si>
    <t>JOURNAL OF PHYSICS AND CHEMISTRY OF SOLIDS</t>
  </si>
  <si>
    <t>Manganese nickel oxides with a spinel-related structure, NixMn3-xO4-delta (x = 0.5 or 0.75), were synthesized by an ultrasound-assisted sol-gel method. Inductively coupled plasma atomic optical emission spectroscopy and energy-dispersive X-ray spectroscopy analysis showed good agreement with the nominal oxide compositions. The Rietveld refinement of the X-ray data indicated that both Ni0.5Mn2.5O4-delta and Ni0.75MN2.25O4-delta crystallize in the Fd3m space group, having cell parameter a of 0.8439 and 0.8392 nm, respectively. Scanning electron microscopy images showed agglomerated particles with sizes ranging from 300 nm to 1.4 mu m, approximately. The magnetization curves showed paramagnetic behavior at room temperature, whereas ferromagnetic behavior was observed at 5 K. Zero-field-cooling and field-cooling magnetization measurements indicated the presence of three magnetic transitions, at T-C = T-1 = 107 K, T-2 = 98 K, and T-3 = 54 K for Ni0.5Mn2.5O4-delta and at T-C = T-1 = 101 K, T-2 = 93 K, and T-3 = 68 K for Ni0.75MN2.25O4-delta. X-ray photoelectron spectroscopy analysis revealed the presence of Ni2+, Mn2+, Mn3+, and Mn4+. The results provided by the different techniques allow us to propose the following cation distributions for these oxides: Mn0.82+Mn0.23+[Ni0.52+Mn1.043+Mn0.464+]O-3.98(2-) and Ni0.032+Mn0.972+[Ni0.722+Mn0.663+Mn0.624+]O-3.95(2-).</t>
  </si>
  <si>
    <t>Denardin, Juliano/S-6407-2019; Marco, JF/N-3176-2014</t>
  </si>
  <si>
    <t>Marco, JF/0000-0002-5147-1449; Alburquenque, Daniela/0000-0001-9236-3308</t>
  </si>
  <si>
    <t>0022-3697</t>
  </si>
  <si>
    <t>1879-2553</t>
  </si>
  <si>
    <t>10.1016/j.jpcs.2019.05.031</t>
  </si>
  <si>
    <t>WOS:000481563900014</t>
  </si>
  <si>
    <t>Tasca, F; Fierro, A; Nöll, G</t>
  </si>
  <si>
    <t>Tasca, Federico; Fierro, Angelica; Noell, Gilbert</t>
  </si>
  <si>
    <t>Spectroelectrochemical study revealing the redox potential of human monoamine oxidase A</t>
  </si>
  <si>
    <t>Spectroelectrochemical measurements were performed on human monoamine oxidase A (MAO A) at pH 7.8, and the redox potential of the enzyme was determined. MAOs are membrane-bound flavoenzymes that catalyse the oxidation of different neurotransmitters such as dopamine, serotonin or norepinephrine. As redox-active cofactor the enzymes contain a covalently bound 8 alpha-S-cysteinyl-flavin adenine dinucleotide (8 alpha-S-cysteinyl-FAD). The spectroelectrochemical measurements were performed in the presence of various one-and two-electron transferring redox mediators such as viologens and 1,4-naphthoquinones. No singly reduced flavosemiquinone radical anion or radical could be detected in the timescale of the experiment, i.e. the enzyme changes from the fully oxidized flavoquinone to the fully reduced flavohydroquinone. A redox potential of -177 +/- 4mV vs. NHE was determined at pH 7.8. Neither the ionic strength of the buffer, nor the composition of the mediator mixture, nor the passivation of the gold capillary electrode surface by chemisorption of mercaptohexanol had any influence on the values determined for the redox potential. (c) 2019 Elsevier Ltd. All rights reserved.</t>
  </si>
  <si>
    <t>Tasca, Federico/J-4134-2015; Fierro, Angelica/AAJ-2533-2020</t>
  </si>
  <si>
    <t>Fierro Huerta, Angelica/0000-0002-6507-4188</t>
  </si>
  <si>
    <t>10.1016/j.electacta.2019.06.017</t>
  </si>
  <si>
    <t>WOS:000476718000067</t>
  </si>
  <si>
    <t>Becerra-Ruiz, M; Vargas, V; Jara, P; Tirapegui, C; Carrasco, C; Nuñez, M; Lezana, N; Galdámez, A; Vilches-Herrera, M</t>
  </si>
  <si>
    <t>Becerra-Ruiz, Martin; Vargas, Victor; Jara, Patricio; Tirapegui, Cristian; Carrasco, Carlos; Nunez, Marco; Lezana, Nicolas; Galdamez, Antonio; Vilches-Herrera, Marcelo</t>
  </si>
  <si>
    <t>Blue-Fluorescent Probes for Lipid Droplets Based on Dihydrochromeno-Fused Pyrazolo- and Pyrrolopyridines</t>
  </si>
  <si>
    <t>EUROPEAN JOURNAL OF ORGANIC CHEMISTRY</t>
  </si>
  <si>
    <t>Lipid droplets (LDs) have been recognized as highly dynamic cellular organelles involved in important biological functions for the survival of organisms such as supplying food or energy. Nevertheless, lipid storage must be tightly controlled, because both its excess and the inability to store lipids can be detrimental to the organism, resulting in metabolic diseases or multifaceted systemic problems. Visualization and the monitoring of the concentration of LDs is essential to understanding these processes. Commercially available LD dyes, such as Nile Red and boron-dipyrromethene (BODIPY), offer several advantageous characteristics, but can be limiting in multicolor imaging because most ready-made fluorescent reporter constructs fluoresce in the green-to-red region of the visible spectrum. Nile Red emits between green and red, and BODIPY can be photoconverted from green to red fluorescence, limiting its ability to be utilized for time-lapse imaging of living cells. Here, we report the design and synthesis, the photophysical characterization, and biological testing of two easily prepared series of new blue-fluorescing dyes as markers for LDs. Confocal fluorescence microscopy results showed an interesting correlation between the chemical structures of these fluorescent probes and their specific staining patterns. The pyrazole-based compound 11c was found to be a specific dye for LDs, whereas the pyrrole-based compound 10d led to prominent staining of the membranous cell organelles.</t>
  </si>
  <si>
    <t>Herrera, Luis/M-2750-2015; Galdamez, Antonio/H-7404-2013; Tirapegui, Cristian/U-3748-2018</t>
  </si>
  <si>
    <t>Galdamez, Antonio/0000-0001-9665-7696; Tirapegui, Cristian/0000-0002-2895-3204; Vilches Herrera, Marcelo/0000-0001-8282-8650; Becerra-Ruiz, Martin/0009-0007-8349-397X</t>
  </si>
  <si>
    <t>1434-193X</t>
  </si>
  <si>
    <t>1099-0690</t>
  </si>
  <si>
    <t>SEP 16</t>
  </si>
  <si>
    <t>10.1002/ejoc.201701633</t>
  </si>
  <si>
    <t>WOS:000444540900018</t>
  </si>
  <si>
    <t>de Melo, CEA; Nicoleti, CR; Rezende, MC; Bortoluzzi, AJ; Heying, RD; Oliboni, RD; Caramori, GF; Machado, VG</t>
  </si>
  <si>
    <t>de Melo, Carlos E. A.; Nicoleti, Celso R.; Rezende, Marcos C.; Bortoluzzi, Adailton J.; Heying, Renata da S.; Oliboni, Robson da S.; Caramori, Giovanni F.; Machado, Vanderlei G.</t>
  </si>
  <si>
    <t>Reverse Solvatochromism of Imine Dyes Comprised of 5-Nitrofuran-2-yl or 5-Nitrothiophen-2-yl as Electron Acceptor and Phenolate as Electron Donor</t>
  </si>
  <si>
    <t>Eight compounds with phenols as electron-donating groups and 5-nitrothiophen-2-yl or 5-nitrofuran-2-yl acceptor moieties in their molecular structures were synthesized. The crystalline structures of six compounds were obtained. Their corresponding phenolate dyes were studied in 29 solvents and the data showed that in all cases a reverse solvatochromism occurred. The results are explained in terms of the ability of the medium to stabilize the electronic ground and excited states of the probes to different extents. The frontier molecular orbitals were analyzed for the protonated and deprotonated forms of the compounds. The calculated geometries are in agreement with the X-ray structures determined for the compounds and it was verified that after their deprotonation an increase in the electron delocalization occurs. Radial distribution functions were calculated for the dyes in water and n-hexane to analyze different solvation patterns resulting from the interaction of the solvents with the dyes. Data obtained by using the Catalan multiparameter equation revealed that the medium acidity is responsible for hypsochromic shifts, whereas the solvent basicity, polarizability, and dipolarity contributed to bathochromic shifts of the solvatochromic band of these dyes. Two model hybrid cyanine dyes were used in the design of simple experiments to demonstrate that the solvatochromic behavior of these dyes in solution can be tuned with careful consideration of the properties of the medium.</t>
  </si>
  <si>
    <t>Caroli, Marcos/H-3570-2019; Gageiro Machado, Vanderlei/C-7045-2018; Finoto Caramori, Giovanni/I-5998-2012; da Silva Oliboni, Robson/M-7639-2015; Bortoluzzi, Adailton/G-2287-2012</t>
  </si>
  <si>
    <t>Gageiro Machado, Vanderlei/0000-0002-6995-6591; Finoto Caramori, Giovanni/0000-0002-6455-7831; da Silva Oliboni, Robson/0000-0002-5376-0527; Bortoluzzi, Adailton/0000-0002-9493-5987; Rezende, Marcos/0000-0003-2040-9009</t>
  </si>
  <si>
    <t>10.1002/chem.201800613</t>
  </si>
  <si>
    <t>WOS:000436934300026</t>
  </si>
  <si>
    <t>Aguilar, M; González-Candia, A; Rodríguez, J; Carrasco-Pozo, C; Cañas, D; García-Herrera, C; Herrera, EA; Castillo, RL</t>
  </si>
  <si>
    <t>Aguilar, Miguel; Gonzalez-Candia, Alejandro; Rodriguez, Jorge; Carrasco-Pozo, Catalina; Canas, Daniel; Garcia-Herrera, Claudio; Herrera, Emilio A.; Castillo, Rodrigo L.</t>
  </si>
  <si>
    <t>Mechanisms of Cardiovascular Protection Associated with Intermittent Hypobaric Hypoxia Exposure in a Rat Model: Role of Oxidative Stress</t>
  </si>
  <si>
    <t>More than 140 million people live and works (in a chronic or intermittent form) above 2500 m worldwide and 35 million live in the Andean Mountains. Furthermore, in Chile, it is estimated that 55,000 persons work in high altitude shifts, where stays at lowlands and interspersed with working stays at highlands. Acute exposure to high altitude has been shown to induce oxidative stress in healthy human lowlanders, due to an increase in free radical formation and a decrease in antioxidant capacity. However, in animal models, intermittent hypoxia (IH) induce preconditioning, like responses and cardioprotection. Here, we aimed to describe in a rat model the responses on cardiac and vascular function to 4 cycles of intermittent hypobaric hypoxia (IHH). Twelve adult Wistar rats were randomly divided into two equal groups, a four-cycle of IHH, and a normobaric hypoxic control. Intermittent hypoxia was induced in a hypobaric chamber in four continuous cycles (1 cycle = 4 days hypoxia + 4 days normoxia), reaching a barometric pressure equivalent to 4600 m of altitude (428 Torr). At the end of the first and fourth cycle, cardiac structural, and functional variables were determined by echocardiography. Thereafter, ex vivo vascular function and biomechanical properties were determined in femoral arteries by wire myography. We further measured cardiac oxidative stress biomarkers (4-Hydroxy-nonenal, HNE; nytrotirosine, NT), reactive oxygen species (ROS) sources (NADPH and mitochondrial), and antioxidant enzymes activity (catalase, CAT; glutathione peroxidase, GPx, and superoxide dismutase, SOD). Our results show a higher ejection and shortening fraction of the left ventricle function by the end of the 4th cycle. Further, femoral vessels showed an improvement of vasodilator capacity and diminished stiffening. Cardiac tissue presented a higher expression of antioxidant enzymes and mitochondrial ROS formation in IHH, as compared with normobaric hypoxic controls. IHH exposure determines a preconditioning effect on the heart and femoral artery, both at structural and functional levels, associated with the induction of antioxidant defence mechanisms. However, mitochondrial ROS generation was increased in cardiac tissue. These findings suggest that initial states of IHH are beneficial for cardiovascular function and protection.</t>
  </si>
  <si>
    <t>García-Herrera, Claudio/ABE-8991-2020; Gonzalez-Candia, Alejandro/GOV-6045-2022; Aguilar-González, Miguel/AAU-5651-2021; Carrasco-Pozo, Catalina/I-7480-2016; Herrera, Emilio A/H-5992-2018</t>
  </si>
  <si>
    <t>Gonzalez-Candia, Alejandro/0000-0001-8429-367X; Carrasco-Pozo, Catalina/0000-0002-2029-2114; Herrera, Emilio A/0000-0002-6342-085X; Garcia-Herrera, Claudio/0000-0002-1283-8551</t>
  </si>
  <si>
    <t>10.3390/ijms19020366</t>
  </si>
  <si>
    <t>WOS:000427527400050</t>
  </si>
  <si>
    <t>Raviolo, S; Tejo, F; Bajales, N; Escrig, J</t>
  </si>
  <si>
    <t>Raviolo, Sofia; Tejo, Felipe; Bajales, Noelia; Escrig, Juan</t>
  </si>
  <si>
    <t>Angular dependence of the magnetic properties of permalloy and nickel nanowires as a function of their diameters</t>
  </si>
  <si>
    <t>MATERIALS RESEARCH EXPRESS</t>
  </si>
  <si>
    <t>In this paper we have compared the angular dependence of the magnetic properties of permalloy (Ni80Fe20) and nickel nanowires by means of micromagnetic simulations. For each material we have chosen two diameters, 40 and 100 nm. Permalloy nanowires with smaller diameters (d = 40 nm) exhibit greater coercivity than nickel nanowires, regardless of the angle at which the external magnetic field is applied. In addition, both Py and Ni nanowires exhibit the same remanence values. However, the nanowires of larger diameters (d = 100 nm) exhibit a more complex behavior, noting that for small angles, nickel nanowires are those that now exhibit a greater coercivity in comparison to those of permalloy. The magnetization reversal modes vary as a function of the angle at which the external field is applied. When the field is applied parallel to the wire axis, it reverts through nucleation and propagation of domain walls, whereas when the field is applied perpendicular to the axis, it reverts by a pseudo-coherent rotation. These results may provide a guide to control the magnetic properties of nanowires for use in potential applications.</t>
  </si>
  <si>
    <t>Tejo, Felipe/IUQ-0578-2023; Bajales, Noelia/AGE-1802-2022; Escrig, Juan/N-4304-2015</t>
  </si>
  <si>
    <t>Raviolo, Sofia/0009-0002-9562-1290; Tejo Lazo, Felipe Tejo/0000-0001-7457-7281; Bajales, Noelia/0000-0002-2507-9224; Escrig, Juan/0000-0002-3958-8185</t>
  </si>
  <si>
    <t>2053-1591</t>
  </si>
  <si>
    <t>10.1088/2053-1591/aaa537</t>
  </si>
  <si>
    <t>WOS:000423194900005</t>
  </si>
  <si>
    <t>Vergara-Jaque, A; Comer, J; Sepúlveda-Boza, S; Santos, LS; Mascayano, C; Sandoval-Yáñez, C</t>
  </si>
  <si>
    <t>Vergara-Jaque, Ariela; Comer, Jeffrey; Sepulveda-Boza, Silvia; Santos, Leonardo S.; Mascayano, Carolina; Sandoval-Yanez, Claudia</t>
  </si>
  <si>
    <t>Study of specific interactions in inclusion complexes of amine-terminated PAMAM dendrimer/flavonoids by experimental and computational methods</t>
  </si>
  <si>
    <t>INTERNATIONAL JOURNAL OF POLYMERIC MATERIALS AND POLYMERIC BIOMATERIALS</t>
  </si>
  <si>
    <t>Polyamidoamine (PAMAM) dendrimers have a multifunctional structure, able to encapsulate molecules for pharmacological applications. We evaluated the specific interaction that govern the encapsulating and affinity of one group of natural and synthetic flavonoids into the G(5)-PAMAM dendrimers. The complexation and capture percent of one flavonoid series into G(5)-PAMAM dendrimers, under neutral and acid pH conditions, were studied through UV-Vis spectroscopy. Additionally, only three of the flavonoids (two synthetic and one natural) were studied by high-performance liquid chromatography (HPLC) and molecular dynamic (MD) simulation, at neutral pH to calculate the affinity constants (K-d) and binding free energies (G(b)). From spectroscopic results, we observed that the encapsulation was much more rapid at low pH than at neutral pH, which was attributed to a greater number of cavities inside the dendrimer. The MD simulations suggested that the more compact molecular structure at neutral pH reduces the capture kinetics. Finally, the relative binding free energies calculated using MD simulations showed the same tendency as the experimental data for the three complexes. These affinities appear to be due to a complex balance of different contributions, which cannot be attributed to hydrogen bonds or charge-charge interactions alone. Nevertheless, we suggest that a protocol including UV-Vis, HPLC, and MD simulation can be a powerful predictive tool to determine the affinity of drug binding to nanocarriers.</t>
  </si>
  <si>
    <t>Vergara, Ariela/AAD-3594-2020; Comer, Jeffrey/MCY-3679-2025; Santos, Leonardo/A-7953-2008; sandoval, claudia/AAT-1665-2020; Vergara-Jaque, Ariela/H-1275-2017</t>
  </si>
  <si>
    <t>Mascayano Collado, Carolina Lorena/0000-0002-3488-9309; Vergara-Jaque, Ariela/0000-0002-1236-013X; Santos, Leonardo/0000-0002-1697-4200; Comer, Jeffrey/0000-0003-4437-1260; Sandoval, Claudia/0000-0002-9498-4156</t>
  </si>
  <si>
    <t>0091-4037</t>
  </si>
  <si>
    <t>1563-535X</t>
  </si>
  <si>
    <t>10.1080/00914037.2016.1252345</t>
  </si>
  <si>
    <t>WOS:000399652500002</t>
  </si>
  <si>
    <t>Riveros, G; Baez, C; Ramírez, D; Pereyra, CJ; Marotti, RE; Romero, R; Martín, F; Ramos-Barrado, JR; Dalchiele, EA</t>
  </si>
  <si>
    <t>Riveros, Gonzalo; Baez, Carla; Ramirez, Daniel; Javier Pereyra, C.; Marotti, Ricardo E.; Romero, Rocio; Martin, Francisco; Ramos-Barrado, Jose R.; Dalchiele, Enrique A.</t>
  </si>
  <si>
    <t>Electrodeposition and characterization of composition-graded CdSxSe(1-x) multilayer thin film structures</t>
  </si>
  <si>
    <t>In this study, the electrodeposition of a composition-graded stacked CdSxSe(1-x) multilayer film is a matter which is reported for the first time. The electrodeposition was carried out using CdSO4, Na2S2O3 and SeO2 as precursors in an acid solution. Previously, an exhaustive electrochemical study was carried out in order to establish the best condition for the electrodeposition of this structure. In order to confirm the feasibility of the method proposed, CdSxSe(1-x) single-layer films of different composition were electrodeposited and characterized. The electrodeposition of the composition-graded stacked layer arrangement was potentiostatically performed through successive electrodeposition steps in a unique electrolytic solution in which its Se content is gradually increases. The characterization of both, single-layer films and multilayer structure was performed using different techniques, confirming the formation of an alloy between CdS and CdSe. Furthermore, the multilayer structure composition gradually changes from pure CdS to a rich selenium CdSxSe(1-x) compound as the electrolytic solution composition increases its SeO2, forming a depth bandgap graded material. (C) 2016 Elsevier B.V. All rights reserved.</t>
  </si>
  <si>
    <t>de Paula Martin Jimenez, Francisco/D-3396-2014; RAMOS-BARRADO, JOSE/E-2025-2012; Romero, Rocio/D-3070-2017</t>
  </si>
  <si>
    <t>RAMOS-BARRADO, JOSE/0000-0001-6403-3723; Martin Jimenez, Francisco de Paula/0000-0001-7159-0237; Romero, Rocio/0000-0001-8749-4995; Pereyra, Carlos/0000-0002-5420-9526; Baez Aguilera, Carla Valeska/0000-0003-2266-5110; Ramirez, Daniel/0000-0003-0777-9822</t>
  </si>
  <si>
    <t>NOV 25</t>
  </si>
  <si>
    <t>10.1016/j.jallcom.2016.06.010</t>
  </si>
  <si>
    <t>WOS:000382228300031</t>
  </si>
  <si>
    <t>Vöhringer, PA; Castro, A; Martínez, P; Tala, A; Medina, S; Rojas, G</t>
  </si>
  <si>
    <t>Vohringer, Paul A.; Castro, Ariel; Martinez, Pablo; Tala, Alvaro; Medina, Simon; Rojas, Graciela</t>
  </si>
  <si>
    <t>Healthcare team training programs aimed at improving depression management in primary care: A systematic review</t>
  </si>
  <si>
    <t>Background: Although evidence from Latin America and the Caribbean suggests that depression can be effectively treated in primary care settings, depression management remains unevenly performed. This systematic review evaluates all the international evidence on healthcare team training programs aimed at improving the outcomes of patients with depression. Methods: Three databases were searched for articles in English or Spanish indexed up to November 20, 2014. Studies were included if they fulfilled the following conditions: clinical trials, meta-analyses, or systematic reviews; and if they evaluated a training or educational program intended to improve the management of depression by primary healthcare teams, and assessed change in depressive symptoms, diagnosis or response rates, referral rates, patients' satisfaction and/or quality of life, and the effectiveness of treatments. Results: Nine studies were included in this systematic review. Five trials tested the effectiveness of multi component interventions (training included), and the remaining studies evaluated the effectiveness of specific training programs for depression management. All the studies that implemented multi-component interventions were efficacious, and half of the training trials were shown to be effective. Limitations: Contribution of training programs alone to the effectiveness of multi-component interventions is yet to be established. The lack of specificity regarding health providers' characteristics might be a confounding factor. Conclusions: The review conducted suggests that stand-alone training programs are less effective than multi component interventions. In applying the evidence gathered from developed countries to Latin America and the Caribbean, these training programs must consider and address local conditions of mental health systems, and therefore multi-component interventions may be warranted. (C) 2016 Elsevier B.V. All rights reserved.</t>
  </si>
  <si>
    <t>Martínez, Pablo/LZF-5853-2025; Vohringer, Paul A/B-5860-2013</t>
  </si>
  <si>
    <t>Martinez, Pablo/0000-0003-4482-7993; Vohringer, Paul A/0000-0002-2460-4680</t>
  </si>
  <si>
    <t>10.1016/j.jad.2016.04.029</t>
  </si>
  <si>
    <t>WOS:000377392400019</t>
  </si>
  <si>
    <t>García-Hermoso, A; Cerrillo-Urbina, AJ; Herrera-Valenzuela, T; Cristi-Montero, C; Saavedra, JM; Martínez-Vizcaíno, V</t>
  </si>
  <si>
    <t>Garcia-Hermoso, A.; Cerrillo-Urbina, A. J.; Herrera-Valenzuela, T.; Cristi-Montero, C.; Saavedra, J. M.; Martinez-Vizcaino, V.</t>
  </si>
  <si>
    <t>Is high-intensity interval training more effective on improving cardiometabolic risk and aerobic capacity than other forms of exercise in overweight and obese youth? A meta-analysis</t>
  </si>
  <si>
    <t>OBESITY REVIEWS</t>
  </si>
  <si>
    <t>BackgroundThe scientific interest in high-intensity interval training (HIIT) has greatly increased during recent years. ObjectiveThe objective of this meta-analysis was to determine the effectiveness of HIIT interventions on cardio-metabolic risk factors and aerobic capacity in overweight and obese youth, in comparison with other forms of exercise. Data sourcesA computerized search was made using seven databases. Study eligibility criteriaThe analysis was restricted to studies that examined the effect of HIIT interventions on cardio-metabolic and/or aerobic capacity in pediatric obesity (6-17years old). Participants and interventionsNine studies using HIIT interventions were selected (n=274). Study appraisal and synthesis methodsStandarized mean difference (SMD) and 95% confidence intervals were calculated. The DerSimonian-Laird approach was used. ResultsHIIT interventions (4-12week duration) produced larger decreases in systolic blood pressure (SMD=0.39; -3.63mmHg) and greater increases in maximum oxygen uptake (SMD=0.59; 1.92ml/kg/min) than other forms of exercise. Also, type of comparison exercise group and duration of study were moderators. ConclusionsHIIT could be considered a more effective and time-efficient intervention for improving blood pressure and aerobic capacity levels in obese youth in comparison to other types of exercise. (c) 2016 World Obesity</t>
  </si>
  <si>
    <t>García-Hermoso, Antonio/ADU-2591-2022; Herrera-Valenzuela, Tomas/L-1819-2019; Saavedra, Jose/C-2490-2011; Cristi-Montero, Carlos/AAE-4945-2020; VIZCAINO, VICENTE/R-4336-2017; Garcia-Hermoso, Antonio/P-1857-2017</t>
  </si>
  <si>
    <t>Garcia-Hermoso, Antonio/0000-0002-1397-7182; Cristi-Montero, Carlos/0000-0002-9940-507X; Cerrillo Urbina, Alberto Jose/0000-0001-5854-069X; Herrera-Valenzuela, Tomas/0000-0002-5219-5896</t>
  </si>
  <si>
    <t>1467-7881</t>
  </si>
  <si>
    <t>1467-789X</t>
  </si>
  <si>
    <t>10.1111/obr.12395</t>
  </si>
  <si>
    <t>WOS:000376610500005</t>
  </si>
  <si>
    <t>Cárdenas-Jirón, G; Figueroa, Y; Kumar, N; Seminario, JM</t>
  </si>
  <si>
    <t>Cardenas-Jiron, Gloria; Figueroa, Yanara; Kumar, Narendra; Seminario, Jorge M.</t>
  </si>
  <si>
    <t>Doping Effects in the Charge Transport of Graphene-Porphyrins</t>
  </si>
  <si>
    <t>Doping effects of B, N, and phosphorus (PHP) in graphene and of aza N in porphyrin of graphene-porphyrin (GP) complexes bonded through an amide group have been studied using density functional theory (DFT) and time-dependent DFT mainly at the M06/6-31G(d,p) level of theory. Structural, optical, electronic, and charge transport properties are analyzed for a set of eight GP complexes. We found that all GP complexes feature the characteristic absorption bands of porphyrin in the visible region, Q and Soret, showing P -&gt; P electronic transitions. Charge transfer between the fragments graphene and porphyrin in both directions P -&gt; G and G -&gt; P is obtained in the excited states, but the absorptions are of lower intensity when compared to the P -&gt; P ones. Doping only the graphene group of GP yields blue-shifted porphyrin absorptions; however, doping graphene and porphyrin yields red-shifted absorptions. Doping leads to a reduction of the HOMO-LUMO gap in all GP complexes, because the dopant atoms perturbation of the electronic density favors the electronic transitions in the visible region. Depending on the dopant type and the direction of the bias voltage, introducing dopants can significantly affect the electrical conductance of graphene-porphyrin complexes. The results of this work show that porphyrin keeps its properties as photosensitizer when it is covalently bonded to graphene; therefore these complexes can be used as efficient harvesters of solar light.</t>
  </si>
  <si>
    <t>Seminario, Jorge/C-9646-2012; Cardenas-Jiron, Gloria/H-9508-2012</t>
  </si>
  <si>
    <t>Cardenas-Jiron, Gloria/0000-0003-4305-8088</t>
  </si>
  <si>
    <t>10.1021/acs.jpcc.5b08624</t>
  </si>
  <si>
    <t>WOS:000369772900001</t>
  </si>
  <si>
    <t>Aguayo, D; Pacheco, N; Morales, EH; Collao, B; Luraschi, R; Cabezas, C; Calderón, P; González-Nilo, F; Gil, F; Calderón, IL; Saavedra, CP</t>
  </si>
  <si>
    <t>Aguayo, Daniel; Pacheco, Nicolas; Morales, Eduardo H.; Collao, Bernardo; Luraschi, Roberto; Cabezas, Carolina; Calderon, Paulina; Gonzalez-Nilo, Fernando; Gil, Fernando; Calderon, Ivan L.; Saavedra, Claudia P.</t>
  </si>
  <si>
    <t>Hydrogen peroxide and hypochlorous acid influx through the major S. Typhimurium porin OmpD is affected by substitution of key residues of the channel</t>
  </si>
  <si>
    <t>ARCHIVES OF BIOCHEMISTRY AND BIOPHYSICS</t>
  </si>
  <si>
    <t>OmpD is the major Salmonella enterica serovar Typhimurium (S. Typhimurium) porin and mediates hydrogen peroxide (H2O2) influx. The results described herein extend this finding to hypochlorous acid (HOCI), another reactive oxygen species that is also part of the oxidative burst generated by the phagosome. S. Typhimurium cells lacking OmpD show decreased HOCI influx, and OmpD-reconstituted proteoliposomes show an increase in the uptake of the toxic compound. To understand this physiologically relevant process, we investigated the role of key OmpD residues in H2O2 and NaOCl transport. Using a theoretical approach, residue K16 was defined as a major contributor to the channel electrostatic properties, and E1 II was shown to directly participate in the size-exclusion limit of the channel. Together, we provide theoretical, genetic, and biochemical evidence that OmpD mediates H2O2 and NaOCl uptake, and that key residues of the channel are implicated in this process. (C) 2015 Elsevier Inc. All rights reserved.</t>
  </si>
  <si>
    <t>Collao, Bernardo/I-8301-2014; Calderón, Iván/HJP-5156-2023; Hernández, Eduardo/N-4531-2013; Aguayo, Daniel/AHE-1899-2022; Luraschi, Roberto/AAI-7965-2021; Gonzalez Nilo, Fernando Danilo/M-5671-2016</t>
  </si>
  <si>
    <t>Aguayo, Daniel/0000-0001-6807-0820; Luraschi, Roberto/0000-0001-5611-4320; Gil, Fernando/0000-0001-6691-5340; Gonzalez Nilo, Fernando Danilo/0000-0001-6857-3575</t>
  </si>
  <si>
    <t>0003-9861</t>
  </si>
  <si>
    <t>1096-0384</t>
  </si>
  <si>
    <t>FEB 15</t>
  </si>
  <si>
    <t>10.1016/j.abb.2015.01.005</t>
  </si>
  <si>
    <t>WOS:000350535800005</t>
  </si>
  <si>
    <t>Matiacevich, SB; Henríquez, OC; Mery, D; Pedreschi, F</t>
  </si>
  <si>
    <t>Matiacevich, Silvia B.; Henriquez, Olivia C.; Mery, Domingo; Pedreschi, Franco</t>
  </si>
  <si>
    <t>OIL CONTENT FRACTION IN TORTILLA CHIPS DURING FRYING AND THEIR PREDICTION BY IMAGE ANALYSIS USING COMPUTER VISION</t>
  </si>
  <si>
    <t>INTERNATIONAL JOURNAL OF FOOD PROPERTIES</t>
  </si>
  <si>
    <t>The increasing consumption worldwide of tortilla chips make it relevant to design and optimize their industrial quality analysis. Surface, structural, and total oil content during frying of tortilla chips fried at 160, 175, and 190 degrees C for different times were analyzed. The aim was to obtain a relationship between oil content and features from their digital images. The results showed a high linear correlation (R &gt; 0.90) between oil content with image features at each frying temperature, indicating that trustable models can be developed, allowing the prediction of oil content of tortilla chips by using selected features extracted from their digital images, without the necessity of measuring them. Cross-validation technique demonstrated the repeatability of each model and their good performance (&gt;90%).</t>
  </si>
  <si>
    <t>pedreschi, franco/F-8844-2013; Mery, Domingo/D-1385-2014</t>
  </si>
  <si>
    <t>Mery, Domingo/0000-0003-4748-3882</t>
  </si>
  <si>
    <t>1094-2912</t>
  </si>
  <si>
    <t>1532-2386</t>
  </si>
  <si>
    <t>10.1080/10942912.2011.631245</t>
  </si>
  <si>
    <t>WOS:000325124500003</t>
  </si>
  <si>
    <t>Manquián, K; Zúñiga, GE; Barrientos, H; Escudey, M; Molina, M</t>
  </si>
  <si>
    <t>Manquian, Karen; Zuniga, Gustavo E.; Barrientos, Herna; Escudey, Mauricio; Molina, Mauricio</t>
  </si>
  <si>
    <t>Effect of aluminum on antioxidant activity and phenolic compounds content in in vitro cultured blueberries</t>
  </si>
  <si>
    <t>Blueberry is a popular natural food product consumed worldwide. Acid soils are found throughout the world. A significant problem of acid soils is the active aluminum content, which may result toxic to plant. The present study was undertaken to assess the toxicities of Al for Blueberry (Vaccinium corymbosum L.) cultivated in vitro and treated with 100 and 200 mu M Al. The effects of Al concentration on malondialdehyde (MDA) content, antioxidant activity and phenolic compounds of blueberry after 7, 14 and 21 days of treatment were established. The analysis of the MDA accumulated in the tissues of the blueberry seedlings indicates that Al concentration increases the damage caused by lipid peroxidation, for both treatments, after 14 days. The highest antioxidant activity in the extracts was observed at 200 mu M Al after 14 days of treatment, being chlorogenic and ellagic acids the most significant metabolites involved in the antioxidant properties. Then, the content of Al in soil could be modulate the content of bioactive compounds in blueberry plants.</t>
  </si>
  <si>
    <t>Zuñiga, Gustavo/P-8306-2015</t>
  </si>
  <si>
    <t>Zuniga, Gustavo/0000-0002-8286-9468</t>
  </si>
  <si>
    <t>WOS:000328816500006</t>
  </si>
  <si>
    <t>Pereira, A; Gallardo, C; Espejo, AP; Briones, J; Vivas, LG; Vázquez, M; Denardin, JC; Escrig, J</t>
  </si>
  <si>
    <t>Pereira, A.; Gallardo, C.; Espejo, A. P.; Briones, J.; Vivas, L. G.; Vazquez, M.; Denardin, J. C.; Escrig, J.</t>
  </si>
  <si>
    <t>Tailoring the magnetic properties of ordered 50-nm-diameter CoNi nanowire arrays</t>
  </si>
  <si>
    <t>JOURNAL OF NANOPARTICLE RESEARCH</t>
  </si>
  <si>
    <t>CoxNi1-x alloy nanowires with varying Co content (0 &lt;= x &lt;= 1), having a diameter of 50 nm and a length of 3 mu m, have been fabricated by electrode-position using an anodized aluminum oxide template. The composition and crystalline structure of the CoNi nanowires were determined by high-resolution scanning electron microscopy and energy-dispersive spectroscopy techniques. The room temperature magnetic behavior of the CoNi nanowire arrays is also studied and correlated with their structural and morphological properties. Analytical calculations of the angular dependence of the coercivity allow us to confirm that the magnetization reversal is mostly ascribed to the propagation of a transverse domain wall. Furthermore, our results indicate that the values of the effective anisotropy not only depend on the diameter of the nanowires, but also on the composition of the alloy. Finally, accurate control of the crystalline anisotropy plays a key role in the design of nanostructures with a required magnetic behavior, suitable for applications.</t>
  </si>
  <si>
    <t>Vázquez, Manuel/A-6370-2011; Pereira, Alejandro/X-7172-2018; Gonzalez Vivas, Laura/ABA-1422-2020; Denardin, Juliano/S-6407-2019; Gonzalez Vivas, Laura/H-7054-2013; Escrig, Juan/N-4304-2015</t>
  </si>
  <si>
    <t>Briones, Joel/0000-0002-1860-0173; Pereira Abarca, Alejandro/0000-0002-4473-0852; Denardin, Juliano/0000-0002-1373-6207; Gonzalez Vivas, Laura/0000-0002-0536-030X; Escrig, Juan/0000-0002-3958-8185; Vazquez Villalabeitia, Manuel/0000-0001-5591-0157</t>
  </si>
  <si>
    <t>1388-0764</t>
  </si>
  <si>
    <t>1572-896X</t>
  </si>
  <si>
    <t>OCT 17</t>
  </si>
  <si>
    <t>10.1007/s11051-013-2041-3</t>
  </si>
  <si>
    <t>WOS:000325726300001</t>
  </si>
  <si>
    <t>Retuerto, M; Sánchez-Benítez, J; Rodríguez-Cañas, E; Serafini, D; Alonso, JA</t>
  </si>
  <si>
    <t>Retuerto, M.; Sanchez-Benitez, J.; Rodriguez-Canas, E.; Serafini, D.; Alonso, J. A.</t>
  </si>
  <si>
    <t>High-pressure synthesis of Mg2FeH6 complex hydride</t>
  </si>
  <si>
    <t>INTERNATIONAL JOURNAL OF HYDROGEN ENERGY</t>
  </si>
  <si>
    <t>We have designed a new synthesis method for the ternary metal hydride Mg(2)FeH(6) based on the direct reaction of simple hydrides under high-pressure conditions. Well-crystallized samples were prepared in a piston-cylinder hydrostatic press at 2 GPa and temperatures around 750 degrees C from mixtures of MgH(2) and Fe enclosed in gold or platinum capsules. Seven different samples have been prepared under different conditions. X-ray powder diffraction analysis was used to identify and assess the purity of the samples, through Rietveld analyses of the crystal structure (K(2)PtCl(6)-type). Mg(2)FeH(6) shows a cubic symmetry with space group Fm-3m. SEM images show an average particle size of 1-2 mu m for Mg(2)FeH(6); the microcrystals present well-grown faces and display a high homogeneity of shapes and sizes. Thermogravimetric analysis has been carried out to determine not only the hydrogen desorption temperature but also the hydrogen contents. (C) 2010 Professor T. Nejat Veziroglu. Published by Elsevier Ltd. All rights reserved.</t>
  </si>
  <si>
    <t>Retuerto, Maria/D-6425-2014; Alonso, Jose Antonio/A-5245-2011; Sanchez-Benitez, Javier/B-2366-2012</t>
  </si>
  <si>
    <t>Retuerto, Maria/0000-0001-7564-3500; Alonso, Jose Antonio/0000-0001-5329-1225; Serafini, Daniel/0000-0002-1764-5900; Rodriguez Canas, Enrique/0000-0002-7102-9711; Sanchez-Benitez, Javier/0000-0002-3108-6594</t>
  </si>
  <si>
    <t>0360-3199</t>
  </si>
  <si>
    <t>10.1016/j.ijhydene.2010.05.062</t>
  </si>
  <si>
    <t>WOS:000281383900022</t>
  </si>
  <si>
    <t>Díaz, J; Chávez, R; Larrondo, LF; Eyzaguirre, J; Bull, P</t>
  </si>
  <si>
    <t>Diaz, Jheimmy; Chavez, Renato; Larrondo, Luis F.; Eyzaguirre, Jaime; Bull, Paulina</t>
  </si>
  <si>
    <t>Functional analysis of the endoxylanase B (xynB) promoter from Penicillium purpurogenum</t>
  </si>
  <si>
    <t>CURRENT GENETICS</t>
  </si>
  <si>
    <t>In Penicillium purpurogenum, the gene encoding endoxylanase B (xynB) is highly expressed by xylan and repressed by glucose at the transcriptional level. The promoter of this gene has a modular structure, with eight putative XlnR binding sites in tandem (XlnR module), and upstream from them, four putative CreA binding sites (CreA module). Promoter fragments containing different modules were inserted into a plasmid, pAN49-1, which contains a basal fungal promoter linked to a reporter gene (lacZ) and its expression was studied in vivo in Aspergillus nidulans. The XlnR module is able to trigger high beta-galactosidase activity in the presence of xylan, but the lack of most XlnR sites notoriously reduces this enzymatic activity. No enzyme induction is observed if the orientation of the promoter fragment is inverted. The presence of the CreA module is necessary for glucose repression when beta-galactosidase activity is previously induced by xylan. However, when transformant strains containing the XlnR module but lacking all CreA sites were grown in glucose without pre-induction in xylan, a low beta-galactosidase activity was observed compared with the same transformants grown in xylan. These results agree with a double-lock regulatory mechanism for both direct and indirect repression of xylanolytic genes by glucose.</t>
  </si>
  <si>
    <t>Diaz, Jheimmy/AAF-6886-2019; Larrondo, Luis/J-1086-2016</t>
  </si>
  <si>
    <t>Larrondo, Luis/0000-0002-8832-7109; Chavez, Renato/0000-0003-1754-3610</t>
  </si>
  <si>
    <t>0172-8083</t>
  </si>
  <si>
    <t>1432-0983</t>
  </si>
  <si>
    <t>10.1007/s00294-008-0205-y</t>
  </si>
  <si>
    <t>WOS:000258672800003</t>
  </si>
  <si>
    <t>Avila, R; Castro, A; Serafini, D; Ulloa, HE; Jiménez, R; Cabrera, A</t>
  </si>
  <si>
    <t>Traversa, E; Armstrong, TR; Masquelier, C; Sadaoka, Y</t>
  </si>
  <si>
    <t>Avila, Ricardo; Castro, A.; Serafini, Daniel; Ulloa, H. E.; Jimenez, R.; Cabrera, A.</t>
  </si>
  <si>
    <t>Merits of Bi3TiNbO9 for humidity sensors</t>
  </si>
  <si>
    <t>SOLID-STATE IONICS-2006</t>
  </si>
  <si>
    <t>Materials Research Society Symposium Proceedings</t>
  </si>
  <si>
    <t>Symposium on Solid-State Ionics held at the 2006 MRS Fall Meeting</t>
  </si>
  <si>
    <t>NOV 27-DEC 01, 2006</t>
  </si>
  <si>
    <t>Boston, MA</t>
  </si>
  <si>
    <t>The fast and reproducible electrical response of the new, metastable fluorite phase of Bi3TiNbO9 to ambient humidity is reported. Pellets were prepared by high energy mechanochemical activation of the precursor powders, pellet pressing, sintering, and sputter deposition of Pt electrodes. Thermal analysis shows exothermic peaks at 465 and 594 degrees C. X ray diffraction analysis identifies a metastable fluorite like phase, isomorphous to the 6 phase of Bi2O3, between the first and the second peaks, and the stable Aurivillius phase after the second peak. Over a wide (40 to 20 degrees C) dew point (DP) range, at 23 degrees C ambient temperature, the conductivity increases close to exponentially, from nearly 10(-3) to 10(2) pS/cm. Upon removal of the bias, and under DP cycling, the relaxation current responds to humidity steps, on top of the long term current decay, in a manner similar as under bias. In addition, upon a step into humidity, after a dry spell, the current overshoots (before proceeding to the long term decay) to a maximum value (I-m) which depends on the duration of the previous dry spell. If this is short, I-m remains below the current value (I-ph) at the end of the previous humidity stage. If the dry spell is long, I-ph overshoots above Iph. This behavior is unlike that of any discharge current through a leaky capacitor. A preliminary model for understanding it proposes the surface transport of a charge carrier, assisted by diffusion of some species from the interior of the ceramic grains.</t>
  </si>
  <si>
    <t>Castro, Alicia/B-2236-2010; Jimenez, Ricardo/A-6141-2011</t>
  </si>
  <si>
    <t>Jimenez, Ricardo/0000-0001-9174-6569; Castro, Alicia/0000-0002-4458-3629</t>
  </si>
  <si>
    <t>0272-9172</t>
  </si>
  <si>
    <t>978-1-55899-929-9</t>
  </si>
  <si>
    <t>WOS:000246435400057</t>
  </si>
  <si>
    <t>Nehmé, B; Ganga, MA; Lonvaud-Funel, A</t>
  </si>
  <si>
    <t>The arginine deiminase locus of Oenococcus oeni includes a putative arginyl-tRNA synthetase ArgS2 at its 3′-end</t>
  </si>
  <si>
    <t>APPLIED MICROBIOLOGY AND BIOTECHNOLOGY</t>
  </si>
  <si>
    <t>Oenococcus oeni is the most important lactic acid bacteria of the winemaking process involved in malolactic fermentation. Most O. oeni strains are able to catabolyze arginine via the arginine deiminase (ADI) pathway. The arcR, A, B, C, D1, and D2 cluster of O. oeni bacteria has been characterized. Here, we completed the ADI locus sequence. Downstream of arcD2 gene, we found an additional gene which encodes a putative arginyl-tRNA synthetase (argS2). It is not the same arginyl-tRNA synthetase which was sequenced in O. oeni MCW strain. Transcriptional analyses have shown that argS2 was induced by arginine. In addition, systematic polymerase chain reaction amplification of each arc gene and argS2 has provided a characteristic feature of the ADI locus within the O. oeni species: all genes of ADI locus are present or absent according to the strains.</t>
  </si>
  <si>
    <t>Ganga, Maria/S-8176-2019</t>
  </si>
  <si>
    <t>Lonvaud, Aline/0000-0002-9352-3366</t>
  </si>
  <si>
    <t>0175-7598</t>
  </si>
  <si>
    <t>1432-0614</t>
  </si>
  <si>
    <t>10.1007/s00253-005-0095-6</t>
  </si>
  <si>
    <t>WOS:000236624500011</t>
  </si>
  <si>
    <t>do O, JM; Lorca, S; Ubilla, P</t>
  </si>
  <si>
    <t>Three positive radial solutions for elliptic equations in a ball</t>
  </si>
  <si>
    <t>this work we deal with a class of second-order elliptic problems of the form -Delta u =gimel k(vertical bar x vertical bar)f(u) in Omega, with non-homogeneous boundary condition u = a on theta Omega where Omega is the ball of radius R-0 centered at origin, gimel, a are positive parameters, f is an element of C([0, +infinity), [0, +infinity)) is an increasing function and k is an element of C([0, R-0], [0, +infinity)) is not identically zero on any subinterval of [0, R-0]. We obtain via a fixed point theorem of cone expansion/compression type the existence of at least three positive radial solutions. (c) 2005 Elsevier Ltd. All rights reserved.</t>
  </si>
  <si>
    <t>10.1016/j.aml.2004.12.001</t>
  </si>
  <si>
    <t>WOS:000231839500014</t>
  </si>
  <si>
    <t>Escalona, N; Ojeda, J; Baeza, P; García, R; Palacios, JM; Fierro, JLG; Agudo, AL; Gil-Llambías, FJ</t>
  </si>
  <si>
    <t>Synergism between unsupported Re and Co or Ni sulfide catalysts in the HDS and HDN of gas oil</t>
  </si>
  <si>
    <t>Two series of unsupported Co-Re and Ni-Re binary sulfide catalysts with variable atomic ratio alpha = Me/(Me + Re) from 0 to I were prepared by the co-maceration method. The catalysts were characterized by X-ray diffraction (XRD) and X-ray photoelectron spectroscopy (XPS), and evaluated in the simultaneous hydrodesulfurization (HDS) and hydrodenitrogenation (HDN) reactions of a real gas oil feed under industrial relevant conditions. The results showed a synergetic effect of the Co or Ni sulfide on the ReS2 in both HDS and HDN reactions. A maximum in activity at the same atomic ratio alpha similar to 0.5 was observed for both reactions and both Co-Re and Ni-Re catalysts. The magnitude of the synergy was generally superior for HDS than for HDN, and at low reaction temperature (598 K) larger for Ni-Re than for Co-Re catalysts, especially in HDS, while at high temperature (648 K) it was reverse. Moreover, the Co-Re catalysts exhibited higher HDN/HDS selectivity than the Ni-Re catalysts. Neither XRD nor XPS results evidenced the presence of a Co-Re-S or Ni-Re-S like phase. It is suggested that the synergism could be associated to the hydrogen activation and spillover from the Co or Ni sulfide to ReS2 (c) 2005 Published by Elsevier B.V.</t>
  </si>
  <si>
    <t>Escalona, Nestor/F-3593-2016; Garcia Fierro, Jose Luis/C-4774-2014</t>
  </si>
  <si>
    <t>Ojeda, Juan/0000-0002-9484-5017; Baeza Chandia, Patricio/0000-0003-1613-2860; Garcia Fierro, Jose Luis/0000-0002-6880-3737; Escalona Burgos, Nestor/0000-0002-2628-4609</t>
  </si>
  <si>
    <t>JUN 15</t>
  </si>
  <si>
    <t>10.1016/j.apcata.2005.03.019</t>
  </si>
  <si>
    <t>WOS:000229952700006</t>
  </si>
  <si>
    <t>Del Carpio, RV; González-Nilo, FD; Jayaram, H; Spencer, E; Prasad, BVV; Patton, JT; Taraporewala, ZF</t>
  </si>
  <si>
    <t>Role of the histidine triad-like motif in nucleotide hydrolysis by the rotavirus RNA-packaging protein NSP2</t>
  </si>
  <si>
    <t>JOURNAL OF BIOLOGICAL CHEMISTRY</t>
  </si>
  <si>
    <t>Octamers formed by the nonstructural protein NSP2 of rotavirus are proposed to function as molecular motors in the packaging of the segmented double-stranded RNA genome. The octamers have RNA binding, helix unwinding, and Mg2+-dependent NTPase activities and play a crucial role in assembly of viral replication factories (viroplasms). Comparison of x-ray structures has revealed significant structural homology between NSP2 and the histidine triad ( HIT) family of nucleotidyl hydrolases, which in turn has suggested the location of the active site for NTP hydrolysis in NSP2. Consistent with the structural predictions, we show here using site-specific mutagenesis and ATP docking simulations that the active site for NTP hydrolysis is localized to residues within a 25-Angstrom-deep cleft between the C- and N-terminal domains of the NSP2 monomer. Although lacking the precise signature HIT motif (HOHOHOO where O is a hydrophobic residue), our analyses demonstrate that histidines (His(221) and His(225)) represent critical residues of the active site. Similar to events occurring during nucleotide hydrolysis by HIT proteins, NTP hydrolysis by NSP2 was found to produce a short lived phosphorylated intermediate. Evaluation of the biological importance of the NTPase activity of NSP2 by transient expression in mammalian cells showed that such activity has no impact on the ability of NSP2 to induce the hyperphosphorylation of NSP5 or to interact with NSP5 to form viroplasm-like structures. Hence the NTPase activity of NSP2 probably has a role subsequent to the formation of viroplasms, consistent with its suspected involvement in RNA packaging and/or replication.</t>
  </si>
  <si>
    <t>Patton, John/P-1390-2014; Gonzalez Nilo, Fernando Danilo/M-5671-2016; Patton, John/V-7651-2018</t>
  </si>
  <si>
    <t>Gonzalez Nilo, Fernando Danilo/0000-0001-6857-3575; Prasad, B.V.Venkataram/0000-0002-1172-2071; Patton, John/0000-0003-1572-0732; Spencer, Eugenio/0000-0001-6109-140X</t>
  </si>
  <si>
    <t>0021-9258</t>
  </si>
  <si>
    <t>1083-351X</t>
  </si>
  <si>
    <t>10.1074/jbc.M311563200</t>
  </si>
  <si>
    <t>WOS:000220050400116</t>
  </si>
  <si>
    <t>Ureta-Zañartu, MS; Mora, ML; Diez, MC; Berríos, C; Ojeda, J; Gutiérrez, C</t>
  </si>
  <si>
    <t>Chlorophenol electrooxidation on iron oxide-covered aluminosilicates deposited on glassy carbon</t>
  </si>
  <si>
    <t>JOURNAL OF APPLIED ELECTROCHEMISTRY</t>
  </si>
  <si>
    <t>The electrooxidation, at different pH values, of several chlorophenols on porous electrodes obtained by painting commercial glassy carbon (GC) electrodes with a suspension of graphite powder and an iron oxide-covered aluminosilicate (AlSiFe) has been studied. Samples of the AlSiFe suspension were characterized by electrophoretic migration, and the dried powder was analysed by FTIR and XPS spectroscopy. The conductivity of the modified GC electrode was corroborated by cyclic voltammetry of the ferro-ferricyanide couple. The influence of the chlorophenol structure on the reactivity of the phenols was studied.</t>
  </si>
  <si>
    <t>Ureta-Zañartu, Maria/G-5239-2019; Diez, Cristina/C-9130-2015; Mora Gil, Maria Luz/AAT-4081-2021</t>
  </si>
  <si>
    <t>Diez, Maria Cristina/0000-0002-9494-1551; Ojeda, Juan/0000-0002-9484-5017; Mora, Maria Luz/0000-0002-7474-1595</t>
  </si>
  <si>
    <t>0021-891X</t>
  </si>
  <si>
    <t>1572-8838</t>
  </si>
  <si>
    <t>10.1023/A:1021680420834</t>
  </si>
  <si>
    <t>WOS:000179881800004</t>
  </si>
  <si>
    <t>Krautwurst, H; Roschzttardtz, H; Bazaes, S; González-Nilo, FD; Nowak, T; Cardemil, E</t>
  </si>
  <si>
    <t>Lysine 213 and histidine 233 participate in Mn(II) binding and catalysis in Saccharomyces cerevisiae phosphoenolpyruvate carboxykinase</t>
  </si>
  <si>
    <t>BIOCHEMISTRY</t>
  </si>
  <si>
    <t>Saccharomyces cerevisiae phosphoenolpyruvate (PEP) carboxykinase catalyses the reversible metal-dependent formation of oxaloacetate and ATP from PEP, ADP, and CO2 and plays a key role in gluconeogenesis. This enzyme also has oxaloacetate decarboxylase and pyruvate kinase-like activities. Mutations of PEP carboxykinase have been constructed where the residues Lys(213) and His(233), two residues of the putative Mn2+ binding site of the enzyme, were altered. Replacement of these residues by Arg and by Gln, respectively, generated enzymes with 1.9 and 2.8 kcal/mol lower Mn2+ binding affinity. Lower PEP binding affinity was inferred for the mutated enzymes from the protection effect of PEP against urea denaturation. Kinetic studies of the altered enzymes show at least a 5000-fold reduction in V-max for the primary reaction relative to that for the wild-type enzyme. V-max values for the oxaloacetate decarboxylase and pyruvate kinase-like activities of PEP carboxykinase were affected to a much lesser extent in the mutated enzymes. The mutated enzymes show a decreased steady-state affinity for Mn2+ and PEP. The results are consistent with Lys(213) and His(233) being at the Mn2+ binding site of S. cerevisiae PEP carboxykinase and the Mn2+ affecting the PEP interaction. The different effects of mutations in Vmax for the main reaction and the secondary activities suggest different rate-limiting steps for these reactions.</t>
  </si>
  <si>
    <t>Roschzttardtz, Hannetz/LIC-8142-2024; Gonzalez Nilo, Fernando Danilo/M-5671-2016</t>
  </si>
  <si>
    <t>Roschzttardtz, Hannetz/0000-0002-2614-2504; Gonzalez Nilo, Fernando Danilo/0000-0001-6857-3575</t>
  </si>
  <si>
    <t>0006-2960</t>
  </si>
  <si>
    <t>OCT 22</t>
  </si>
  <si>
    <t>10.1021/bi026241w</t>
  </si>
  <si>
    <t>WOS:000178694000022</t>
  </si>
  <si>
    <t>Renaud, M; Thibault, J; Alvarez, PI</t>
  </si>
  <si>
    <t>Influence of solids moisture content on the average residence time in a rotary dryer</t>
  </si>
  <si>
    <t>DRYING TECHNOLOGY</t>
  </si>
  <si>
    <t>The solids mean residence time in a rotary dryer is influenced by several variables such as dryer dimensions and solids characteristics. One of these characteristics, usually not taken into account in correlations proposed to estimate the mean residence time, is the solids feed moisture content. Although it is well known that the solids moisture content has a major impact on the ability of the solids to move along the rotary dryer, it does not enter as a parameter in available correlations. In this investigation, numerous experiments were performed in a pilot-scale rotary dryer to study the influence of solids moisture content and drying gas temperature on the mean residence time. Sand employed in cement makeup was used to perform these experiments. Results show that the mean residence time for a moisture content in the range of 8% to 12% is four times higher than for dry solids. The moisture content and the drying gas temperature influence significantly the shape of the residence time distribution curve.</t>
  </si>
  <si>
    <t>0737-3937</t>
  </si>
  <si>
    <t>10.1081/DRT-100107491</t>
  </si>
  <si>
    <t>WOS:000172553300004</t>
  </si>
  <si>
    <t>Saavedra, C; Retamal, JC; Keitel, CH</t>
  </si>
  <si>
    <t>Strong intracavity and output laser noise reduction via initial atomic coherence</t>
  </si>
  <si>
    <t>We study a nonlinear semiclassical and fully quantum-mechanical theory of a laser with an active medium of three-level atoms that may be initially prepared in a coherent superposition and interact with a classical external electromagnetic field. In particular, we determine the intracavity and output photon statistics of the laser light in a broad range of parameters. We find an inner sub-Poissonian statistics with a Mandel parameter close to the minimal value -1 when the laser is operating with initially prepared atoms, off resonant, and without inversion of the populations. In another regime, with, however, less favorable intracavity statistics, we find squeezing in the intensity output fluctuations of 80%, which is well above the present state of art noise reduction for this kind of coherently driven laser system.</t>
  </si>
  <si>
    <t>Saavedra, Carlos/C-4262-2008; Retamal, Juan/G-6425-2010; Keitel, Christoph Helmut/JLM-0211-2023</t>
  </si>
  <si>
    <t>Retamal Abarzua, Juan Carlos/0000-0002-7174-7879; Saavedra, Carlos/0000-0003-3156-3853</t>
  </si>
  <si>
    <t>10.1103/PhysRevA.55.3802</t>
  </si>
  <si>
    <t>WOS:A1997WX95200069</t>
  </si>
  <si>
    <t>Llanos, L; Staforelli, S; Oliver, AG; Moscoso, FG; Wannemacher, R; Cabanillas-Gonzalez, J; Lemus, L; Aravena, D</t>
  </si>
  <si>
    <t>Llanos, Leonel; Staforelli, Sebastian; Oliver, Allen G.; Moscoso, Francisco G.; Wannemacher, Reinhold; Cabanillas-Gonzalez, Juan; Lemus, Luis; Aravena, Daniel</t>
  </si>
  <si>
    <t>Disentangling Radiative and Non-Radiative Deactivation Pathways in CuI -Based TADF Emitters</t>
  </si>
  <si>
    <t>ANGEWANDTE CHEMIE-INTERNATIONAL EDITION</t>
  </si>
  <si>
    <t>The analysis of thermally activated delayed fluorescence emitters traditionally neglects the temperature dependence of the non-radiative singlet and triplet decay rates, which, for systems with quantum yields significantly departing from unity, unavoidably leads to inaccurate determination of the relevant photophysical parameters. Here we address this issue by performing a detailed photophysical study in three solid-state CuI complexes with the general formula [Cu(dmp)(PPh3)X] (X = Cl, Br, I). Decomposition of the measured temperature-dependent lifetimes tau(T) into their radiative and non-radiative contributions demonstrates a significant temperature dependence of the non-radiative rates, which leads to large deviations of the singlet-triplet gaps Delta EST from those determined in the traditional way. Our detailed analysis further confirms that non-radiative parameters follow the energy gap law and that zero field splitting effects, which are unrecognizable in the bare tau(T) data, are governed by the heavy atom effect. Our analysis is supported by measurements of the decay of the prompt fluorescence which is dominated by kISC in the studied compounds.</t>
  </si>
  <si>
    <t>Aravena, Daniel/F-2174-2011; Gámez, Francisco/JHU-4490-2023; Cabanillas Gonzalez, Juan/M-1026-2014</t>
  </si>
  <si>
    <t>Cabanillas Gonzalez, Juan/0000-0002-9926-3833</t>
  </si>
  <si>
    <t>1521-3773</t>
  </si>
  <si>
    <t>2025 MAR 12</t>
  </si>
  <si>
    <t>10.1002/anie.202501407</t>
  </si>
  <si>
    <t>WOS:001442456300001</t>
  </si>
  <si>
    <t>Prado, Y; Aravena, D; Gatica, S; Llancalahuen, FM; Aravena, C; Gutiérrez-Vera, C; Carreño, LJ; Cabello-Verrugio, C; Simon, F</t>
  </si>
  <si>
    <t>Prado, Yolanda; Aravena, Diego; Gatica, Sebastian; Llancalahuen, Felipe M.; Aravena, Cristobal; Gutierrez-Vera, Cristian; Carreno, Leandro J.; Cabello-Verrugio, Claudio; Simon, Felipe</t>
  </si>
  <si>
    <t>From genes to systems: The role of food supplementation in the regulation of sepsis-induced inflammation</t>
  </si>
  <si>
    <t>BIOCHIMICA ET BIOPHYSICA ACTA-MOLECULAR BASIS OF DISEASE</t>
  </si>
  <si>
    <t>Systemic inflammation includes a widespread immune response to a harmful stimulus that results in extensive systemic damage. One common example of systemic inflammation is sepsis, which is defined as life-threatening organ dysfunction caused by a dysregulated host response to infection. Under the pro-inflammatory environment of sepsis, oxidative stress contributes to tissue damage due to dysfunctional microcirculation that progressively causes the failure of multiple organs that ultimately triggers death. To address the underlying inflammatory condition in critically ill patients, progress has been made to assess the beneficial effects of dietary supplements, which include polyphenols, amino acids, fatty acids, vitamins, and minerals that are recognized for their immuno-modulating, anticoagulating, and analgesic properties. Therefore, we aimed to review and discuss the contribution of food-derived supplementation in the regulation of inflammation from gene expression to physiological responses and summarize the precedented potential of current therapeutic approaches during systemic inflammation.</t>
  </si>
  <si>
    <t>Gatica, Sebastian/F-5669-2012; Cabello-Verrugio, Claudio/AAD-1454-2020; Aravena, Diego/IWM-6652-2023; Marchant Llancalahuen, Felipe/Q-2149-2017; Carreno, Leandro J/H-4571-2014</t>
  </si>
  <si>
    <t>Gutierrez-Vera, Cristian/0000-0002-2084-9293; Marchant Llancalahuen, Felipe/0000-0003-4014-4474; Prado Angulo, Yolanda patricia/0000-0002-3808-5703; Carreno, Leandro J/0000-0003-2037-7158</t>
  </si>
  <si>
    <t>0925-4439</t>
  </si>
  <si>
    <t>1879-260X</t>
  </si>
  <si>
    <t>10.1016/j.bbadis.2023.166909</t>
  </si>
  <si>
    <t>WOS:001091731200001</t>
  </si>
  <si>
    <t>Ahmad, H; Boutaous, M; Xin, SH; Pabiou, H; Siginer, DA</t>
  </si>
  <si>
    <t>Ahmad, Hafiz; Boutaous, M'hamed; Xin, Shihe; Pabiou, Herve; Siginer, Dennis A.</t>
  </si>
  <si>
    <t>Rheological Characterization of High-Molecular-Weight Polyethylene Oxide-An Extensive Parametric Experimental Study</t>
  </si>
  <si>
    <t>JOURNAL OF FLUIDS ENGINEERING-TRANSACTIONS OF THE ASME</t>
  </si>
  <si>
    <t>A comprehensive study of the rheological characterization of the aqueous solutions of polyethylene oxide (PEO) with molecular mass of 4 x 10(6), 5 x 10(6), and 8 x 10(6) g/mol, respectively, named (4 miDA), (5 miDA), and (8 miDA) was conducted. A large batch of samples of 4 miDA PEO with concentrations varying from 0.1% to 3%, representing the range of dilute solutions to very high viscous hydrated gels, were tested. Steady-state shear flow and oscillatory measurements are reported. Cross, Carreau, and Carreau-Yasuda models were used to describe the shear-thinning behavior within the shear rate range (0.001 &lt;= gamma over dot &lt;= 3000 s(-1)). Experimental findings were validated with published results under the same operating conditions within specified shear rate ranges (0.1 &lt;= gamma over dot &lt;= 100 s(-1)). We find that the behavior of PEO under shear is highly dependent on the rheometer, material, and operating procedures. Oscillatory measurements were carried out to determine the complex properties of the PEO solutions in the frequency omega and strain amplitude gamma ranges of 0.01 &lt;= omega &lt;= 100 rad/s and 0.01 &lt;= gamma &lt;= 1000%, respectively. Higher magnitudes of dynamic moduli (G(/) and G(//)), zero (eta(0)) and infinite (eta(infinity)) shear rate viscosities, resonant frequencies (omega(res)), linear viscoelastic regions (LVER), and higher relaxation time constants (lambda) were observed with increasing concentration and molecular weight. The rheological response of the PEO polymeric solutions was further clarified via Lissajous curves. The aim of this work is to characterize the behavior of the 4 miDA PEO prior to its use in an experimental investigation of the secondary flows of viscoelastic fluids in noncircular channels.</t>
  </si>
  <si>
    <t>0098-2202</t>
  </si>
  <si>
    <t>1528-901X</t>
  </si>
  <si>
    <t>10.1115/1.4056160</t>
  </si>
  <si>
    <t>WOS:000898568000007</t>
  </si>
  <si>
    <t>Navia, P; Osorio, R; Monroy, PT</t>
  </si>
  <si>
    <t>Navia, Patricio; Osorio, Rodrigo; Monroy, Pablo Toro</t>
  </si>
  <si>
    <t>Where is Linz's gridlock? Salvador Allende and the success of presidential bills in Chile, 1958-1973</t>
  </si>
  <si>
    <t>JOURNAL OF LEGISLATIVE STUDIES</t>
  </si>
  <si>
    <t>We study the success of presidential bills in Chile between 1958 and 1973 and disprove the claim, made by Linz and others, in the debate on the perils of presidentialism, that Salvador Allende (1970-1973) suffered from legislative paralysis. We revise the 1113 bills introduced by presidents Jorge Alessandri (1958-1964), Eduardo Frei (1964-1970) and Allende, and identified those enacted. Allende had a lower success rate but introduced more bills than Frei or Alessandri and, by the time his term abruptly ended, had enacted more laws than his predecessors. Changes to lawmaking rules likely induced Allende to introduce more bills than his predecessors. While presidentialism might have its perils, especially for minority presidents, Allende did not experience legislative gridlock when compared to other Chilean presidents. Although some key Allende bills failed to pass, especially in the last year, the opposition-controlled Congress passed some Allende bills even in the weeks before his overthrow.</t>
  </si>
  <si>
    <t>Navia, Patricio/B-1052-2009</t>
  </si>
  <si>
    <t>Navia, Patricio/0000-0001-9398-8393</t>
  </si>
  <si>
    <t>1357-2334</t>
  </si>
  <si>
    <t>1743-9337</t>
  </si>
  <si>
    <t>JAN 2</t>
  </si>
  <si>
    <t>10.1080/13572334.2022.2164825</t>
  </si>
  <si>
    <t>JAN 2023</t>
  </si>
  <si>
    <t>WOS:000913588300001</t>
  </si>
  <si>
    <t>Díaz, HS; Ríos-Gallardo, A; Ortolani, D; Díaz-Jara, E; Flores, MJ; Vera, I; Monasterio, A; Ortiz, FC; Brossard, N; Osorio, F; Del Río, R</t>
  </si>
  <si>
    <t>Diaz, Hugo S.; Rios-Gallardo, Angelica; Ortolani, Domiziana; Diaz-Jara, Esteban; Jose Flores, Maria; Vera, Ignacio; Monasterio, Angela; Ortiz, Fernando C.; Brossard, Natalia; Osorio, Fernando; Del Rio, Rodrigo</t>
  </si>
  <si>
    <t>Lipid-Encapsuled Grape Tannins Prevent Oxidative-Stress-Induced Neuronal Cell Death, Intracellular ROS Accumulation and Inflammation</t>
  </si>
  <si>
    <t>The central nervous system (CNS) is particularly vulnerable to oxidative stress and inflammation, which affect neuronal function and survival. Nowadays, there is great interest in the development of antioxidant and anti-inflammatory compounds extracted from natural products, as potential strategies to reduce the oxidative/inflammatory environment within the CNS and then preserve neuronal integrity and brain function. However, an important limitation of natural antioxidant formulations (mainly polyphenols) is their reduced in vivo bioavailability. The biological compatible delivery system containing polyphenols may serve as a novel compound for these antioxidant formulations. Accordingly, in the present study, we used liposomes as carriers for grape tannins, and we tested their ability to prevent neuronal oxidative stress and inflammation. Cultured catecholaminergic neurons (CAD) were used to establish the potential of lipid-encapsulated grape tannins (TLS) to prevent neuronal oxidative stress and inflammation following an oxidative insult. TLS rescued cell survival after H2O2 treatment (59.4 +/- 8.8% vs. 90.4 +/- 5.6% H2O2 vs. TLS+ H2O2; p &lt; 0.05) and reduced intracellular ROS levels by similar to 38% (p &lt; 0.05), despite displaying negligible antioxidant activity in solution. Additionally, TLS treatment dramatically reduced proinflammatory cytokines' mRNA expression after H2O2 treatment (TNF-alpha: 400.3 +/- 1.7 vs. 7.9 +/- 1.9-fold; IL-1 beta: 423.4 +/- 1.3 vs. 12.7 +/- 2.6-fold; p &lt; 0.05; H2O2 vs. TLS+ H2O2, respectively), without affecting pro/antioxidant biomarker expression, suggesting that liposomes efficiently delivered tannins inside neurons and promoted cell survival. In conclusion, we propose that lipid-encapsulated grape tannins could be an efficient tool to promote antioxidant/inflammatory cell defense.</t>
  </si>
  <si>
    <t>Brossard, Natalia/ABH-2990-2021; Del Rio, Rodrigo/AAF-8763-2020; osorio, fernando/AAY-7304-2021</t>
  </si>
  <si>
    <t>Monasterio, Angela/0000-0001-7309-0746; Brossard, Natalia/0000-0001-7444-8869; Del Rio, Rodrigo/0000-0002-2562-806X; osorio, fernando/0000-0001-7206-0924; Ortiz, Fernando C/0000-0002-4776-4492</t>
  </si>
  <si>
    <t>10.3390/antiox11101928</t>
  </si>
  <si>
    <t>WOS:000872038400001</t>
  </si>
  <si>
    <t>Miralles, SG; Bedoya-Pinto, A; Baldoví, JJ; Cañon-Mancisidor, W; Prado, Y; Prima-Garcia, H; Gaita-Ariño, A; Espallargas, GM; Hueso, LE; Coronado, E</t>
  </si>
  <si>
    <t>Miralles, Sara G.; Bedoya-Pinto, Amilcar; Baldovi, Jose J.; Canon-Mancisidor, Walter; Prado, Yoann; Prima-Garcia, Helena; Gaita-Arino, Alejandro; Minguez Espallargas, Guillermo; Hueso, Luis E.; Coronado, Eugenio</t>
  </si>
  <si>
    <t>Sublimable chloroquinolinate lanthanoid single-ion magnets deposited on ferromagnetic electrodes</t>
  </si>
  <si>
    <t>CHEMICAL SCIENCE</t>
  </si>
  <si>
    <t>A new family of chloroquinolinate lanthanoid complexes of the formula A(+)[Ln(5,7Cl(2)q)(4)](-), with Ln = Y3+, Tb3+ and Dy3+ and A(+) = Na+, NEt4 + and K-0.5(NEt4)(0.5)(+), is studied, both in bulk and as thin films. Several members of the family are found to present single-molecule magnetic behavior in bulk. Interestingly, the sodium salts can be sublimed under high vacuum conditions retaining their molecular structures and magnetic properties. These thermally stable compounds have been deposited on different substrates (Al2O3, Au and NiFe). The magnetic properties of these molecular films show the appearance of cusps in the zero-field cooled curves when they are deposited on permalloy (NiFe). This indicates a magnetic blocking caused by the interaction between the single-ion magnet and the ferromagnet. X-ray absorption spectroscopy confirms the formation of hybrid states at the molecule/metal interface.</t>
  </si>
  <si>
    <t>Baldoví, José/J-4889-2015; prado, yoann/KFS-5629-2024; Coronado, Eugenio/E-8960-2014; Gaita-Ariño, Alejandro/D-2110-2014; Canon-Mancisidor, Walter/K-8764-2014; Miralles, Sara G./J-3566-2013; Hueso, Luis/C-8713-2009; Bedoya-Pinto, Amilcar/P-3245-2014; Minguez Espallargas, Guillermo/D-3164-2013</t>
  </si>
  <si>
    <t>Canon-Mancisidor, Walter/0000-0003-1703-8729; Baldovi, Jose J./0000-0002-2277-3974; Miralles, Sara G./0000-0003-4137-0959; Gaita Arino, Alejandro/0000-0002-1600-8627; Hueso, Luis/0000-0002-7918-8047; Bedoya-Pinto, Amilcar/0000-0001-5449-3179; Minguez Espallargas, Guillermo/0000-0001-7855-1003; Coronado Miralles, Eugenio/0000-0002-1848-8791</t>
  </si>
  <si>
    <t>2041-6520</t>
  </si>
  <si>
    <t>2041-6539</t>
  </si>
  <si>
    <t>JAN 7</t>
  </si>
  <si>
    <t>10.1039/c7sc03463f</t>
  </si>
  <si>
    <t>WOS:000418376400022</t>
  </si>
  <si>
    <t>Abidin, MZ; Junqueira-Gonçalves, MP; Khutoryanskiy, VV; Niranjan, K</t>
  </si>
  <si>
    <t>Abidin, Munira Zainal; Junqueira-Goncalves, Maria Paula; Khutoryanskiy, Vitaliy V.; Niranjan, Keshavan</t>
  </si>
  <si>
    <t>Intensifying chitin hydrolysis by adjunct treatments - an overview</t>
  </si>
  <si>
    <t>Chitin is, after cellulose, the most abundant organic natural polysaccharide on Earth, being synthesized as a dominant component in the exoskeletons of crustaceans, among other sources. In the processing of seafood for human consumption, between 40 and 50% of the total raw material mass is wasted, causing a significant problem for the environment owing to its slow degradation. Efforts to find uses for chitin derivatives, particularly their oligomers, have intensified since these chemicals are highly functional and offer a wide range of applications, especially as antimicrobial agent. As a consequence, some adjunct treatments, either chemical or physical in nature, have been employed to assist acid and enzymatic hydrolysis. This work provides a detailed review of the methods employed to intensify the formation of chitin oligomers, particularly focusing on the adjunct treatments used (microwave, ultrasonication, steam explosion and gamma irradiation), and an evaluation of the yield and characteristics of the oligomers formed. Adjunct treatments are more suitable for enzymatic hydrolysis since these treatments modify the chitin structure, and enhance the hydrolysis rate and yield of the oligomers, under milder reaction conditions. For future research, it would be worth trying pre-treatments like the application of high-pressure to chitin in order to lower its crystallinity. (C) 2017 Society of Chemical Industry</t>
  </si>
  <si>
    <t>Khutoryanskiy, Vitaliy/D-3712-2012</t>
  </si>
  <si>
    <t>Khutoryanskiy, Vitaliy/0000-0002-7221-2630</t>
  </si>
  <si>
    <t>10.1002/jctb.5208</t>
  </si>
  <si>
    <t>WOS:000412284300002</t>
  </si>
  <si>
    <t>Bravo, M; Mertikopoulos, P</t>
  </si>
  <si>
    <t>Bravo, Mario; Mertikopoulos, Panayotis</t>
  </si>
  <si>
    <t>On the robustness of learning in games with stochastically perturbed payoff observations</t>
  </si>
  <si>
    <t>GAMES AND ECONOMIC BEHAVIOR</t>
  </si>
  <si>
    <t>Motivated by the scarcity of accurate payoff feedback in practical applications of game theory, we examine a class of learning dynamics where players adjust their choices based on past payoff observations that are subject to noise and random disturbances. First, in the single-player case (corresponding to an agent trying to adapt to an arbitrarily changing environment), we show that the stochastic dynamics under study lead to no regret almost surely, irrespective of the noise level in the player's observations. In the multi-player case, we find that dominated strategies become extinct and we show that strict Nash equilibria are stochastically stable and attracting; conversely, if a state is stable or attracting with positive probability, then it is a Nash equilibrium. Finally, we provide an averaging principle for 2-player games, and we show that in zero-sum games with an interior equilibrium, time averages converge to Nash equilibrium for any noise level. (C) 2016 Elsevier Inc. All rights reserved.</t>
  </si>
  <si>
    <t>Mertikopoulos, Panayotis/KCK-3786-2024</t>
  </si>
  <si>
    <t>Bravo, Mario/0000-0002-4312-9600; Mertikopoulos, Panayotis/0000-0003-2026-9616</t>
  </si>
  <si>
    <t>0899-8256</t>
  </si>
  <si>
    <t>1090-2473</t>
  </si>
  <si>
    <t>10.1016/j.geb.2016.06.004</t>
  </si>
  <si>
    <t>WOS:000404821700004</t>
  </si>
  <si>
    <t>Neshyba, S; Adams, J; Reed, K; Rowe, PM; Gladich, I</t>
  </si>
  <si>
    <t>Neshyba, Steven; Adams, Jonathan; Reed, Kelsey; Rowe, Penny M.; Gladich, Ivan</t>
  </si>
  <si>
    <t>A quasi-liquid mediated continuum model of faceted ice dynamics</t>
  </si>
  <si>
    <t>JOURNAL OF GEOPHYSICAL RESEARCH-ATMOSPHERES</t>
  </si>
  <si>
    <t>We present a quasi-liquid mediated continuum model for ice growth consisting of partial differential equations informed by molecular dynamics simulations. The main insight from molecular dynamics is the appearance of periodic variations in the equilibrium vapor pressure and quasi-liquid thickness of the ice/vapor interface. These variations are incorporated in the continuum model as subgrid scale microsurfaces. We show that persistent faceted ice growth in the presence of inhomogeneities in the ambient vapor field is due to a spontaneous narrowing of terraces at facet corners, which compensates for higher ambient water vapor density via feedback between surface supersaturation and quasi-liquid thickness. We argue that this emergent behavior has the mathematical structure of a stable limit cycle and characterize its robustness in terms of ranges of parameters that support it. Because the model is relevant in the high-surface-coverage regime, it serves as a useful complement to the Burton-Cabrera-Frank framework. Quantitative aspects and limitations of the model are also discussed.</t>
  </si>
  <si>
    <t>Gladich, Ivan/A-9807-2018</t>
  </si>
  <si>
    <t>Gladich, Ivan/0000-0003-0929-3439; Rowe, Penny/0000-0002-7594-0553</t>
  </si>
  <si>
    <t>2169-897X</t>
  </si>
  <si>
    <t>2169-8996</t>
  </si>
  <si>
    <t>DEC 16</t>
  </si>
  <si>
    <t>10.1002/2016JD025458</t>
  </si>
  <si>
    <t>WOS:000394520300013</t>
  </si>
  <si>
    <t>Fuertes, G; Soto, I; Vargas, M; Valencia, A; Sabattin, J; Carrasco, R</t>
  </si>
  <si>
    <t>Fuertes, Guillermo; Soto, Ismael; Vargas, Manuel; Valencia, Alvaro; Sabattin, Jorge; Carrasco, Raul</t>
  </si>
  <si>
    <t>Nanosensors for a Monitoring System in Intelligent and Active Packaging</t>
  </si>
  <si>
    <t>JOURNAL OF SENSORS</t>
  </si>
  <si>
    <t>A theoretical wireless nanosensor network (WNSN) system that gives information about the food packaging condition is proposed. The protection effectiveness is estimated by measuring many factors, such as the existence of microorganisms, bacteria, gases, and contaminants. This study is focused on the detection of an antimicrobial agent (AA) attached on a polymer forming an active integrated package. All monitoring technologies for food conservation are analyzed. Nanobiosensor nanomachine (NM), which converts biological or chemical signals into electrical signals, is used. A mathematical model, which describes the constituent's emigration from the package to food, is programmed in Mat Lab software. The results show three nanobiosensors forming a WNSN. The nanobiosensors are able to carry out the average concentration for different spots in the package. This monitoring system shows reading percentages in three degrees and different colors: excellent (green), good (cyan), and lacking (red). To confirm the utility of the model, different simulations are performed. Using the WNSNs, results of AA existing in food package (FP) through time were successfully obtained.</t>
  </si>
  <si>
    <t>vargas, manuel/AAG-4780-2020; Sabattin, Jorge/P-2589-2019; Valencia, Alvaro/H-3754-2013; Fuertes, Guillermo/Q-2341-2016; Carrasco, Raul/G-5440-2015</t>
  </si>
  <si>
    <t>Fuertes, Guillermo/0000-0003-3044-5919; Carrasco, Raul/0000-0002-5023-9349; valencia, alvaro/0000-0002-3644-3167; Soto, Ismael/0000-0002-5501-5651; Vargas Guzman, Manuel Eduardo/0000-0003-4161-6621; Sabattin, Jorge/0000-0003-0270-6560</t>
  </si>
  <si>
    <t>1687-725X</t>
  </si>
  <si>
    <t>1687-7268</t>
  </si>
  <si>
    <t>10.1155/2016/7980476</t>
  </si>
  <si>
    <t>WOS:000371537800001</t>
  </si>
  <si>
    <t>García-Hermoso, A; Notario-Pacheco, B; Recio-Rodríguez, JI; Martínez-Vizcaíno, V; de Pablo, ER; Belio, JFM; Gómez-Marcos, MA; García-Ortiz, L</t>
  </si>
  <si>
    <t>Garcia-Hermoso, A.; Notario-Pacheco, B.; Recio-Rodriguez, J. I.; Martinez-Vizcaino, V.; Rodrigo de Pablo, E.; Magdalena Belio, J. F.; Gomez-Marcos, M. A.; Garcia-Ortiz, L.</t>
  </si>
  <si>
    <t>EVIDENT Grp</t>
  </si>
  <si>
    <t>Sedentary behaviour patterns and arterial stiffness in a Spanish adult population - The EVIDENT trial</t>
  </si>
  <si>
    <t>ATHEROSCLEROSIS</t>
  </si>
  <si>
    <t>Objective: Arterial stiffness is a contributor to the development of atherosclerosis and cardiovascular disease. The aim of the study was to analyse the relationship between sedentary behaviour and arterial stiffness in a Spanish adult population. Methods: This cross-sectional study included 1365 subjects belonging to the EVIDENT project. Physical activity and sedentary behaviour were measured objectively over 7 days using ActiGraph accelerometers. Thresholds of 10 consecutive minutes were used to estimate the daily sedentary time in bouts &gt;= 10 min. Each interruption in sedentary time (counts/min &gt;= 100) was considered a break. Arterial stiffness was evaluated using the B-pro device through the following indicators: radial Augmentation Index (rAIx), Ambulatory Arterial Stiffness Index (AASI), and central and peripheral pulse pressure (PP). Results: We found a positive relationship between central and peripheral pulse pressure (office, 24 h, awake and sleep PP) and total sedentary time. These arterial stiffness parameters were also associated with sedentary time in bouts &gt;= 10 min. Significance disappeared in both cases, however, after adjusting for MVPA and breaks per sedentary hour. Adults who reported fewer breaks per sedentary hour (25th percentile &lt; 2 n/day) had higher levels of AASI, awake and sleep PP. Conclusions: In a medium-sized sample of adult attenders of community clinics our data showed that it seems to be important to avoid prolonged uninterrupted periods of sedentary time. (C) 2015 Elsevier Ireland Ltd. All rights reserved.</t>
  </si>
  <si>
    <t>García-Hermoso, Antonio/ADU-2591-2022; Maderuelo-Fernandez, Jose-Angel/R-8868-2018; Notario Pacheco, Blanca/G-2583-2016; MARTINEZ VIZCAINO, VICENTE/R-4336-2017; Martin-Cantera, Carlos/D-2693-2011; Rodriguez-Sanchez, Emiliano/N-5582-2014; Garcia-Hermoso, Antonio/P-1857-2017</t>
  </si>
  <si>
    <t>Maderuelo-Fernandez, Jose-Angel/0000-0001-7544-8684; Notario Pacheco, Blanca/0000-0001-8406-6952; MARTINEZ VIZCAINO, VICENTE/0000-0001-6121-7893; Martin-Cantera, Carlos/0000-0003-0656-8126; Recio-Rodriguez, Jose I/0000-0002-3772-8746; Rodriguez-Sanchez, Emiliano/0000-0003-3667-7155; Garcia-Hermoso, Antonio/0000-0002-1397-7182</t>
  </si>
  <si>
    <t>0021-9150</t>
  </si>
  <si>
    <t>1879-1484</t>
  </si>
  <si>
    <t>10.1016/j.atherosclerosis.2015.10.004</t>
  </si>
  <si>
    <t>WOS:000366534100024</t>
  </si>
  <si>
    <t>Jeitschko, TD; Linz, SJ; Noguera, J; Semykina, A</t>
  </si>
  <si>
    <t>Jeitschko, Thomas D.; Linz, Susan J.; Noguera, Jose; Semykina, Anastasia</t>
  </si>
  <si>
    <t>Economic security and democratic capital: Why do some democracies survive and others fail?</t>
  </si>
  <si>
    <t>JOURNAL OF BEHAVIORAL AND EXPERIMENTAL ECONOMICS</t>
  </si>
  <si>
    <t>We develop a theoretical framework where the chance of any given democratic society maintaining its democratic status is determined by two key factors: economic security and democratic capital. Our model predicts democracy breakdown is more likely (1) the lower the level of democratic capital, (2) the lower the anticipated growth in democracy, (3) the greater the anticipated growth after democracy breakdown, and finally, (4) the smaller the difference between anticipated growth in continued democracy and after democracy breakdown. We test the model using a newly constructed data set and the Polity IV data. We find that if expected economic growth under democracy is greater than anticipated economic growth under the alternative regime then the probability of breakdown is lower. Moreover, an increase in democratic capital decreases the probability of democracy breakdown. The country's most recent own democratic experience appears to have a more important impact on democracy survival, while the effect of foreign democratic capital cannot be distinguished from the time-specific shocks that are common to all countries in the world. (C) 2014 Elsevier Inc. All rights reserved.</t>
  </si>
  <si>
    <t>Jeitschko, Thomas/O-7318-2019; Jeitschko, Thomas D./G-3290-2013</t>
  </si>
  <si>
    <t>Semykina, Anastasia/0000-0001-7232-2971; Jeitschko, Thomas D./0000-0001-5903-3235</t>
  </si>
  <si>
    <t>2214-8043</t>
  </si>
  <si>
    <t>2214-8051</t>
  </si>
  <si>
    <t>10.1016/j.socec.2014.01.005</t>
  </si>
  <si>
    <t>WOS:000337874500003</t>
  </si>
  <si>
    <t>Echeverría, C; Montorfano, I; Hermosilla, T; Armisén, R; Velásquez, LA; Cabello-Verrugio, C; Varela, D; Simon, F</t>
  </si>
  <si>
    <t>Echeverria, Cesar; Montorfano, Ignacio; Hermosilla, Tamara; Armisen, Ricardo; Velasquez, Luis A.; Cabello-Verrugio, Claudio; Varela, Diego; Simon, Felipe</t>
  </si>
  <si>
    <t>Endotoxin Induces Fibrosis in Vascular Endothelial Cells through a Mechanism Dependent on Transient Receptor Protein Melastatin 7 Activity</t>
  </si>
  <si>
    <t>The pathogenesis of systemic inflammatory diseases, including endotoxemia-derived sepsis syndrome, is characterized by endothelial dysfunction. It has been demonstrated that the endotoxin lipopolysaccharide (LPS) induces the conversion of endothelial cells (ECs) into activated fibroblasts through endothelial-to-mesenchymal transition mechanism. Fibrogenesis is highly dependent on intracellular Ca2+ concentration increases through the participation of calcium channels. However, the specific molecular identity of the calcium channel that mediates the Ca2+ influx during endotoxin-induced endothelial fibrosis is still unknown. Transient receptor potential melastatin 7 (TRPM7) is a calcium channel that is expressed in many cell types, including ECs. TRPM7 is involved in a number of crucial processes such as the conversion of fibroblasts into activated fibroblasts, or myofibroblasts, being responsible for the development of several characteristics of them. However, the role of the TRPM7 ion channel in endotoxin-induced endothelial fibrosis is unknown. Thus, our aim was to study whether the TRPM7 calcium channel participates in endotoxin- induced endothelial fibrosis. Using primary cultures of ECs, we demonstrated that TRPM7 is a crucial protein involved in endotoxin- induced endothelial fibrosis. Suppression of TRPM7 expression protected ECs from the fibrogenic process stimulated by endotoxin. Downregulation of TRPM7 prevented the endotoxin-induced endothelial markers decrease and fibrotic genes increase in ECs. In addition, TRPM7 downregulation abolished the endotoxin-induced increase in ECM proteins in ECs. Furthermore, we showed that intracellular Ca2+ levels were greatly increased upon LPS challenge in a mechanism dependent on TRPM7 expression. These results demonstrate that TRPM7 is a key protein involved in the mechanism underlying endotoxin-induced endothelial fibrosis.</t>
  </si>
  <si>
    <t>Armisen, Ricardo/ABB-4061-2021; Cabello-Verrugio, Claudio/AAD-1454-2020; Varela, Diego/AAG-7489-2019; ECHEVERRIA, CESAR/AAH-4994-2019; Armisen, Ricardo/A-7409-2012</t>
  </si>
  <si>
    <t>Varela, Diego/0000-0002-9352-414X; Armisen, Ricardo/0000-0003-2567-0521; Velasquez, Luis/0000-0002-9479-1792; Simon, Felipe/0000-0002-2653-9798; Cabello-Verrugio, Claudio/0000-0001-7273-2102; ECHEVERRIA ECHEVERRIA, CESAR ANTONIO/0000-0001-5431-7183</t>
  </si>
  <si>
    <t>e94146</t>
  </si>
  <si>
    <t>10.1371/journal.pone.0094146</t>
  </si>
  <si>
    <t>WOS:000334159800106</t>
  </si>
  <si>
    <t>Díaz-Vásquez, WA; Abarca-Lagunas, MJ; Arenas, FA; Pinto, CA; Cornejo, FA; Wansapura, PT; Appuhamillage, GA; Chasteen, TG; Vásquez, CC</t>
  </si>
  <si>
    <t>Diaz-Vasquez, Waldo A.; Abarca-Lagunas, Maria J.; Arenas, Felipe A.; Pinto, Camilo A.; Cornejo, Fabian A.; Wansapura, Poorna T.; Appuhamillage, Gayan A.; Chasteen, Thomas G.; Vasquez, Claudio C.</t>
  </si>
  <si>
    <t>Tellurite reduction by Escherichia coli NDH-II dehydrogenase results in superoxide production in membranes of toxicant-exposed cells</t>
  </si>
  <si>
    <t>BIOMETALS</t>
  </si>
  <si>
    <t>Tellurite, the most soluble tellurium oxyanion, is extremely harmful for most microorganisms. Part of this toxicity is due to the generation of reactive oxygen species that in turn cause oxidative stress. However, the way in which tellurite interferes with cellular processes is not well understood to date. Looking for new cellular tellurite targets, we decided to evaluate the functioning of the electron transport chain in tellurite-exposed cells. In this communication we show that the E. coli ndh gene, encoding NDH-II dehydrogenase, is significantly induced in toxicant-exposed cells and that the enzyme displays tellurite-reducing activity that results in increased superoxide levels in vitro.</t>
  </si>
  <si>
    <t>Chasteen, Thomas/B-6601-2009</t>
  </si>
  <si>
    <t>Cornejo, Fabian/0000-0002-6633-392X; A. Appuhamillage, Gayan/0000-0003-4165-8741</t>
  </si>
  <si>
    <t>0966-0844</t>
  </si>
  <si>
    <t>1572-8773</t>
  </si>
  <si>
    <t>10.1007/s10534-013-9701-8</t>
  </si>
  <si>
    <t>WOS:000335729500003</t>
  </si>
  <si>
    <t>Laich, F; Chávez, R; Vaca, I</t>
  </si>
  <si>
    <t>Laich, Federico; Chavez, Renato; Vaca, Inmaculada</t>
  </si>
  <si>
    <t>Leucosporidium escuderoi f.a., sp nov., a basidiomycetous yeast associated with an Antarctic marine sponge</t>
  </si>
  <si>
    <t>ANTONIE VAN LEEUWENHOEK INTERNATIONAL JOURNAL OF GENERAL AND MOLECULAR MICROBIOLOGY</t>
  </si>
  <si>
    <t>A basidiomycetous yeast, strain E2A-C3-II, was isolated from a marine sponge (Hymeniacidon sp.) collected at a depth of 6 m in Fildes Bay, King George Island, Antarctica. The phylogenetic analysis revealed that the yeast isolated is related to Leucosporidium drummii, Leucosporidiella muscorum and to the Leucosporidium scottii group, including Leucosporidiella creatinivora and Leucosporidiella yakutica. The analysis of the nucleotide differences and the genetic distances of the D1/D2 domain of the LSU rDNA gene and 5.8S ITS regions support that strain E2A-C3-II represents a new species. The novel species can be distinguished from L. drummii by its ability to assimilate l-sorbose, l-rhamnose, lactose and ribitol. The maximum temperature for growth was 25 A degrees C. On the basis of morphological, biochemical and physiological characterization, and phylogenetic and nucleotide analysis, a novel basidiomycetous yeast species, Leucosporidium escuderoi f.a., sp. nov., is proposed. The type strain is E2A-C3-IIT (=CBS 12734(T) =CECT 13080(T)). The Mycobank (http://www.mycobank.org) accession number is MB 804654. The nucleotide sequences of D1/D2 domain of the LSU rDNA gene and 5.8S-ITS regions obtained in this work have been deposited in Genbank under the Accession numbers JN181009 and JN197600, respectively.</t>
  </si>
  <si>
    <t>; Vaca, Inmaculada/I-2758-2013</t>
  </si>
  <si>
    <t>Laich, Federico Salvador/0000-0002-4530-7474; Chavez, Renato/0000-0003-1754-3610; Vaca, Inmaculada/0000-0002-8952-9036</t>
  </si>
  <si>
    <t>0003-6072</t>
  </si>
  <si>
    <t>1572-9699</t>
  </si>
  <si>
    <t>10.1007/s10482-014-0114-7</t>
  </si>
  <si>
    <t>WOS:000330953700016</t>
  </si>
  <si>
    <t>Vilos, C; Constandil, L; Rodas, PI; Cantin, M; Zepeda, K; Herrera, N; Velasquez, LA</t>
  </si>
  <si>
    <t>Vilos, Cristian; Constandil, Luis; Rodas, Paula I.; Cantin, Mario; Zepeda, Katherine; Herrera, Natalia; Velasquez, Luis A.</t>
  </si>
  <si>
    <t>Evaluation of ceftiofur-PHBV microparticles in rats</t>
  </si>
  <si>
    <t>DRUG DESIGN DEVELOPMENT AND THERAPY</t>
  </si>
  <si>
    <t>Despite the high number of antibiotics used for the treatment of infectious disease in animals, the development of slow release formulations presents a significant challenge, particularly in using novel biomaterials with low cost. In this report, we studied the pharmacokinetics, toxicity, and therapeutic activity of ceftiofur-PHBV (ceftiofur-poly(3-hydroxybutyrate-co-3-hydroxyvalerate)) in rats. The pharmacokinetic study demonstrated a sustained release of ceftiofur into the bloodstream, with detectable levels over the minimum inhibitory concentration for at least 17 days after a single intramuscular injection of ceftiofur-PHBV (10 mg/kg weight). In addition, the toxicological evaluation of biochemical, hematological, and coagulation blood parameters at the therapeutic dose demonstrated the safety of ceftiofur-PHBV, with no adverse effects. In addition, ceftiofur-PHBV exhibited a therapeutic effect for a longer time period than the nonencapsulated ceftiofur in rats challenged with Salmonella Typhimurium. The slow release of ceftiofur from the ceftiofur-PHBV, its low toxicity in the blood parameters evaluated, and the efficacy in the rats infected with Salmonella Typhimurium make ceftiofur-PHBV a strong candidate for biotechnological applications in the veterinary industry.</t>
  </si>
  <si>
    <t>Ortiz, Cristian/F-9162-2014; Rodas, Paula I./I-3631-2013; Cantin, Mario/L-9054-2013</t>
  </si>
  <si>
    <t>Rodas, Paula I./0000-0002-8071-1229; Velasquez, Luis/0000-0002-9479-1792; Vilos, Cristian/0000-0001-5619-3348; Constandil, Luis/0000-0002-2504-0119; Cantin, Mario/0000-0002-1749-8672</t>
  </si>
  <si>
    <t>1177-8881</t>
  </si>
  <si>
    <t>10.2147/DDDT.S60444</t>
  </si>
  <si>
    <t>WOS:000354468700001</t>
  </si>
  <si>
    <t>Guzmán, AM; Beiza, MP; Diaz, AJ; Fischer, PF; Ramos, JC</t>
  </si>
  <si>
    <t>Guzman, Amador M.; Beiza, Maximiliano P.; Diaz, Andres J.; Fischer, Paul F.; Ramos, Juan C.</t>
  </si>
  <si>
    <t>Flow and heat transfer characteristics in micro and mini communicating pressure driven channel flows by numerical simulations</t>
  </si>
  <si>
    <t>INTERNATIONAL JOURNAL OF HEAT AND MASS TRANSFER</t>
  </si>
  <si>
    <t>The flow and heat transfer characteristics are investigated in micro and mini communicating channel pressure driven flows by 2D numerical simulations using a computational method. The continuum based Navier-Stokes and continuity equations are solved by the Spectral Element Method (SEM). Flow and heat transfer characteristics are determined for 10 &lt; Re &lt; 227. The 2D communicating channel physical domain contains many blocks within the parallel,.upper and lower walls. A periodic computational domain of length 2 (L) over cap and an aspect ratio of r = (a) over cap/(2 (L) over cap) is used, where a is the height of block within the channel and (L) over cap is the periodic length. For low Reynolds number, viscous forces dominate and two stationary symmetric vortices are generated between blocks with very laminar parallel viscous flow in the upper and lower communicating channel. For moderate Reynolds numbers, numerical results show a transition scenario with two Hopf flow bifurcations, as the flow evolves from a laminar to a time-dependent flow regime. The first Hopf bifurcation B-1 occurs at a critical Reynolds number (Re-c1) leading to a periodic flow characterized by a frequency omega(1). A quasi periodic flow sets in for higher Reynolds numbers through a second Hopf flow bifurcation B-2 occurring at a critical Reynolds number (Re-c2 &lt; Re-c1) with two frequencies omega(1) and omega(2), and a linear combinations of omega(1) and omega(2). The existence of either regime will depend on the previous flow regime, the process of furthering the Reynolds number from one condition to another, and the aspect ratio r. Numerical results show that Nusselt numbers are at least 50% larger in quasi periodic than in periodic and laminar flow regimes. The existence of periodic and quasi periodic flows leads to a heat transfer enhancement at the same Reynolds number. (C) 2012 Elsevier Ltd. All rights reserved.</t>
  </si>
  <si>
    <t>Guzman, Amador/F-9260-2013; Ramos Gonzalez, Juan Carlos/C-7626-2009</t>
  </si>
  <si>
    <t>Diaz, Andres/0000-0002-9685-9113; Ramos Gonzalez, Juan Carlos/0000-0002-2560-1051</t>
  </si>
  <si>
    <t>0017-9310</t>
  </si>
  <si>
    <t>1879-2189</t>
  </si>
  <si>
    <t>1-2</t>
  </si>
  <si>
    <t>10.1016/j.ijheatmasstransfer.2012.11.021</t>
  </si>
  <si>
    <t>WOS:000315001800055</t>
  </si>
  <si>
    <t>Antonova, EE; Kirpichev, IP; Stepanova, MV</t>
  </si>
  <si>
    <t>Antonova, E. E.; Kirpichev, I. P.; Stepanova, M. V.</t>
  </si>
  <si>
    <t>Field-aligned current mapping and the problem of the generation of magnetospheric convection</t>
  </si>
  <si>
    <t>ADVANCES IN SPACE RESEARCH</t>
  </si>
  <si>
    <t>The solution of the problem of the generation of large-scale two-cell magnetospheric convection requires the understanding of the nature of Region 1 currents of Iijima and Potemra [The amplitude distribution of field-aligned currents at northern high latitudes observed by Triad. J. Geophys. Res. 81 (13), 2165-2174, 1976]. The azimuthal distribution of Region 1 currents is analyzed. The picture of field-aligned currents is mapped to the equatorial plane using Tsyganenko-96 and Tsyganenko-2001 magnetic field models. It is shown that the majority of Region 1 currents is mapped to the plasma sheet. The possible contribution of boundary layer processes to the generation of Region 1 currents is evaluated. Additional support of the action of the mechanism of magnetospheric topology generation of magnetospheric convection is obtained. Field-aligned currents in accordance with this mechanism are generated due to the existence of the plasma pressure gradients along the isosurfaces of magnetic flux tube volume. Such gradients appear due to the day-night magnetospheric asymmetry. (C) 2005 COSPAR. Published by Elsevier Ltd. All rights reserved.</t>
  </si>
  <si>
    <t>0273-1177</t>
  </si>
  <si>
    <t>1879-1948</t>
  </si>
  <si>
    <t>10.1016/j.asr.2005.09.042</t>
  </si>
  <si>
    <t>WOS:000202988500011</t>
  </si>
  <si>
    <t>Mimica, D; Ringuedé, A; Agurto, C; Bedioui, F; Zagal, J</t>
  </si>
  <si>
    <t>Biomimetic electroreduction of O2 by hemoglobin in a surfactant film:: Preliminary electrochemical impedance spectroscopy insight</t>
  </si>
  <si>
    <t>We report in this study on the direct electron transfer for hemoglobin (Hb) entrapped in cationic didodecyldimethylammonium bromide (DDAB) surfactant films cast on vitreous-carbon electrodes, in neutral aqueous solution. This was achieved by using for the first time the electrochemical impedance spectroscopy (EIS) measurements. This allows providing further insights in the electrical properties of these biofilms. The electroassisted catalytic reduction of molecular oxygen by the entrapped Hb, in neutral aqueous solution was also investigated. A catalytic current was observed close to the Fe(III)/Fe(II) redox potential of the immobilized Hb, and the intensity of the voltammetric cathodic peak (measured by cyclic voltammetry) is directly proportional to oxygen partial pressure. The influence of oxygen partial pressure on the impedance response of the films was also analyzed. The obtained results emphasizes the fact that the total charge transfer resistance of the modified electrode decreases with increasing oxygen partial pressure. A preliminary explanation of such an observation is discussed.</t>
  </si>
  <si>
    <t>zagal, jose/L-9648-2014; Ringuede, Armelle/AAH-4478-2019; Bedioui, Fethi/N-3507-2014</t>
  </si>
  <si>
    <t>1521-4109</t>
  </si>
  <si>
    <t>10.1002/elan.200403038</t>
  </si>
  <si>
    <t>WOS:000224517400012</t>
  </si>
  <si>
    <t>Costamagna, J; Caruso, F; Rossi, M; Campos, M; Canales, J; Ramirez, J</t>
  </si>
  <si>
    <t>Precursors of hexa-azamacrocycles.: Synthesis and X-ray structure of 2,9-diaminophenanthroline-bisacetate-Co(II) and 6,6′-diaminobipyridine-bisacetate-M(II) (M = Ni, Cu)</t>
  </si>
  <si>
    <t>The synthesis, conventional characterisations and x-ray structures of the following monomeric complexes are given for 2,9-diaminophenanthroline-bisacetate-cobalt(II) ((A) under bar) and 6,6'-diaminobipyridine-bisacetate-M(II) (M = nickel((C) under bar) and copper((B) under bar)). Complex (A) under bar crystalizes in the monoclinic, C2/c space group with a = 12.813(6), b = 10.218(3), c=13.811(5), Angstrom; beta = 118.17(2)degrees; Z = 4; V = 1549(2) Angstrom (3). A total of 1787 unique reflections with F &gt; 6 sigma (F) were refined to values of R and R-w 0.0461 and 0.0774, respectively. Complex &lt;()under bar&gt; crystallizes in the triclinic, P-1 space group with a = 10.099(5), b = 10.257(5), c = 8.015(11), Angstrom; alpha,= 112.98(2), beta = 93.13(2), gamma = 92.960(2),degrees; Z = 2; V = 761(1), Angstrom (3). A total of 2603 unique reflections with F &gt; 3.00 sigma (F) were refined to values of R and R-w 0.0764 and 0.1022, respectively. Complex (C) under bar crystallizes in the monoclinic, P2(1)/n space group with a = 8.124(5), b = 10.343(6), c = 18.724(11), beta = 98.36(2),degrees; Z = 4; V = 1556(1), Angstrom (3). A total of 2537 unique reflections with F &gt; 3.00 sigma (F) were refined to values of R and R-w 0.0689 and 0.0975, respectively. The structures consist of six-coordinate [M(CH3COO)(2)(L)] (L = 2,9-diaminophenanthroline or 6,6'-diaminobipyridine) discrete monomeric neutral species, although in the Cu(II) compound the elongation of two long Cu-O bonds, due to the Jahn-Teller effect, makes the metal essentially four-coordinate. In the Ni and Co compounds the acetate acts as a bidentate ligand. The diamino ligands are coordinated by the pyridine nitrogen atoms. The IR spectra of the complexes have been recorded and are discussed in relation to the crystal structure and the acetate coordination mode.</t>
  </si>
  <si>
    <t>rossi, massimo/C-8411-2012</t>
  </si>
  <si>
    <t>Rossi, Miriam/0000-0001-9609-474X; Canales Villalobos, Juan Carlos/0009-0006-3215-4997</t>
  </si>
  <si>
    <t>10.1080/00958970108022638</t>
  </si>
  <si>
    <t>WOS:000172387600005</t>
  </si>
  <si>
    <t>Escobar, G; Venegas, R; Ponce, I; Toro-Labbé, A; Zagal, JH; Recio, FJ; Muñoz-Becerra, K</t>
  </si>
  <si>
    <t>Escobar, Gonzalo; Venegas, Ricardo; Ponce, Ingrid; Toro-Labbe, Alejandro; Zagal, Jose H.; Recio, F. Javier; Munoz-Becerra, Karina</t>
  </si>
  <si>
    <t>Elucidating the electronic synergetic effects in heteroatomic doped FeN4-C-N-R (R= -F, -Cl, -Br) oxygen reduction catalysts</t>
  </si>
  <si>
    <t>The structural and electronic characteristics of FeN4 are the determining factors in the catalytic performance of heat-treated Fe-N-C materials, as they serve as active sites. The insertion of heteroatoms as co-dopants (B, S, halogens) can induce electronic effects in the carbon matrix that improves their ORR catalytic activity. Therefore, it has become essential to combine experimental studies with DFT approaches to rationally design this type of catalyst. In this work, we evaluated by means of first principle DFT approaches, the ORR activity for the Fe (phen)2N2 moiety including atoms/functionalities with different atomic radii and electronegativity, to resemble co-doped Fe-N-C-R catalysts. The results showed that the inclusion of halogens heteroatoms (-F, -Cl, and -Br) in the graphitic N-C surrounding the FeN4 core could improve its ORR activity in terms of Fe-O2 binding energy that is related to the Fe(III)/Fe(II) formal potential and, in consequence, with the on-set potential for the ORR. The high expected ORR activity is obtained for bromide co-doped FeN4 catalyst (FeN4-C-Br) since -Br atoms act synergistically, inducing long- and short-range electronic effects over both the FeN4 unit and N-pyridinic-like functions that change the electronic distribution over the aromatic N-C structure modulating the Fe acidity, FeO2 binding, and Fe-O2 orbital interaction.</t>
  </si>
  <si>
    <t>Toro-Labbé, Alejandro/ABD-9107-2020; Recio, Javier/GVU-5031-2022; Muñoz-Becerra, Karina/GPP-1386-2022; zagal, jose/L-9648-2014; Venegas, Ricardo/U-6376-2019; Ponce, Ingrid/L-9679-2014; Toro-Labbe, Alejandro/J-5026-2013</t>
  </si>
  <si>
    <t>Ponce Hormazabal, Ingrid/0000-0002-3896-9576; Zagal, Jose/0000-0002-5276-1042; Toro-Labbe, Alejandro/0000-0001-9906-2153; Venegas, Ricardo/0000-0001-7440-484X; Munoz-Becerra, Karina/0000-0001-9882-6342</t>
  </si>
  <si>
    <t>OCT 20</t>
  </si>
  <si>
    <t>10.1016/j.electacta.2023.143060</t>
  </si>
  <si>
    <t>AUG 2023</t>
  </si>
  <si>
    <t>WOS:001065180200001</t>
  </si>
  <si>
    <t>Kessi-Pérez, EI; Acuña, E; Bastías, C; Fundora, L; Villalobos-Cid, M; Romero, A; Khaiwal, S; De Chiara, M; Liti, G; Salinas, F; Martíinez, C</t>
  </si>
  <si>
    <t>Kessi-Perez, Eduardo I.; Acuna, Eric; Bastias, Camila; Fundora, Leyanis; Villalobos-Cid, Manuel; Romero, Andres; Khaiwal, Sakshi; De Chiara, Matteo; Liti, Gianni; Salinas, Francisco; Martinez, Claudio</t>
  </si>
  <si>
    <t>Single nucleotide polymorphisms associated with wine fermentation and adaptation to nitrogen limitation in wild and domesticated yeast strains</t>
  </si>
  <si>
    <t>For more than 20 years, Saccharomyces cerevisiae has served as a model organism for genetic studies and molecular biology, as well as a platform for biotechnology (e.g., wine production). One of the important ecological niches of this yeast that has been extensively studied is wine fermentation, a complex microbiological process in which S. cerevisiae faces various stresses such as limited availability of nitrogen. Nitrogen deficiencies in grape juice impair fermentation rate and yeast biomass production, leading to sluggish or stuck fermentations, resulting in considerable economic losses for the wine industry. In the present work, we took advantage of the 1002 Yeast Genomes Project population, the most complete catalogue of the genetic variation in the species and a powerful resource for genotype-phenotype correlations, to study the adaptation to nitrogen limitation in wild and domesticated yeast strains in the context of wine fermentation. We found that wild and domesticated yeast strains have different adaptations to nitrogen limitation, corroborating their different evolutionary trajectories. Using a combination of state-of-the-art bioinformatic (GWAS) and molecular biology (CRISPR-Cas9) methodologies, we validated that PNP1, RRT5 and PDR12 are implicated in wine fermentation, where RRT5 and PDR12 are also involved in yeast adaptation to nitrogen limitation. In addition, we validated SNPs in these genes leading to differences in fermentative capacities and adaptation to nitrogen limitation. Altogether, the mapped genetic variants have potential applications for the genetic improvement of industrial yeast strains.</t>
  </si>
  <si>
    <t>Liti, Gianni/I-9929-2014; bastias, camila/LIG-8607-2024; Kessi, Eduardo/AAI-2566-2019; Villalobos-Cid, Manuel/AFK-0866-2022; Salinas, Francisco/W-3269-2017</t>
  </si>
  <si>
    <t>Salinas, Francisco/0000-0002-8391-8145; Khaiwal, Sakshi/0000-0001-5519-7275; Kessi, Eduardo/0000-0003-4225-9486; De Chiara, Matteo/0000-0003-1014-350X; Villalobos-Cid, Manuel/0000-0002-1145-2016</t>
  </si>
  <si>
    <t>10.1186/s40659-023-00453-2</t>
  </si>
  <si>
    <t>WOS:001037446700001</t>
  </si>
  <si>
    <t>Reyes, R; Ruz, O; Bayona-Roa, C; Castillo, E; Tello, A</t>
  </si>
  <si>
    <t>Reyes, R.; Ruz, O.; Bayona-Roa, C.; Castillo, E.; Tello, A.</t>
  </si>
  <si>
    <t>Reduced order modeling for parametrized generalized Newtonian fluid flows</t>
  </si>
  <si>
    <t>JOURNAL OF COMPUTATIONAL PHYSICS</t>
  </si>
  <si>
    <t>Non-Newtonian fluids are present in most manufacturing industry processes. Computa-tional models used to describe the rheological behavior of such materials can be costly due to the non-linear behavior of the viscosity. This work presents a parametrized projection -based model reduction approach to address time-dependent generalized Newtonian fluids in a computational framework. We develop our discrete formulation using three ingredients: an offline-online setting for the model reduction based on a proper orthogonal and Tucker decompositions, the finite element method for the discretization of the spatial domain and finite differences for the temporal integration, and the variational multiscale approach as a stabilization technique for both the full and reduced order models. We also evaluate the reduced method with some numerical tests, where the first part involves testing the accuracy of the model reduction method for time as a single parameter of the dynamic reduced problem. The second part involves the solution of parametrized time -dependent reduced problems with the Reynolds number and the power-law index of the fluid as the varying parameters. (c) 2023 Elsevier Inc. All rights reserved.</t>
  </si>
  <si>
    <t>Reyes, Ricardo/AAM-8497-2020</t>
  </si>
  <si>
    <t>Bayona Roa, Camilo/0000-0001-9508-1779; Reyes Sotomayor, Ricardo/0000-0003-0140-9564</t>
  </si>
  <si>
    <t>0021-9991</t>
  </si>
  <si>
    <t>1090-2716</t>
  </si>
  <si>
    <t>JUL 1</t>
  </si>
  <si>
    <t>10.1016/j.jcp.2023.112086</t>
  </si>
  <si>
    <t>MAR 2023</t>
  </si>
  <si>
    <t>WOS:000971378400001</t>
  </si>
  <si>
    <t>Valenzuela-Fernández, L; Guerra-Velásquez, M; Escobar-Farfán, M; García-Salirrosas, EE</t>
  </si>
  <si>
    <t>Valenzuela-Fernandez, Leslier; Guerra-Velasquez, Mauricio; Escobar-Farfan, Manuel; Emperatriz Garcia-Salirrosas, Elizabeth</t>
  </si>
  <si>
    <t>Influence of COVID-19 on Environmental Awareness, Sustainable Consumption, and Social Responsibility in Latin American Countries</t>
  </si>
  <si>
    <t>This article aims to investigate the effect that COVID-19 has on environmental awareness, sustainable consumption, and consumer social responsibility. Although some recent research focused on this phenomenon, there are still no studies applied to Latin American consumers. In this study, the data comes from 1624 responses from Latin American consumers who also represent different generations, equitably distributed in 400 from Chile (24.6%), 421 from Colombia (25.9%), 401 from Mexico (24.7%), and 402 from Peru (24.8%). Data were collected through self-administered questionnaires using an online survey via Google Forms through email and social networks (Facebook, LinkedIn, Instagram, and WhatsApp) from July 2021 to September 2021. This study uses a quantitative methodology using a structural equations model (SEM) to examine the cause-effect relationships of the explanatory model of this study. The main findings indicate that consumers from these countries declare that their behaviors have become ecologically and socially responsible. In addition, these respondents indicated that they had increased their interest in sustainable consumption and in acquiring environmentally friendly products to reduce waste and negative impacts on the environment derived from consumption. Based on the results, this research provides useful information to change or re-direct the communication and strategies of governments, brands, organizations, and society to promote actions and behaviors that help reduce the negative impact on the environment derived from consumption in a Latin American market. Managerial implications are provided.</t>
  </si>
  <si>
    <t>Valenzuela-Fernández, Leslier/B-5486-2014; García-salirrosas, Elizabeth/JBJ-6862-2023; Escobar Farfán, Manuel/HJH-8388-2023</t>
  </si>
  <si>
    <t>Escobar-Farfan, Manuel/0000-0002-2975-7010; Garcia-Salirrosas, Elizabeth Emperatriz/0000-0003-4197-8438; Valenzuela Fernandez, Leslier Maureen/0000-0002-5817-1879</t>
  </si>
  <si>
    <t>10.3390/su141912754</t>
  </si>
  <si>
    <t>WOS:000867215700001</t>
  </si>
  <si>
    <t>Aguilera-Granja, F; Montejano-Carrizales, JM; Vogel, EE; Escrig, J</t>
  </si>
  <si>
    <t>Aguilera-Granja, F.; Montejano-Carrizales, J. M.; Vogel, E. E.; Escrig, Juan</t>
  </si>
  <si>
    <t>Hollow structures of TinOm systems with m ≈2n: A density functional theoretical study</t>
  </si>
  <si>
    <t>We performed density-functional-theoretical calculations of almost stoichiometric structures of hollow cages of TinOm systems with m approximate to 2n. We study the stability of TinOm hollow particles of different sizes and shapes for systems between 80 and 110 atoms using the binding energy as stability criterion. These cages could be useful in electrochemiluminescenece sensors, energy systems, encapsulation of beauty ingredients, and even in biomedical applications. Our results suggest the possible existence of such structures in a great variety of geometrical shapes with small binding energy differences among them, thus presenting a very dense spectrum of possible metastable configurations. Different initial seeds converge to the same final structures, which is also a signature for stability. These results are along the line of experiments in larger size systems, which demonstrate the feasibility of these structures without apparent size limitations.</t>
  </si>
  <si>
    <t>Aguilera-Granja, Faustino/B-3582-2009; Escrig, Juan/N-4304-2015</t>
  </si>
  <si>
    <t>Aguilera-Granja, Faustino/0000-0002-8925-3180; Vogel, Eugenio/0000-0002-1701-3030; Escrig, Juan/0000-0002-3958-8185</t>
  </si>
  <si>
    <t>10.1016/j.jpcs.2022.110646</t>
  </si>
  <si>
    <t>FEB 2022</t>
  </si>
  <si>
    <t>WOS:000777863100006</t>
  </si>
  <si>
    <t>Tortolini, C; Capecchi, E; Tasca, F; Pofi, R; Venneri, MA; Saladino, R; Antiochia, R</t>
  </si>
  <si>
    <t>Tortolini, Cristina; Capecchi, Eliana; Tasca, Federico; Pofi, Riccardo; Venneri, Mary Anna; Saladino, Raffaele; Antiochia, Riccarda</t>
  </si>
  <si>
    <t>Novel Nanoarchitectures Based on Lignin Nanoparticles for Electrochemical Eco-Friendly Biosensing Development</t>
  </si>
  <si>
    <t>Novel nanoarchitectures based on lignin nanoparticles (LNPs) were designed and realized for electrochemical eco-friendly biosensing development. Two types of lignin nanoparticles were utilized for the modification of a gold bare electrode, namely organosolv (OLNPs) and kraft lignin (KLNPs) nanoparticles, synthetized from a sulfur-free and a sulfur lignin, respectively. The electrochemical behavior of LNP-modified electrodes was studied using two electrochemical techniques, cyclic voltammetry (CV) and electrochemical impedance spectroscopy (EIS). Compared to the gold bare electrode, an evident decrease in the faradaic current and increase of the Delta E-p were observed in cyclic voltammograms. In addition, larger semicircles were registered in Nyquist plots. These results suggest a strong inhibition effect of the electron transfer reaction by LNPs layer, especially in the case of KLNPs. The modified electrodes, properly assembled with concanavalin A (ConA) and glucose oxidase (GOx), were successively tested as biosensing platforms for glucose, showing a sensitivity of (4.53 +/- 0.467) and (13.74 +/- 1.84) mu A mM(-1) cm(2) for Au/SAMCys/OLNPs/ConA/GOx and Au/KLNPs/ConA/GOx biosensors, respectively. Finally, different layers of the KNLPs/ConA/GOx-modified Au electrode were tested, and the three-layered Au(KNLPs/ConA/GOx)(3) showed the best analytical performance.</t>
  </si>
  <si>
    <t>Tasca, Federico/J-4134-2015; Pofi, Riccardo/AAE-2378-2020; Capecchi, Eliana/HNP-0343-2023</t>
  </si>
  <si>
    <t>ANTIOCHIA, RICCARDA/0000-0001-8990-8506; VENNERI, MARY ANNA/0000-0002-0687-8135; Capecchi, Eliana/0000-0002-5448-0658; Tasca, Federico/0000-0002-4111-4624; Saladino, Raffaele/0000-0002-4420-9063</t>
  </si>
  <si>
    <t>10.3390/nano11030718</t>
  </si>
  <si>
    <t>WOS:000633990200001</t>
  </si>
  <si>
    <t>Carreño, A; Páez-Hernández, D; Cantero-López, P; Zúñiga, C; Nevermann, J; Ramírez-Osorio, A; Gacitúa, M; Oyarzún, P; Sáez-Cortez, F; Polanco, R; Otero, C; Fuentes, JA</t>
  </si>
  <si>
    <t>Carreno, Alexander; Paez-Hernandez, Dayan; Cantero-Lopez, Plinio; Zuniga, Cesar; Nevermann, Jan; Ramirez-Osorio, Angelica; Gacitua, Manuel; Oyarzun, Poldie; Saez-Cortez, Felipe; Polanco, Ruben; Otero, Carolina; Fuentes, Juan A.</t>
  </si>
  <si>
    <t>Structural Characterization, DFT Calculation, NCI, Scan-Rate Analysis and Antifungal Activity againstBotrytis cinereaof (E)-2-{[(2-Aminopyridin-2-yl)imino]-methyl}-4,6-di-tert-butylphenol (Pyridine Schiff Base)</t>
  </si>
  <si>
    <t>Botrytis cinereais a ubiquitous necrotrophic filamentous fungal phytopathogen that lacks host specificity and can affect more than 1000 different plant species. In this work, we exploredL1[(E)-2-{[(2-aminopyridin-2-yl)imino]-methyl}-4,6-di-tert-butylphenol], a pyridine Schiff base harboring an intramolecular bond (IHB), regarding their antifungal activity againstBotrytis cinerea. Moreover, we present a full characterization of theL1by NMR and powder diffraction, as well as UV-vis, in the presence of previously untested different organic solvents. Complementary time-dependent density functional theory (TD-DFT) calculations were performed, and the noncovalent interaction (NCI) index was determined. Moreover, we obtained a scan-rate study on cyclic voltammetry ofL1. Finally, we tested the antifungal activity ofL1against two strains ofBotrytis cinerea(B05.10, a standard laboratory strain; and A1, a wild type strains isolated from Chilean blueberries). We found thatL1acts as an efficient antifungal agent againstBotrytis cinereaat 26 degrees C, even better than the commercial antifungal agent fenhexamid. Although the antifungal activity was also observed at 4 degrees C, the effect was less pronounced. These results show the high versatility of this kind of pyridine Schiff bases in biological applications.</t>
  </si>
  <si>
    <t>Carreno, Alexander/I-6374-2019; Páez-Hernández, Dayán/AAJ-3317-2020; Gacitua, Manuel/R-8868-2019</t>
  </si>
  <si>
    <t>Paez-Hernandez, Dayan/0000-0002-8163-1343; Gacitua, Manuel/0000-0003-0807-2677; Cantero-Lopez, Plinio/0000-0003-4090-9879; Carreno, Alexander/0000-0001-9733-8224; Zuniga, Cesar/0009-0004-8736-6861; Fuentes, Juan A./0000-0002-9374-0707</t>
  </si>
  <si>
    <t>10.3390/molecules25122741</t>
  </si>
  <si>
    <t>WOS:000554012500001</t>
  </si>
  <si>
    <t>Arunachalam, V; Avudaiappan, S; Chandrasekar, N; Flores, EIS</t>
  </si>
  <si>
    <t>Arunachalam, Vanuvamalai; Avudaiappan, Siva; Chandrasekar, Nivetha; Flores, Erick I. Saavedra</t>
  </si>
  <si>
    <t>Earthquake hazard estimation for road tunnel in Northwest Himalayas</t>
  </si>
  <si>
    <t>REVISTA DE LA CONSTRUCCION</t>
  </si>
  <si>
    <t>Seismic hazard assessment of earthquake prone terrain is estimated in numerous ways for civil underground structures such as tunnels which receives little attention on the seismic zones of the country. The resemblance of the past behaviour of earthquake is seen in the present seismotectonic block, and this is considered for this study. With this, the magnitudes of future earthquakes and its effects are predicted with Matlab software. In order to emphasize the need for carrying out a detailed Seismic Hazard analysis in underground openings, a proposed communication (road) tunnel project located in Kashmir Himalayas (GPS coordinates of Latitude 32.20 degrees to 37.20 degrees N, Longitude 72.50 degrees to 80.50 degrees E) one of the highest seismic zones of the Country (zone-V, BIS-2002) was taken up and the results reported in the paper. The paper incidentally has brought to light the need for carrying out such detailed seismic analyses in a routine manner for underground structures to be constructed in the country particularly in higher seismic zones, besides adumbrating structural support measures required for the various ground classes in the proposed road tunnel at Kashmir in response to seismic loading and also recommending retrofitting for other structures already in existence. A spin off the study is expected to be in the area of refining seismic zonation of the country and micro-zonation studies that are slated for the future.</t>
  </si>
  <si>
    <t>Flores, Erick/I-7646-2012; Avudaiappan, Siva/AAV-7579-2021; A, VANUVAMALAI/GSE-5442-2022</t>
  </si>
  <si>
    <t>AVUDAIAPPAN, SIVA/0000-0002-4289-4298</t>
  </si>
  <si>
    <t>0718-915X</t>
  </si>
  <si>
    <t>10.7764/RDLC.19.1.134-145</t>
  </si>
  <si>
    <t>WOS:000537097900012</t>
  </si>
  <si>
    <t>Villalobos-Cid, M; Salinas, F; Kessi-Perez, EI; De Chiara, M; Liti, G; Inostroza-Ponta, M; Martínez, C</t>
  </si>
  <si>
    <t>Villalobos-Cid, Manuel; Salinas, Francisco; Kessi-Perez, Eduardo, I; De Chiara, Matteo; Liti, Gianni; Inostroza-Ponta, Mario; Martinez, Claudio</t>
  </si>
  <si>
    <t>Comparison of Phylogenetic Tree Topologies for Nitrogen Associated Genes Partially Reconstruct the Evolutionary History of Saccharomyces cerevisiae</t>
  </si>
  <si>
    <t>MICROORGANISMS</t>
  </si>
  <si>
    <t>Massive sequencing projects executed in Saccharomyces cerevisiae have revealed in detail its population structure. The recent 1002 yeast genomes project has become the most complete catalogue of yeast genetic diversity and a powerful resource to analyse the evolutionary history of genes affecting specific phenotypes. In this work, we selected 22 nitrogen associated genes and analysed the sequence information from the 1011 strains of the 1002 yeast genomes project. We constructed a total evidence (TE) phylogenetic tree using concatenated information, which showed a 27% topology similarity with the reference (REF) tree of the 1002 yeast genomes project. We also generated individual phylogenetic trees for each gene and compared their topologies, identifying genes with similar topologies (suggesting a shared evolutionary history). Furthermore, we pruned the constructed phylogenetic trees to compare the REF tree topology versus the TE tree and the individual genes trees, considering each phylogenetic cluster/subcluster within the population, observing genes with cluster/subcluster topologies of high similarity to the REF tree. Finally, we used the pruned versions of the phylogenetic trees to compare four strains considered as representatives of S. cerevisiae clean lineages, observing for 15 genes that its cluster topologies match 100% the REF tree, supporting that these strains represent main lineages of yeast population. Altogether, our results showed the potential of tree topologies comparison for exploring the evolutionary history of a specific group of genes.</t>
  </si>
  <si>
    <t>Martinez, Claudio/MGS-9961-2025; Salinas, Francisco/AAP-9439-2020; Villalobos-Cid, Manuel/AFK-0866-2022; Kessi, Eduardo/AAI-2566-2019; Inostroza-Ponta, Mario/G-7548-2012; Liti, Gianni/I-9929-2014; Salinas, Francisco/W-3269-2017</t>
  </si>
  <si>
    <t>Liti, Gianni/0000-0002-2318-0775; Kessi, Eduardo/0000-0003-4225-9486; Martinez, Claudio/0000-0001-8564-9287; De Chiara, Matteo/0000-0003-1014-350X; Villalobos-Cid, Manuel/0000-0002-1145-2016; Inostroza-Ponta, Mario/0000-0003-1295-8972; Salinas, Francisco/0000-0002-8391-8145</t>
  </si>
  <si>
    <t>2076-2607</t>
  </si>
  <si>
    <t>10.3390/microorganisms8010032</t>
  </si>
  <si>
    <t>WOS:000514650700136</t>
  </si>
  <si>
    <t>Bedioui, F; Lair, V; Griveau, S; Ringuede, A; Zagal, JH; Cassir, M</t>
  </si>
  <si>
    <t>Bedioui, Fethi; Lair, Virginie; Griveau, Sophie; Ringuede, Armelle; Zagal, Jose H.; Cassir, Michel</t>
  </si>
  <si>
    <t>Electrochemical Behavior of Electrode Materials (Nickel and Stainless Steels) for Sudomotor Dysfunction Applications: A Review</t>
  </si>
  <si>
    <t>This is an overview of the electrochemical characterization of nickel and stainless steel (so-called SS) as electrodes in medical devices for the early diagnosis of small fiber neuropathy that originates from type-2 diabetes or cystic fibrosis. The electrical current responses obtained during the clinical tests are related to the amount of chloride present on the sweat. SS electrodes are now used to replace nickel because this later not only presents problems with chloride sensitivity but its contact with skin can cause possible allergic reactions for some patients. For the above reasons, several types of SS were studied. It was shown that some of them perform well and have lower costs than Ni electrodes. We discuss the state of the art of the electrochemical studies conducted with nickel and steels under physiological or biomimetic conditions and discuss the advantages of a particular steel over the others depending on the conditions, especially chloride concentration.</t>
  </si>
  <si>
    <t>Ringuede, Armelle/AAH-4478-2019; zagal, jose/L-9648-2014</t>
  </si>
  <si>
    <t>LAIR, Virginie/0000-0003-4438-6307</t>
  </si>
  <si>
    <t>10.1002/elan.201800439</t>
  </si>
  <si>
    <t>WOS:000450148200003</t>
  </si>
  <si>
    <t>Ramírez-Vélez, R; Correa-Bautista, JE; Mota, J; Garcia-Hermoso, A</t>
  </si>
  <si>
    <t>Ramirez-Velez, Robinson; Enrique Correa-Bautista, Jorge; Mota, Jorge; Garcia-Hermoso, Antonio</t>
  </si>
  <si>
    <t>Comparison of Different Maximal Oxygen Uptake Equations to Discriminate the Cardiometabolic Risk in Children and Adolescents</t>
  </si>
  <si>
    <t>JOURNAL OF PEDIATRICS</t>
  </si>
  <si>
    <t>Objective To determine the ability of 8 different maximal oxygen uptake (VO2max) equations to discriminate between low and high cardiometabolic risk, and to determine cardiorespiratory fitness (CRF) cutoffs associated with a more favorable cardiometabolic risk profile in Colombian children and adolescents. Study design In a cross-sectional study, CRF was estimated using the 20-m shuttle run test in 2870 schoolchildren (54.5% girls) from Bogota, Colombia. We computed a metabolic syndrome score (MetScore) as the sum of the age- and sex-standardized scores of waist circumference, triglycerides, high-density lipoprotein cholesterol, glucose, and systolic and diastolic blood pressure. Results Linear regression analyses showed that the Barnett et al (b) and Mahar equations were negatively associated with MetScore, showing the highest discriminatory accuracy for identifying the low/high cardiometabolic risk in both sexes and both age groups (9-12 years and 13-17 years). Conclusions We propose that the Barnett et al (b) equation for boys and girls, VO2max = 25.8 x (6.6 x G x 0.2 x (body mass + 3.2 x (final speed))), where G is gender (male = 0; female = 1), be used to classify youths at metabolic risk. The CRF cutoffs can serve as a quantitative marker of a healthier cardiovascular profile in Colombian children and adolescents.</t>
  </si>
  <si>
    <t>Correa-Bautista, Jorge Enrique/JDD-3131-2023; García-Hermoso, Antonio/ADU-2591-2022; Ramirez-Velez, Robinson/D-5311-2016; mota, jorge/B-2980-2013; Garcia-Hermoso, Antonio/P-1857-2017; Correa-Bautista, Jorge Enrique/N-2741-2015</t>
  </si>
  <si>
    <t>Ramirez-Velez, Robinson/0000-0003-3075-6960; mota, jorge/0000-0001-7571-9181; Garcia-Hermoso, Antonio/0000-0002-1397-7182; Castro-Reina, Andres/0000-0002-0607-5076; Correa-Bautista, Jorge Enrique/0000-0002-0646-2316</t>
  </si>
  <si>
    <t>0022-3476</t>
  </si>
  <si>
    <t>1097-6833</t>
  </si>
  <si>
    <t>10.1016/j.jpeds.2017.11.007</t>
  </si>
  <si>
    <t>WOS:000426440700032</t>
  </si>
  <si>
    <t>Ramírez-Vélez, R; Hernandez, A; Castro, K; Tordecilla-Sanders, A; González-Ruíz, K; Correa-Bautista, JE; Izquierdo, M; García-Hermoso, A</t>
  </si>
  <si>
    <t>Ramirez-Velez, Robinson; Hernandez, Alejandra; Castro, Karem; Tordecilla-Sanders, Alejandra; Gonzalez-Ruiz, Katherine; Enrique Correa-Bautista, Jorge; Izquierdo, Mikel; Garcia-Hermoso, Antonio</t>
  </si>
  <si>
    <t>High Intensity Interval- vs Resistance or Combined-Training for Improving Cardiometabolic Health in Overweight Adults (Cardiometabolic HIIT-RT Study): study protocol for a randomised controlled trial</t>
  </si>
  <si>
    <t>TRIALS</t>
  </si>
  <si>
    <t>Background: Although evidence shows the positive health effects of physical activity, most of the adult population in Colombia are sedentary. It is, therefore, important to implement strategies that generate changes in lifestyle behaviours. This protocol describes a study in which we will compare the effects of 12 weeks of high-intensity interval training (HIIT), resistance training (RT) or combined training (HIIT + RT) on the improvement of body composition, endothelial function, blood pressure, blood lipids, and cardiorespiratory fitness in a cohort of sedentary, overweight adults (aged 30-50 years). Methods/design: Sixty sedentary, overweight adults attending primary care in Bogota, Colombia will be included in a factorial randomised controlled trial. Participants will be randomly assigned to the following intervention groups: (1) non-exercise group: usual care with dietary support, (2) HIIT group: 4 x 4-min intervals at 85-95 % maximum heart rate (HRmax) (with the target zone maintained for at least 2 minutes), interspersed with a 4-min recovery period, at 65 % HRmax, (3) RT group: completing a resistance circuit (including upper and lower muscle groups) as many times as needed according to subject's weight until an expenditure of 500 kcal at 40-80 % of one-rep max (1RM) has been achieved, and (4) combined group: HIIT + RT. The primary end point for effectiveness is vascular function as measured by flow-mediated vasodilatation 1 week after the end of exercise training. Discussion: The results of this study will provide new information about the possible effect of the programme in improving the cardiometabolic health of overweight adults, making a more efficient use of an adult's resources over time. Trial registration: ClinicalTrials.gov ID: NCT02715063. Registered on 8 March 2016.</t>
  </si>
  <si>
    <t>García-Hermoso, Antonio/ADU-2591-2022; González-Ruíz, Katherine/CAA-4624-2022; Izquierdo, Mikel/A-4894-2010; Garcia-Hermoso, Antonio/P-1857-2017; Ramirez-Velez, Robinson/D-5311-2016; Correa-Bautista, Jorge Enrique/N-2741-2015; Tordecilla-Sanders, Alejandra/O-6276-2017</t>
  </si>
  <si>
    <t>Izquierdo, Mikel/0000-0002-1506-4272; Garcia-Hermoso, Antonio/0000-0002-1397-7182; Ramirez-Velez, Robinson/0000-0003-3075-6960; Gonzalez-Ruiz, Katherine/0000-0001-7518-0761; Correa-Bautista, Jorge Enrique/0000-0002-0646-2316; Tordecilla-Sanders, Alejandra/0000-0002-7461-8124</t>
  </si>
  <si>
    <t>1745-6215</t>
  </si>
  <si>
    <t>JUN 24</t>
  </si>
  <si>
    <t>10.1186/s13063-016-1422-1</t>
  </si>
  <si>
    <t>WOS:000378990900002</t>
  </si>
  <si>
    <t>García-Hermoso, A; Sánchez-López, M; Escalante, Y; Saavedra, JM; Martínez-Vizcaíno, V</t>
  </si>
  <si>
    <t>Garcia-Hermoso, Antonio; Sanchez-Lopez, Mairena; Escalante, Yolanda; Saavedra, Jose M.; Martinez-Vizcaino, Vicente</t>
  </si>
  <si>
    <t>Exercise-based interventions and C-reactive protein in overweight and obese youths: a meta-analysis of randomized controlled trials</t>
  </si>
  <si>
    <t>PEDIATRIC RESEARCH</t>
  </si>
  <si>
    <t>Background: One of the most commonly measured markers of inflammation in clinical settings is C-reactive protein (CRP). The purpose of this meta-analysis was to examine the evidence for the effectiveness of physical exercise interventions on modifying the levels of serum CRP in children and adolescents with excess of weight. Methods: Two independent reviewers assessed articles from seven databases. Studies were limited to physical exercise interventions in children and adolescents diagnosed as overweight or obese, and including a comparison control group. Weighted mean difference (WMD) was calculated using random-effects model and potential moderators were explored (i.e., weight status, ages, duration of study, frequency of exercise per week, and duration of session). The heterogeneity of the studies was estimated using Cochran's Q-statistic and I-2. Results: Nine randomized controlled trials met the inclusion criteria (n = 427 youths). Overall, results suggest a nonsignificant trend toward a reduction CRP levels (WMD = -0.72 mg/l; 95% confidence interval: -1.52 to 0.08; P = 0.077). Also, there were not significant moderators of exercise effects on CRP. Conclusion: These results suggest that exercise programs in children and adolescents not mitigate the inflammatory effects of excess weight, although there was a trend toward reduction.</t>
  </si>
  <si>
    <t>García-Hermoso, Antonio/ADU-2591-2022; SANCHEZ-LOPEZ, MAIRENA/J-7933-2016; Saavedra, Jose/C-2490-2011; VIZCAINO, VICENTE/R-4336-2017; Garcia-Hermoso, Antonio/P-1857-2017</t>
  </si>
  <si>
    <t>Garcia-Hermoso, Antonio/0000-0002-1397-7182; Sanchez Lopez, Mairena/0000-0002-0217-0623</t>
  </si>
  <si>
    <t>0031-3998</t>
  </si>
  <si>
    <t>1530-0447</t>
  </si>
  <si>
    <t>10.1038/pr.2015.274</t>
  </si>
  <si>
    <t>WOS:000374380400002</t>
  </si>
  <si>
    <t>Palma, P; Calderón, R; Godoy, M; Rubio, MA</t>
  </si>
  <si>
    <t>Palma, Paulina; Calderon, Raul; Godoy, Marcelo; Rubio, Maria A.</t>
  </si>
  <si>
    <t>Comparative study of two analytical methods to the determination of boron in leachate samples from sanitary landfills and groundwater for routine analysis and feasible on-site environmental monitoring</t>
  </si>
  <si>
    <t>INTERNATIONAL JOURNAL OF ENVIRONMENTAL ANALYTICAL CHEMISTRY</t>
  </si>
  <si>
    <t>Two analytical methods as inductively coupled plasma optical emission spectrometry (inductively coupled plasma optical emission spectroscopy (ICP-OES)) and azomethine-H UV-Vis-based method were compared statistically, to evaluate their analytical characteristics and applicability to the determination of boron in leachates (complex matrix) from sanitary landfills (SLs) and groundwater (simple matrix) from different sampling points near SLs. Calibration curves and standard addition methods were used for this purpose. Azomethine-H UV-Vis-based procedure has proven better precision and accuracy than ICP-OES. However, statistical analysis (F-test and t-test) does not show significant differences between these two methods, achieving concentration range of up to 10mgL(-1) of the boron in both simple and complex matrices. Due to low cost and gentle-to-operate easy-accessible system, the azomethine-H UV-Vis-based method was therefore proposed (rather than ICP-OES) for routine analysis and for feasible on-site monitoring of boron in SLs, with respect to satisfy Chilean Standard 409 (NCh409) related to drinking water policy.</t>
  </si>
  <si>
    <t>Godoy-Zamorano, Marcelo/HZL-3230-2023; Calderon, Raul/AAP-5930-2020; Bajo, Maria/ABF-6991-2020</t>
  </si>
  <si>
    <t>Palma, Paulina/0000-0001-9156-6269; Calderon Araya, Raul Alexis/0000-0002-1094-9661</t>
  </si>
  <si>
    <t>0306-7319</t>
  </si>
  <si>
    <t>1029-0397</t>
  </si>
  <si>
    <t>10.1080/03067319.2016.1180376</t>
  </si>
  <si>
    <t>WOS:000377032800002</t>
  </si>
  <si>
    <t>Yáñez, M; Matsuhiro, B; Nuñez, C; Pan, SB; Hubbell, CA; Sannigrahi, P; Ragauskas, AJ</t>
  </si>
  <si>
    <t>Yanez-S, Mauricio; Matsuhiro, Betty; Nunez, Carolina; Pan, Shaobo; Hubbell, Christopher A.; Sannigrahi, Poulomi; Ragauskas, Arthur J.</t>
  </si>
  <si>
    <t>Physicochemical characterization of ethanol organosolv lignin (EOL) from Eucalyptus globulus: Effect of extraction conditions on the molecular structure</t>
  </si>
  <si>
    <t>POLYMER DEGRADATION AND STABILITY</t>
  </si>
  <si>
    <t>The aim of the present study was to investigate the effect of extraction conditions, mainly severity factor (H-factor = 3980-14,500) on the molecular structure of ethanol organosolv lignins extracted from Eucalyptus globulus. Isolated lignins were structurally characterized by H-1 NMR, P-31 NMR, UV-Vis, FT-IR spectroscopy and gel permeation chromatography. The results showed that an increase in the severity of the pretreatment decreased the molecular weight of the lignins within a 36-56% range with respect to the untreated lignin (MWL). Moreover, the increase in severity of the organosolv treatment was accompanied by strong decrease in the content of aliphatic hydroxyl groups and by an increase of syringyl phenolic units and condensed phenolic structures. The condensed phenolic structures quantified in the organosolv lignin correspond to resinol, phenylcoumaran, dibenzodioxocin, spirodienone and beta-1 ' linkages. (C) 2014 Elsevier Ltd. All rights reserved.</t>
  </si>
  <si>
    <t>Ragauskas, Arthur/J-7486-2016</t>
  </si>
  <si>
    <t>Ragauskas, Arthur/0000-0002-3536-554X</t>
  </si>
  <si>
    <t>0141-3910</t>
  </si>
  <si>
    <t>1873-2321</t>
  </si>
  <si>
    <t>10.1016/j.polymdegradstab.2014.08.026</t>
  </si>
  <si>
    <t>WOS:000347495700022</t>
  </si>
  <si>
    <t>Akyildiz, FT; Siginer, DA; Vajravelu, K; Van Gorder, RA</t>
  </si>
  <si>
    <t>Akyildiz, F. Talay; Siginer, Dennis A.; Vajravelu, K.; Van Gorder, Robert A.</t>
  </si>
  <si>
    <t>Natural convection heat transfer of a viscous fluid in a vertical porous channel</t>
  </si>
  <si>
    <t>JOURNAL OF ENGINEERING MATHEMATICS</t>
  </si>
  <si>
    <t>Approximate analytic solutions to second-order nonlinear systems arising in natural convection flow and heat transfer in vertical porous channels are obtained via the Galerkin-Legendre Spectral Method. Furthermore, existence, uniqueness, and concavity results are established using Green's functions and degree theory. We find that an increase in either the Darcy number or the quadratic density temperature variation results in an increase in the velocity and the temperature of a Newtonian fluid. Finally, parametric zones for the occurrence of reverse flow are considered, and the resulting influences on the obtained approximate solutions are analyzed.</t>
  </si>
  <si>
    <t>Akyildiz, Fahir/JWG-1446-2024; Akyildiz, Fahir/N-4520-2013</t>
  </si>
  <si>
    <t>Van Gorder, Robert/0000-0002-8506-3961</t>
  </si>
  <si>
    <t>0022-0833</t>
  </si>
  <si>
    <t>1573-2703</t>
  </si>
  <si>
    <t>10.1007/s10665-011-9489-x</t>
  </si>
  <si>
    <t>WOS:000304104400006</t>
  </si>
  <si>
    <t>Castro, SA; Badano, E; Guzman, D; Cavieres, L</t>
  </si>
  <si>
    <t>Castro, Sergio A.; Badano, Ernesto; Guzman, Daniela; Cavieres, Lohengrin</t>
  </si>
  <si>
    <t>Biological invasion of a refuge habitat: Anthriscus caucalis (Apiaceae) decreases diversity, evenness, and survival of native herbs in the Chilean matorral</t>
  </si>
  <si>
    <t>BIOLOGICAL INVASIONS</t>
  </si>
  <si>
    <t>In central Chile, the bur beak chervil (Anthriscus caucalis M. Bieb.; Apiaceae) is an annual naturalized herb introduced from Europe at least 120 years ago. Anthriscus is distributed in vegetation formations such as sclerophyllous shrublands (locally known as matorral) and spiny savannas of Acacia caven (locally known as espinal). In matorral formations, Anthriscus grows at the edge of native woody fragments. Because these fragments are refuges where native herbs recruit, we studied the impact of Anthriscus on the diversity and survival of native forbs established in these sheltering microsites. First, we characterized the spatial distribution of Anthriscus in the matorral, sampling in different micro-habitat types. We differentiated three microhabitat types: under the canopy of a fragment, at the edge of the canopy of a fragment, and in open sites outside the fragments. A total of 40 1 x 1 m quadrates were randomly distributed in each habitat type. Inside each of them, we recorded the number of seedlings and established plants, including Anthriscus. Then we evaluated experimentally the effect of Anthriscus on diversity and evenness of the local herb assemblages. For this purpose we conducted a field trial using 34 metallic enclosures (0.5 x 0.5 m) arranged in pairs. In each pair, Anthriscus individuals were removed from one plot, the other paired plot acting as control. We periodically recorded the presence and abundance of the remanent species of herbs inside the plots, and then we characterized the species diversity and evenness over time (Shannon's index, H' and Pielou's index, J'). Finally, in a second experiment we measured experimentally the presence or absence of Anthriscus against the survival of four native herb species (Bowlesia incana, Bromus berteroanus, Pectocarya linearis, and Moscharia pinnatifida). Here we used 20 0.5 x 0.5 m plots where we randomly transplanted seedlings of native herbs and Arnthiscus. Then, for each species and plot we determined their survival (%) according to the number of seedlings initially transplanted. The samplings show strong association between the presence of Anthriscus on edge habitat in the matorral. The maximum densities were noted in these microhabitat types whereas in open areas and under-fragment sites Anthriscus shows very low or null densities. At the end of the first trials, the plots with Anthriscus showed a Shannon diversity index H' = 0.41 (+/- 0.11 SE), while in plots without Anthriscus this value was 1.19 (+/- 0.1 SE), both as averages. Pielou's evenness index (J') yielded values of 0.23 (+/- 0.06 SE) and 0.59 (+/- 0.04 SE) for treatments with and without Anthriscus, respectively. Similarly, the second trials shows that the survival of the four native herbs was drastically decreased in the presence of Anthriscus: by 64% for Bowlesia incana, 43% for Bromus berteroanus, 46% for Moscharia pinnatifida, and 76% for Pectocaria linearis. Our study shows that the effects of Anthriscus include an inhibition of the establishment of native plants and a decrease in their survival in edge habitats, therefore affecting the composition and diversity of the local herb layer. Thus, Anthriscus is invading a refuge habitat for native herbs in the Chilean matorral, decreasing the native herb diversity and survival.</t>
  </si>
  <si>
    <t>Badano, Ernesto/C-3585-2013; Cavieres, Lohengrin/A-9542-2010</t>
  </si>
  <si>
    <t>Cavieres, Lohengrin/0000-0001-9122-3020; Badano, Ernesto Ivan/0000-0002-9591-0984</t>
  </si>
  <si>
    <t>1387-3547</t>
  </si>
  <si>
    <t>1573-1464</t>
  </si>
  <si>
    <t>10.1007/s10530-009-9547-8</t>
  </si>
  <si>
    <t>WOS:000276509400030</t>
  </si>
  <si>
    <t>Damiani, A; Storini, M; Santee, ML; Wang, S</t>
  </si>
  <si>
    <t>Damiani, A.; Storini, M.; Santee, M. L.; Wang, S.</t>
  </si>
  <si>
    <t>Variability of the nighttime OH layer and mesospheric ozone at high latitudes during northern winter: influence of meteorology</t>
  </si>
  <si>
    <t>ATMOSPHERIC CHEMISTRY AND PHYSICS</t>
  </si>
  <si>
    <t>Analyses of OH zonal means, recorded at boreal high latitudes by the Aura Microwave Limb Sounder (MLS) in winters of 2005-2009, have shown medium- (weeks) and short- (days) term variability of the nighttime OH layer. Because of the exceptional descent of air from the mesosphere-lower thermosphere (MLT) region, medium-term variability occurred during February 2006 and February/ March 2009. The layer normally situated at about 82 km descended by about 5-7 km, and its density increased to more than twice January values. In these periods and location the abundance of the lowered OH layer is comparable to the OH values induced by Solar Energetic Particle (SEP) forcing (e. g., SEP events of January 2005) at the same altitudes. In both years, the descent of the OH layer was coupled with increased mesospheric temperatures, elevated carbon monoxide and an almost complete disappearance of ozone at the altitude of the descended layer (which was not observed in other years). Moreover, under these exceptional atmospheric conditions, the third ozone peak, normally at about 72 km, is shown to descend about 5 km to lower altitude and increase in magnitude, with maximum values recorded during February 2009. Short-term variability occurred during Sudden Stratospheric Warming (SSW) events, in particular in January 2006, February 2008 and January 2009, when dynamics led to a smaller abundance of the OH layer at its typical altitude. During these periods, there was an upward displacement of the OH layer coupled to changes in ozone and carbon monoxide. These perturbations were the strongest during the SSW of January 2009; coincident upper mesospheric temperatures were the lowest recorded over the late winters of 2005-2009. Finally, the series of SSW events that occurred in late January/February 2008 induced noticeable short-term variability in ozone at altitudes of both the ozone minimum and the third ozone peak. These phenomena, confined inside the polar vortex, are an additional tool that can be used to investigate mesospheric vortex dynamics.</t>
  </si>
  <si>
    <t>Santee, MIchelle/R-5762-2019; Damiani, Alessandro/X-4677-2019</t>
  </si>
  <si>
    <t>Damiani, Alessandro/0000-0003-3014-6193</t>
  </si>
  <si>
    <t>1680-7316</t>
  </si>
  <si>
    <t>1680-7324</t>
  </si>
  <si>
    <t>10.5194/acp-10-10291-2010</t>
  </si>
  <si>
    <t>WOS:000284210400009</t>
  </si>
  <si>
    <t>Antonova, EE; Kirpichev, IP; Ovchinnikov, IL; Orlova, KG; Stepanova, MV</t>
  </si>
  <si>
    <t>Antonova, E. E.; Kirpichev, I. P.; Ovchinnikov, I. L.; Orlova, K. G.; Stepanova, M. V.</t>
  </si>
  <si>
    <t>High latitude magnetospheric topology and magnetospheric substorm</t>
  </si>
  <si>
    <t>ANNALES GEOPHYSICAE</t>
  </si>
  <si>
    <t>This study is focused on the problem of the localization of substorm expansion onset. In this context, the high latitude topology of transverse magnetospheric currents has been analyzed. This study has included the radial distribution of plasma pressure near noon, obtained using the THEMIS-B satellite data, the daytime compression of magnetic field lines and the existence of magnetic field minima far from the equatorial plane, given by all geomagnetic field models. As a result, the dayside integral transverse currents at the geocentric distances 7-10 R-E has been estimated. It is suggested, that nightside transverse currents at geocentric distances similar to 7-10 R-E are closed inside the magnetosphere and with dayside transverse currents form surrounding the Earth current system (cut ring current or CRC) which topologically is the high latitude continuation of ordinary ring current. A possibility of localization of substorm expansion onset at the nighside CRC region is analyzed using the experimental evidences that the onset is localized at geocentric distances &lt;10 R-E.</t>
  </si>
  <si>
    <t>Kirpichev, Igor/HHM-2487-2022; Stepanova, Marina/D-6329-2011; Antonova, Elizaveta/A-2716-2012; Ovchinnikov, Ilya/B-1467-2014</t>
  </si>
  <si>
    <t>Stepanova, Marina/0000-0002-1053-3375; Antonova, Elizaveta/0000-0001-6980-3993; Ovchinnikov, Ilya/0000-0003-2509-8166</t>
  </si>
  <si>
    <t>0992-7689</t>
  </si>
  <si>
    <t>1432-0576</t>
  </si>
  <si>
    <t>10.5194/angeo-27-4069-2009</t>
  </si>
  <si>
    <t>WOS:000271356500031</t>
  </si>
  <si>
    <t>López, CE; Romero, G; Lastra, F; Solano, E; Retamal, JC</t>
  </si>
  <si>
    <t>Lopez, C. E.; Romero, G.; Lastra, F.; Solano, E.; Retamal, J. C.</t>
  </si>
  <si>
    <t>Sudden birth versus sudden death of entanglement in multipartite systems</t>
  </si>
  <si>
    <t>We study the entanglement dynamics of two cavities interacting with independent reservoirs. Expectedly, as the cavity entanglement is depleted, it is transferred to the reservoir degrees of freedom. We find also that when the cavity entanglement suddenly disappears, the reservoir entanglement suddenly and necessarily appears. Surprisingly, we show that this entanglement sudden birth can manifest before, simultaneously, or even after entanglement sudden death. Finally, we present an explanatory study of other entanglement partitions and of higher dimensional systems.</t>
  </si>
  <si>
    <t>Solano, Enrique/C-2895-2017; Retamal, Juan/G-6425-2010; López, Carlos/B-8456-2009; Romero, Guillermo/C-8245-2009; Romero, Guillermo/C-8245-2009</t>
  </si>
  <si>
    <t>SOLANO VILLANUEVA, ENRIQUE LEONIDAS/0000-0002-8602-1181; Romero, Guillermo/0000-0003-2917-7814; Romero, Guillermo/0000-0003-4366-4950; Retamal Abarzua, Juan Carlos/0000-0002-7174-7879</t>
  </si>
  <si>
    <t>AUG 22</t>
  </si>
  <si>
    <t>10.1103/PhysRevLett.101.080503</t>
  </si>
  <si>
    <t>WOS:000258643600006</t>
  </si>
  <si>
    <t>Pazos, F; Valle, A; Martínez, D; Ramírez, A; Calderón, L; Pupo, A; Tejuca, M; Morera, V; Campos, J; Fando, R; Dyszy, F; Schreier, S; Horjales, E; Alvarez, C; Lanio, ME; Lissi, E</t>
  </si>
  <si>
    <t>Pazos, F.; Valle, A.; Martinez, D.; Ramirez, A.; Calderon, L.; Pupo, A.; Tejuca, M.; Morera, V.; Campos, J.; Fando, R.; Dyszy, F.; Schreier, S.; Horjales, E.; Alvarez, C.; Lanio, M. E.; Lissi, E.</t>
  </si>
  <si>
    <t>Structural and functional characterization of a recombinant sticholysin I (rSt I) from the sea anemone Stichodactyla helianthus</t>
  </si>
  <si>
    <t>TOXICON</t>
  </si>
  <si>
    <t>Sticholysins I and II (Sts I and II) are two potent cytolysins from the sea anemone Stichodactyla helianthus. These isoforms present 13 substitutions, with three non-conservative located at the N-terminus. St II is considerably more hemolytic than St I in human red blood cells, a result explained by the smaller number of negatively charged groups present at St II's N-terminus. In the present work, we have obtained a recombinant St I (rSt I), differing from the wild type in a single amino acid residue (E16Q). This pseudo-wild type is structurally similar to St I and shows a similar capacity to interact with and form pores in model membranes. This was assessed by the intrinsic fluorescence increase in the presence of liposomes, their adsorption to bilayers (measured by SPR), their concentration at the air-water interface, their interaction with lipid monolayers and their capacity to promote the release of carboxyfluorescein entrapped in liposomes. In spite of these similarities, rSt I presents a larger hemolytic activity in human red blood cells than St 1, being intermediate in activity between Sts I and II. The results obtained in the present work emphasize that even the change of one single E by Q at the N-terminal segment may modify the toxin HA and show that this functional property is the most sensitive to subtle changes in the protein primary structure. (c) 2006 Elsevier Ltd. All rights reserved.</t>
  </si>
  <si>
    <t>Campos, Javier/JXY-2807-2024; Dyszy, Fábio/F-6782-2012; Garay, Aisel/O-7528-2019; Schreier, Shirley/F-7001-2014</t>
  </si>
  <si>
    <t>Ramirez Ramirez, Angel Rafael/0009-0001-4216-5925; Campos-Gomez, Javier/0000-0002-2693-0885; Morera, Vivian/0000-0003-3026-9716; Pupo, Amaury/0000-0001-9162-9952; Fabiola, Isabel/0000-0002-9502-2186; Calderon, Lesly/0000-0001-5253-7369</t>
  </si>
  <si>
    <t>0041-0101</t>
  </si>
  <si>
    <t>DEC 15</t>
  </si>
  <si>
    <t>10.1016/j.toxicon.2006.09.004</t>
  </si>
  <si>
    <t>WOS:000242987700017</t>
  </si>
  <si>
    <t>Latorre, M; Silva, H; Saba, J; Guziolowski, C; Vizoso, P; Martinez, V; Maldonado, J; Morales, A; Caroca, R; Cambiazo, V; Campos-Vargas, R; Gonzalez, M; Orellana, A; Retamales, J; Meisel, LA</t>
  </si>
  <si>
    <t>Latorre, Mariano; Silva, Herman; Saba, Juan; Guziolowski, Carito; Vizoso, Paula; Martinez, Veronica; Maldonado, Jonathan; Morales, Andrea; Caroca, Rodrigo; Cambiazo, Veronica; Campos-Vargas, Reinaldo; Gonzalez, Mauricio; Orellana, Ariel; Retamales, Julio; Meisel, Lee A.</t>
  </si>
  <si>
    <t>JUICE: a data management system that facilitates the analysis of large volumes of information in an EST project workflow</t>
  </si>
  <si>
    <t>BMC BIOINFORMATICS</t>
  </si>
  <si>
    <t>Background: Expressed sequence tag ( EST) analyses provide a rapid and economical means to identify candidate genes that may be involved in a particular biological process. These ESTs are useful in many Functional Genomics studies. However, the large quantity and complexity of the data generated during an EST sequencing project can make the analysis of this information a daunting task. Results: In an attempt to make this task friendlier, we have developed JUICE, an open source data management system (Apache + PHP + MySQL on Linux), which enables the user to easily upload, organize, visualize and search the different types of data generated in an EST project pipeline. In contrast to other systems, the JUICE data management system allows a branched pipeline to be established, modified and expanded, during the course of an EST project. The web interfaces and tools in JUICE enable the users to visualize the information in a graphical, user-friendly manner. The user may browse or search for sequences and/or sequence information within all the branches of the pipeline. The user can search using terms associated with the sequence name, annotation or other characteristics stored in JUICE and associated with sequences or sequence groups. Groups of sequences can be created by the user, stored in a clipboard and/or downloaded for further analyses. Different user profiles restrict the access of each user depending upon their role in the project. The user may have access exclusively to visualize sequence information, access to annotate sequences and sequence information, or administrative access. Conclusion: JUICE is an open source data management system that has been developed to aid users in organizing and analyzing the large amount of data generated in an EST Project workflow. JUICE has been used in one of the first functional genomics projects in Chile, entitled Functional Genomics in nectarines: Platform to potentiate the competitiveness of Chile in fruit exportation. However, due to its ability to organize and visualize data from external pipelines, JUICE is a flexible data management system that should be useful for other EST/Genome projects. The JUICE data management system is released under the Open Source GNU Lesser General Public License (LGPL).</t>
  </si>
  <si>
    <t>Guziolowski, Carito/JLL-4952-2023; Caroca, Rodrigo/AAT-7175-2020; Cambiazo, Veronica/AAI-1133-2021; Gonzalez, Mauricio/I-2772-2013; Silva, Herman/C-7252-2012; Maldonado Soto, Jonathan Elias/J-6429-2012; Orellana, Ariel/E-2166-2014; Campos-Vargas, Reinaldo/M-4021-2016; Meisel, Lee/J-6755-2012</t>
  </si>
  <si>
    <t>Guziolowski, Carito/0000-0001-5192-0745; Caroca Caceres, Rodrigo Sebastian/0000-0002-1405-0872; Retamales, Julio/0000-0003-2918-7836; Silva, Herman/0000-0003-1007-7442; Maldonado Soto, Jonathan Elias/0000-0002-9967-0885; Orellana, Ariel/0000-0002-9243-808X; Campos-Vargas, Reinaldo/0000-0003-1987-4130; Meisel, Lee/0000-0002-4806-6864</t>
  </si>
  <si>
    <t>1471-2105</t>
  </si>
  <si>
    <t>NOV 23</t>
  </si>
  <si>
    <t>10.1186/1471-2105-7-513</t>
  </si>
  <si>
    <t>WOS:000242498800001</t>
  </si>
  <si>
    <t>Barahona, P; Bodenez, V; Guizouarn, T; Peña, O; Ortiz, J; Rios, E; Pastene, R; Gautier, JL</t>
  </si>
  <si>
    <t>Substitution effects on the magnetic properties of Ni(Me,Mn)2O4 and Li(Me,Mn)2O4:: Comparison between Me = Cr and Fe(#)</t>
  </si>
  <si>
    <t>Manganese oxides of spinel structure, based on nickel (NiMn2O4) or lithium (LiMn2O4), were studied by magnetic measurements. Manganese was partially substituted by either chromium or iron, showing substantial variations of the magnetic properties with respect to the non-substituted compounds. Chromium enhances the antiferromagnetic interactions in both NiMn2-xCrxO4 and LiMn2-xCrxO4, while iron enhances the ferromagnetic ones, increasing T-c well above room temperature in NiMn2-xFexO4 and LiMn2-xFexO4 (0 &lt;= x &lt;= 1). Titration analyses allowed LIS to estimate the Mnn+/Mnn+1 ratios in most cases, confirming the importance of the Mn3+-O-Mn4+ double-exchange ferromagnetism and the controlled-valence conduction mechanism in these materials.</t>
  </si>
  <si>
    <t>bodenez, vincent/C-1139-2008</t>
  </si>
  <si>
    <t>PASTENE OLIVARES, RUBEN/0000-0002-7137-0303; Barahona, Patricia/0000-0003-1491-7162</t>
  </si>
  <si>
    <t>WOS:000229785200011</t>
  </si>
  <si>
    <t>Guevara, C; Vicencio, SC; Pizarro, IS; Villavicencio-Tejo, F; Quintanilla, RA; Astudillo, P; Ampuero, E; Varas, R; Orellana, JA; Ortiz, FC</t>
  </si>
  <si>
    <t>Guevara, Coram; Vicencio, Sinay C.; Pizarro, Ignacio S.; Villavicencio-Tejo, Francisca; Quintanilla, Rodrigo A.; Astudillo, Pablo; Ampuero, Estibaliz; Varas, Rodrigo; Orellana, Juan A.; Ortiz, Fernando C.</t>
  </si>
  <si>
    <t>Evidence for TGF-β1/Nrf2 Signaling Crosstalk in a Cuprizone Model of Multiple Sclerosis</t>
  </si>
  <si>
    <t>Multiple sclerosis (MS) is a chronic and degenerative disease that impacts central nervous system (CNS) function. One of the major characteristics of the disease is the presence of regions lacking myelin and an oxidative and inflammatory environment. TGF-beta 1 and Nrf2 proteins play a fundamental role in different oxidative/inflammatory processes linked to neurodegenerative diseases such as MS. The evidence from different experimental settings has demonstrated a TGF-beta 1-Nrf2 signaling crosstalk under pathological conditions. However, this possibility has not been explored in experimental models of MS. Here, by using the cuprizone-induced demyelination model of MS, we report that the in vivo pharmacological blockage of the TGF-beta 1 receptor reduced Nrf2, catalase, and TGF beta-1 protein levels in the demyelination phase of cuprizone administration. In addition, ATP production, locomotor function and cognitive performance were diminished by the treatment. Altogether, our results provide evidence for a crosstalk between TGF-beta 1 and Nrf2 signaling pathways under CNS demyelination, highlighting the importance of the antioxidant cellular response of neurodegenerative diseases such as MS.</t>
  </si>
  <si>
    <t>Orellana, Juan/F-6148-2012; QUINTANILLA, RODRIGO/ABG-8829-2021</t>
  </si>
  <si>
    <t>Guevara, Coram/0000-0001-6341-8111</t>
  </si>
  <si>
    <t>10.3390/antiox13080914</t>
  </si>
  <si>
    <t>WOS:001305855000001</t>
  </si>
  <si>
    <t>Cerda, FMC; Goulas, C; Jones, D; Kamyabi, A; Hamre, D; Méndez, P; Wood, G</t>
  </si>
  <si>
    <t>Cerda, F. M. Castro; Goulas, C.; Jones, D.; Kamyabi, A.; Hamre, D.; Mendez, P.; Wood, G.</t>
  </si>
  <si>
    <t>Modelling the laser surface hardening process in a steel with a spheroidized initial microstructure</t>
  </si>
  <si>
    <t>JOURNAL OF MANUFACTURING PROCESSES</t>
  </si>
  <si>
    <t>A model for predicting hardness and case depth of the hardened layer is proposed, in which it is assumed that the austenite homogenization is concomitant with the dissolution of cementite. The impact of the initial microstructure on the case depth after laser surface heat-treatments is evaluated on three spheroidized hypoeutectoid steels of different carbon contents. Comparison with the experimental hardness measurements show excellent agreement. The model is also able to predict the kinetics of phase evolution during the rapid thermal cycles, allowing an accurate correlation with the microstructure. The results are also compared with an existing model. It is shown that the results of the present model are thermodynamically consistent, revealing discrepancies in the predictions of the latter.</t>
  </si>
  <si>
    <t>Goulas, Constantinos/N-5450-2019; Castro Cerda, Felipe Manuel/Q-2714-2016</t>
  </si>
  <si>
    <t>Goulas, Constantinos/0000-0003-4910-1761; Castro Cerda, Felipe Manuel/0000-0001-8126-5593</t>
  </si>
  <si>
    <t>1526-6125</t>
  </si>
  <si>
    <t>2212-4616</t>
  </si>
  <si>
    <t>SEP 15</t>
  </si>
  <si>
    <t>10.1016/j.jmapro.2024.07.052</t>
  </si>
  <si>
    <t>JUL 2024</t>
  </si>
  <si>
    <t>WOS:001279259800001</t>
  </si>
  <si>
    <t>Cárdenas, M; Michelson, S; Galleguillos, C; Vásquez-Martínez, Y; Martin, MCS</t>
  </si>
  <si>
    <t>Cardenas, Matias; Michelson, Sofia; Galleguillos, Claudia; Vasquez-Martinez, Yesseny; Martin, Marcelo Cortez-San</t>
  </si>
  <si>
    <t>Modulation of infectious Salmon Anaemia virus infection by clathrin-mediated endocytosis and macropinocytosis inhibitors</t>
  </si>
  <si>
    <t>RESEARCH IN VETERINARY SCIENCE</t>
  </si>
  <si>
    <t>Infectious salmon anaemia virus (ISAV) is a pathogen that causes disease and large mortality in farm-raised Salmo salar L., being considered as a major problem in the salmon industry. However, despite its relevance, there are still numerous knowledge gaps on virus entry and early stages of infection. Previous studies suggested that virus entry into cells occurs via endocytosis, with no description of specific mechanisms. However, it remains unknown if the endocytosis induced by ISAV is a clathrin-dependent or clathrin-independent process. This study aimed to identify cellular mechanisms allowing ISAV entry into Atlantic Salmon head kidney (ASK) cells. Our results showed that ISAV can be found in coated pits and membrane ruffles, the latter being induced by a rearrangement of actin filaments promoted by ISAV infection. Additionally, it was determined that ISAV stimulate the uptake of extracellular fluid in a multiplicity of infection (MOI)-dependent manner. When the clathrinmediated endocytic pathway was pharmacologically inhibited, ISAV infection was significantly reduced but not entirely inhibited. Similarly, when the Na+/H+ exchanger (NHE), a key component of macropinocytosis, was inhibited, ISAV infection was negatively affected. Our results suggest that ISAV enters cells via both clathrinmediated endocytosis and most likely macropinocytosis.</t>
  </si>
  <si>
    <t>Cardenas, Matias/0000-0001-8247-3669</t>
  </si>
  <si>
    <t>0034-5288</t>
  </si>
  <si>
    <t>1532-2661</t>
  </si>
  <si>
    <t>10.1016/j.rvsc.2024.105223</t>
  </si>
  <si>
    <t>WOS:001218465500001</t>
  </si>
  <si>
    <t>Jacobs-Capdeville, P; Kuang, SB; Gan, JQ; Yu, AB</t>
  </si>
  <si>
    <t>Jacobs-Capdeville, Patricio; Kuang, Shibo; Gan, Jieqing; Yu, Aibing</t>
  </si>
  <si>
    <t>Micromechanical analysis of granular dynamics and energy dissipation during hopper discharging of polydisperse particles</t>
  </si>
  <si>
    <t>POWDER TECHNOLOGY</t>
  </si>
  <si>
    <t>This paper presents a numerical study on the hopper discharging of widely polydisperse particles. It focuses on the effects of particle size distributions (PSDs) in the form of the log-normal distribution of the number (nPSD) and volume (vPSD) of particle constituents. In doing so, a recent GPU-DEM model suitable for large-scale sim-ulations is adopted. The numerical results show that the mass discharge rate reduces with increasing nPSD spread but becomes larger at a wider vPSD spread. The discharging process is analyzed in terms of packing density, coordination number, velocities, and force network. It is observed that the packing density equally increases for both PSDs as the spread grows, whereas the coordination of the mixture reduces. Thus, a negative correlation between coordination and packing density is consistently observed. With increasing nPSD spread, the particle vertical velocities drop significantly, which are nearly unchanged for wider vPSDs. The particle-scale analysis is also extended to energy dissipation. The analysis reveals that the effect of PSD on the mass discharge rate is mainly attributed to the relative importance of different energy dissipation mechanisms. Irrespective of PSD type, the friction energy dissipation decreases with widening PSD, which becomes more pronounced near the outlet. In contrast, as the spread becomes wider, the collision dissipation near the outlet turns more important for nPSD but decreases for vPSD. These results account for different trends of discharge rates with respect to PSD type.</t>
  </si>
  <si>
    <t>Yu, Aibing/JCE-0477-2023; Kuang, Shibo/H-4935-2013; Yu, Aibing/A-6054-2008</t>
  </si>
  <si>
    <t>Kuang, Shibo/0000-0002-2969-9420; Yu, Aibing/0000-0002-5139-0657</t>
  </si>
  <si>
    <t>0032-5910</t>
  </si>
  <si>
    <t>1873-328X</t>
  </si>
  <si>
    <t>10.1016/j.powtec.2023.118462</t>
  </si>
  <si>
    <t>WOS:000965265000001</t>
  </si>
  <si>
    <t>Alvarez-Arangua, S; Poblete, LA; Espoz-Lazo, S; Mella, MAS; Osses, BP; Pinoleo, JZ; Henríquez, CR; Rodríguez, CL; Ríos-Riquelme, M; Farías-Valenzuela, C</t>
  </si>
  <si>
    <t>Alvarez-Arangua, Sebastian; Poblete, Leonidas Arias; Espoz-Lazo, Sebastian; Mella, Mauricio Alejandro Silva; Osses, Ben-yamin Parada; Pinoleo, Jovina Zamora; Henriquez, Cristian Rubilar; Rodriguez, Catalina Lizana; Rios-Riquelme, Mario; Farias-Valenzuela, Claudio</t>
  </si>
  <si>
    <t>Effect of therapeutic exercise on joint range and strength in throwing athletes with dyskinesia. A systematic review</t>
  </si>
  <si>
    <t>SPORT TK-REVISTA EUROAMERICANA DE CIENCIAS DEL DEPORTE</t>
  </si>
  <si>
    <t>The aim of this study was to determine the effect of using therapeutic exercise (TE) on changes in the range of motion (ROM) and muscle strength (MS) in throwing athletes with scapular dyskinesis (SD). A systematic review was carried out in databases (Pubmed, Scopus, WoS, ScienceDirect) over the last five years, searching for randomized clinical trials, cohort studies, meta-analyses and concept reviews that met the inclusion, exclusion, and methodological quality criteria. A total of six articles related to throwing athletes with scapular dyskinesia were included. Favorable results were found within the interventions that included TE, which obtained a significant effect on the variables of ROM and muscle strength in throwing athletes. In conclusion, therapeutic stretching exercises are the most favorable and effective tool compared to any other type of intervention, having an effect on the MS and ROM of throwing athletes, thus helping their competitive performance.</t>
  </si>
  <si>
    <t>Espoz-Lazo, Sebastian/AAV-2358-2020; Arangua, Sebastian/AAQ-3480-2021</t>
  </si>
  <si>
    <t>2340-8812</t>
  </si>
  <si>
    <t>WOS:001143891900010</t>
  </si>
  <si>
    <t>Maldonado, S; López, J; Iturriaga, A</t>
  </si>
  <si>
    <t>Maldonado, Sebastian; Lopez, Julio; Iturriaga, Andres</t>
  </si>
  <si>
    <t>Out-of-time cross-validation strategies for classification in the presence of dataset shift</t>
  </si>
  <si>
    <t>APPLIED INTELLIGENCE</t>
  </si>
  <si>
    <t>Model selection is a highly important step in the process of extracting knowledge from datasets. This is usually done via partitioning strategies such as cross-validation in which the training and test subsets are selected randomly. However, it has been suggested in the literature that this is not the best approach in changing environments due to the risk of data obsolescence. This paper proposes novel out-of-time cross-validation mechanisms for model selection and evaluation designed for binary classification. Our approach extends the reasoning behind the rolling forecasting origin method for time-series analysis, providing an effective methodology for obtaining the prequential performance of a classifier on an out-of-time test sample. Our proposed method also includes a forgetting mechanism for identifying outdated samples that should be ignored in model training. Experiments on simulated and real-world datasets demonstrate the virtues of our approach in relation to various well-known validation strategies.</t>
  </si>
  <si>
    <t>Maldonado, Sebastián/GWZ-3261-2022</t>
  </si>
  <si>
    <t>Lopez, Julio/0000-0001-9138-5302; Maldonado, Sebastian/0000-0002-7124-0437; Iturriaga Jofre, Andres/0000-0001-5245-6016</t>
  </si>
  <si>
    <t>0924-669X</t>
  </si>
  <si>
    <t>1573-7497</t>
  </si>
  <si>
    <t>10.1007/s10489-021-02735-2</t>
  </si>
  <si>
    <t>AUG 2021</t>
  </si>
  <si>
    <t>WOS:000686993000001</t>
  </si>
  <si>
    <t>Ley, O; Topp, E; Yangari, M</t>
  </si>
  <si>
    <t>Ley, Olivier; Topp, Erwin; Yangari, Miguel</t>
  </si>
  <si>
    <t>SOME RESULTS FOR THE LARGE TIME BEHAVIOR OF HAMILTON-JACOBI EQUATIONS WITH CAPUTO TIME DERIVATIVE</t>
  </si>
  <si>
    <t>DISCRETE AND CONTINUOUS DYNAMICAL SYSTEMS</t>
  </si>
  <si>
    <t>We obtain some Holder regularity estimates for an Hamilton-Jacobi with fractional time derivative of order alpha is an element of (0, 1) cast by a Caputo derivative. The Holder seminorms are independent of time, which allows to investigate the large time behavior of the solutions. We focus on the Namah-Roquejoffre setting whose typical example is the Eikonal equation. Contrary to the classical time derivative case alpha = 1, the convergence of the solution on the so-called projected Aubry set, which is an important step to catch the large time behavior, is not straightforward. Indeed, a function with nonpositive Caputo derivative for all time does not necessarily converge; we provide such a counterexample. However, we establish partial results of convergence under some geometrical assumptions.</t>
  </si>
  <si>
    <t>Ley, Olivier/0009-0000-4579-3698; Yangari Sosa, Miguel Angel/0000-0002-9728-8447</t>
  </si>
  <si>
    <t>1078-0947</t>
  </si>
  <si>
    <t>1553-5231</t>
  </si>
  <si>
    <t>10.3934/dcds.2021007</t>
  </si>
  <si>
    <t>WOS:000639149800002</t>
  </si>
  <si>
    <t>Ramírez-Vélez, R; García-Hermoso, A; Martínez-Velilla, N; Zambom-Ferraresi, F; de Asteasu, MLS; Recarey, AE; Izquierdo, M</t>
  </si>
  <si>
    <t>Ramirez-Velez, Robinson; Garcia-Hermoso, Antonio; Martinez-Velilla, Nicolas; Zambom-Ferraresi, Fabricio; L. Saez de Asteasu, Mikel; Recarey, Anel E.; Izquierdo, Mikel</t>
  </si>
  <si>
    <t>Effects of Exercise Interventions on Inflammatory Parameters in Acutely Hospitalized Older Patients: A Systematic Review and Meta-Analysis of Randomized Controlled Trials</t>
  </si>
  <si>
    <t>JOURNAL OF CLINICAL MEDICINE</t>
  </si>
  <si>
    <t>The purpose of this systematic review and meta-analysis was to appraise the acute effects of exercise training on inflammatory parameters in hospitalized older adults. We conducted a systematic review using the Preferred Reporting Items for Systematic Reviews and Meta-Analyses guidelines. Web of Science, Medline and PubMed were searched for studies published until August 2020. The review included all randomized controlled trials (RCTs) that evaluated and compared the effect of exercise versus usual care on inflammatory parameters in acutely hospitalized older adults. Two reviewers independently assessed the studies. The quality of all the included studies was assessed using the DerSimonian-Laird random-effects inverse-variance model. Five studies (275 participants) met the inclusion criteria. The exercise interventions included resistance or multicomponent intervention programs. The results indicate that, compared with usual care, exercise interventions have a positive impact on overall inflammatory parameters, including C-reactive protein (CRP) and insulin-like growth factor-I (IGF-1) (Hedge's g = -0.19, 95% confidence interval [CI] -0.33 to -0.04, p = 0.011, I-2 = 0%). However, analyses of individual inflammatory parameters revealed a non-significant trend for reductions in CRP (Hedge's g = -0.20, 95% CI -0.47 to 0.07, p = 0.151, I-2 = 31.2%) and IGF-I (Hedge's g = -0.34, 95% CI -0.79 to 0.11, p = 0.138, I-2 = 0%). On the basis of this review, we conclude that exercise during acute hospitalization offers a mild improvement in the inflammatory profile over usual care in older patients. Nevertheless, due to limited number of RCTs, our findings must be interpreted with caution and confirmed in future studies.</t>
  </si>
  <si>
    <t>Asteasu, Mikel/A-8973-2017; García-Hermoso, Antonio/ADU-2591-2022; Ramirez-Velez, Robinson/D-5311-2016; Zambom-Ferraresi, Fabricio/M-1906-2018; Recarey Rodriguez, Anel Eduardo/HPD-3368-2023; Izquierdo, Mikel/A-4894-2010; Martinez-Velilla, Nicolas/A-6942-2017; Garcia-Hermoso, Antonio/P-1857-2017</t>
  </si>
  <si>
    <t>Ramirez-Velez, Robinson/0000-0003-3075-6960; Zambom-Ferraresi, Fabricio/0000-0002-8377-9827; Recarey Rodriguez, Anel Eduardo/0000-0001-9905-4700; Izquierdo, Mikel/0000-0002-1506-4272; Martinez-Velilla, Nicolas/0000-0001-9576-9960; Saez de Asteasu, Mikel Lopez/0000-0002-4111-5045; Garcia-Hermoso, Antonio/0000-0002-1397-7182</t>
  </si>
  <si>
    <t>2077-0383</t>
  </si>
  <si>
    <t>10.3390/jcm10020290</t>
  </si>
  <si>
    <t>WOS:000611344000001</t>
  </si>
  <si>
    <t>Corain, L; Grisan, E; Graïc, JM; Carvajal-Schiaffino, R; Cozzi, B; Peruffo, A</t>
  </si>
  <si>
    <t>Corain, L.; Grisan, E.; Graic, J. -M.; Carvajal-Schiaffino, R.; Cozzi, B.; Peruffo, A.</t>
  </si>
  <si>
    <t>Multi-aspect testing and ranking inference to quantify dimorphism in the cytoarchitecture of cerebellum of male, female and intersex individuals: a model applied to bovine brains</t>
  </si>
  <si>
    <t>BRAIN STRUCTURE &amp; FUNCTION</t>
  </si>
  <si>
    <t>The dimorphism among male, female and freemartin intersex bovines, focusing on the vermal lobules VIII and IX, was analyzed using a novel data analytics approach to quantify morphometric differences in the cytoarchitecture of digitalized sections of the cerebellum. This methodology consists of multivariate and multi-aspect testing for cytoarchitecture-ranking, based on neuronal cell complexity among populations defined by factors, such as sex, age or pathology. In this context, we computed a set of shape descriptors of the neural cell morphology, categorized them into three domains named size, regularity and density, respectively. The output and results of our methodology are multivariate in nature, allowing an in-depth analysis of the cytoarchitectonic organization and morphology of cells. Interestingly, the Purkinje neurons and the underlying granule cells revealed the same morphological pattern: female possessed larger, denser and more irregular neurons than males. In the Freemartin, Purkinje neurons showed an intermediate setting between males and females, while the granule cells were the largest, most regular and dense. This methodology could be a powerful instrument to carry out morphometric analysis providing robust bases for objective tissue screening, especially in the field of neurodegenerative pathologies.</t>
  </si>
  <si>
    <t>Corain, Livio/T-2417-2017; Graïc, Jean-Marie/I-2710-2019; Cozzi, Bruno/H-9618-2019; Grisan, Enrico/K-9381-2016</t>
  </si>
  <si>
    <t>Peruffo, Antonella/0000-0003-0454-9087; Cozzi, Bruno/0000-0002-7531-7040; Graic, Jean-Marie/0000-0002-1974-8356; CORAIN, LIVIO/0000-0002-8104-1255; Grisan, Enrico/0000-0002-7365-5652; carvajal-Schiaffino, Ruben/0000-0001-9783-624X</t>
  </si>
  <si>
    <t>1863-2653</t>
  </si>
  <si>
    <t>1863-2661</t>
  </si>
  <si>
    <t>10.1007/s00429-020-02147-x</t>
  </si>
  <si>
    <t>SEP 2020</t>
  </si>
  <si>
    <t>WOS:000573466000001</t>
  </si>
  <si>
    <t>Cárdenas, M; Galleguillos, C; Acevedo, K; Ananias, C; Alarcón, J; Michelson, S; Toledo, J; Montoya, M; Meneses, C; Castro-Nallar, E; Vásquez-Martínez, Y; Martin, MCS</t>
  </si>
  <si>
    <t>Cardenas, Matias; Galleguillos, Claudia; Acevedo, Karina; Ananias, Catarina; Alarcon, Javiera; Michelson, Sofia; Toledo, Jorge; Montoya, Margarita; Meneses, Claudio; Castro-Nallar, Eduardo; Vasquez-Martinez, Yesseny; Cortez-San Martin, Marcelo</t>
  </si>
  <si>
    <t>Rapid sequence modification in the highly polymorphic region (HPR) of the hemagglutinin gene of the infectious salmon anaemia virus (ISAV) suggests intra-segmental template switching recombination</t>
  </si>
  <si>
    <t>JOURNAL OF FISH DISEASES</t>
  </si>
  <si>
    <t>The ISAV has a genome composed of eight segments of (-)ssRNA, segment 6 codes for the hemagglutinin-esterase protein, and has the most variable region of the genome, the highly polymorphic region (HPR), which is unique among orthomyxoviruses. The HPR has been associated with virulence, infectivity and pathogenicity. The full length of the HPR is called HPR0 and the strain with this HPR is avirulent, in contrast to strains with deleted HPR that are virulent to varying degrees. The molecular mechanism that gives rise to the different HPRs remains unclear. Here, we studied in vitro the evolution of reassortant recombinant ISAV (rISAV) in Atlantic salmon head kidney (ASK) cells. To this end, we rescued and cultivated a set of rISAV with different segment 6-HPR genotypes using a reverse genetics system and then sequencing HPR regions of the viruses. Our results show rapid multiple recombination events in ISAV, with sequence insertions and deletions in the HPR, indicating a dynamic process. Inserted sequences can be found in four segments of the ISAV genome (segments 1, 5, 6, and 8). The results suggest intra-segmental heterologous recombination, probably by class I and class II template switching, similar to the proposed segment 5 recombination mechanism.</t>
  </si>
  <si>
    <t>Castro-Nallar, Eduardo/I-5925-2019</t>
  </si>
  <si>
    <t>Cardenas, Matias/0000-0001-8247-3669; Meneses, Claudio/0000-0002-6452-8950; Castro-Nallar, Eduardo/0000-0003-4384-8661; Toledo, Jorge/0000-0002-9879-7710; viviana, karina/0000-0001-9586-6058; Montoya, Margarita/0000-0002-6268-1118; Vasquez Martinez, Yesseny Amneris/0000-0002-4184-9815; Alarcon Perez, Javiera Denisse/0000-0003-3482-1897</t>
  </si>
  <si>
    <t>0140-7775</t>
  </si>
  <si>
    <t>1365-2761</t>
  </si>
  <si>
    <t>10.1111/jfd.13242</t>
  </si>
  <si>
    <t>WOS:000571621100001</t>
  </si>
  <si>
    <t>Zhang, L; Boutaous, M; Xin, SH; Siginer, DA</t>
  </si>
  <si>
    <t>Zhang, Lan; Boutaous, M'hamed; Xin, Shihe; Siginer, Dennis A.</t>
  </si>
  <si>
    <t>3D MODELING OF ADDITIVE MANUFACTURING PROCESS: THE CASE OF POLYMER LASER SINTERING</t>
  </si>
  <si>
    <t>This work focusses on studying multiphysical transient phenomena in polymer powders occurring during selective laser sintering in polymers powders. Multiple phenomena stemming from the interaction of the laser with the polymer powder bed and the transfer of the laser power to the powder bed including laser scattering and absorption, polymer heating, melting, coalescence, densification, and the variation of the material parameters with the temperature are simulated via the modified Monte Carlo-ray tracing method coupled with the Mie theory. A finite volume method is adopted for the heat transfer. The model couples heat diffusion, melting, coalescence and densification of the polymer grains, and the crystallization kinetics during the cooling steps. Laser intensity is concentrated on the surface of the material contrary to the predictions of the Beer-Lambert law. Laser acting on thermoplastic material cause the polymer powder melt, coalescence between melted grains, air diffusion versus densification, crystallization and volume shrinkage. All these processes are simulated by a series of multiphysical models. The reliability of the modeling is tested by comparison with experiments in the literature, and a parametric analysis is performed, based on the process characteristics such as laser sweep speed, its intensity and shape, polymeric grain size among others. Several recommendations to optimize the process are proposed.This work focusses on studying multiphysical transient phenomena in polymer powders occurring during selective laser sintering in polymers powders. Multiple phenomena stemming from the interaction of the laser with the polymer powder bed and the transfer of the laser power to the powder bed including laser scattering and absorption, polymer heating, melting, coalescence, densification, and the variation of the material parameters with the temperature are simulated via the modified Monte Carlo-ray tracing method coupled with the Mie theory. A finite volume method is adopted for the heat transfer. The model couples heat diffusion, melting, coalescence and densification of the polymer grains, and the crystallization kinetics during the cooling steps. Laser intensity is concentrated on the surface of the material contrary to the predictions of the Beer-Lambert law. Laser acting on thermoplastic material cause the polymer powder melt, coalescence between melted grains, air diffusion versus densification, crystallization and volume shrinkage. All these processes are simulated by a series of multiphysical models. The reliability of the modeling is tested by comparison with experiments in the literature, and a parametric analysis is performed, based on the process characteristics such as laser sweep speed, its intensity and shape, polymeric grain size among others. Several recommendations to optimize the process are proposed.</t>
  </si>
  <si>
    <t>V010T10A019</t>
  </si>
  <si>
    <t>WOS:001233269200019</t>
  </si>
  <si>
    <t>Molinet, J; Cubillos, FA; Salinas, F; Liti, G; Martínez, C</t>
  </si>
  <si>
    <t>Molinet, Jennifer; Cubillos, Francisco A.; Salinas, Francisco; Liti, Gianni; Martinez, Claudio</t>
  </si>
  <si>
    <t>Genetic variants of TORC1 signaling pathway affect nitrogen consumption in Saccharomyces cerevisiae during alcoholic fermentation</t>
  </si>
  <si>
    <t>In the alcoholic fermentation process, Saccharomyces cerevisiae strains present differences in their nitrogen consumption profiles, these phenotypic outcomes have complex genetic and molecular architectures. In this sense, variations in nitrogen signaling pathways regulated by TORC1 represent one of the main sources of phenotypic diversity in nitrogen consumption. This emphasizes the possible roles that allelic variants from the TORC1 pathway have in the nitrogen consumption differences observed in yeast during the alcoholic fermentation. Here, we studied the allelic diversity in the TORC1 pathway across four yeast strains and determined how these polymorphisms directly impact nitrogen consumption during alcoholic fermentation. Using a reciprocal hemizygosity approach combined with phenotyping under fermentative conditions, we found that allelic variants of GTR1, TOR2, SIT4, SAP185, EAP1, NPR1 and SCH9 underlie differences in the ammonium and amino acids consumption phenotypes. Among these, GTR1 alleles from the Wine/European and West African genetic backgrounds showed the greatest effects on ammonium and amino acid consumption, respectively. Furthermore, we identified allelic variants of SAP185, TOR2, SCH9 and NPR1 from an oak isolate that increased the amino acid consumption preference over ammonium; representing putative candidates coming from a non-domesticated strain that could be used for genetic improvement programs. In conclusion, our results demonstrated that a large number of allelic variants within the TORC1 pathway significantly impacts on regulatory mechanisms of nitrogen assimilation during alcoholic fermentation.</t>
  </si>
  <si>
    <t>Cubillos, Francisco/MIT-2389-2025; Liti, Gianni/I-9929-2014; Martinez, Claudio/MGS-9961-2025; Molinet, Jennifer/AAI-3636-2020; Salinas, Francisco/W-3269-2017</t>
  </si>
  <si>
    <t>Salinas, Francisco/0000-0002-8391-8145; Molinet, Jennifer/0000-0001-9716-4455</t>
  </si>
  <si>
    <t>JUL 26</t>
  </si>
  <si>
    <t>e0220515</t>
  </si>
  <si>
    <t>10.1371/journal.pone.0220515</t>
  </si>
  <si>
    <t>WOS:000484979500039</t>
  </si>
  <si>
    <t>Pérez-Zúñiga, C; Leiva-Presa, A; Austin, RN; Capdevila, M; Palacios, O</t>
  </si>
  <si>
    <t>Perez-Zuniga, Catalina; Leiva-Presa, Angels; Austin, Rachel Narehood; Capdevila, Merce; Palacios, Oscar</t>
  </si>
  <si>
    <t>Pb(ii) binding to the brain specific mammalian metallothionein isoform MT3 and its isolated αMT3 and βMT3 domains</t>
  </si>
  <si>
    <t>METALLOMICS</t>
  </si>
  <si>
    <t>The toxicity of lead, one of the most ubiquitous toxic metals, is well known. Some of its pathological effects are related to its preference for the sulfhydryl groups of proteins. Metallothioneins (MT) are a particular family of metalloproteins characterized by their high Cys content that, among other functions, are linked to the detoxification of heavy metals. In mammals, 4 MT isoforms have been found. The MT3 isoform, also called `` neuronal growth inhibitory factor'', is mainly synthesized in the brain and contains several structural differences that may contribute to important functional differences between it and other MT isoforms. The abilities of recombinant MT3 and its individual aMT3 and bMT3 fragments to bind Pb(II) have been investigated here, under different pH conditions, by means of spectroscopy, mass spectrometry and isothermal titration calorimetry. The results obtained show that the binding of Pb(II) to the intact MT3 protein is relatively unaffected by pH, while the individual domains interact with Pb(II) in a pH-sensitive manner. The mass spectrometry data reveal the evolution with time of the initially formed Pb-MT complexes. In the case of the full length protein, Pb(II) remains bound for a long period of time. With the isolated fragments, the lead is eventually released. The Pb-species formed depend on the amount of Pb(II) present in solution. The thermodynamic data recorded, as measured by ITC, for the replacement of Zn(II) by Pb(II) in reactions with Zn-MT3, Zn-aMT3 and Zn-bMT3 are all similar, and in all cases, the displacement of Zn(II) by Pb(II) is thermodynamically favorable. Zn-Replete and Pb-replete MT3 have distinctive circular dichroism spectra, suggestive of structural differences with different metallation status.</t>
  </si>
  <si>
    <t>Palacios, Òscar/AAJ-3492-2021; Austin, Rachel/LBG-8874-2024; Palacios, Oscar/C-8974-2009; Capdevila, Merce/F-5374-2015</t>
  </si>
  <si>
    <t>Palacios, Oscar/0000-0002-2987-7303; Capdevila, Merce/0000-0002-2246-0994</t>
  </si>
  <si>
    <t>1756-5901</t>
  </si>
  <si>
    <t>1756-591X</t>
  </si>
  <si>
    <t>10.1039/c8mt00294k</t>
  </si>
  <si>
    <t>WOS:000459517300007</t>
  </si>
  <si>
    <t>Rojas, G; Guajardo, V; Martínez, P; Castro, A; Fritsch, R; Moessner, M; Bauer, S</t>
  </si>
  <si>
    <t>Rojas, Graciela; Guajardo, Viviana; Martinez, Pablo; Castro, Ariel; Fritsch, Rosemarie; Moessner, Markus; Bauer, Stephanie</t>
  </si>
  <si>
    <t>A Remote Collaborative Care Program for Patients with Depression Living in Rural Areas: Open-Label Trial</t>
  </si>
  <si>
    <t>JOURNAL OF MEDICAL INTERNET RESEARCH</t>
  </si>
  <si>
    <t>Background: In the treatment of depression, primary care teams have an essential role, but they are most effective when inserted into a collaborative care model for disease management. In rural areas, the shortage of specialized mental health resources may hamper management of depressed patients. Objective: The aim was to test the feasibility, acceptability, and effectiveness of a remote collaborative care program for patients with depression living in rural areas. Methods: In a nonrandomized, open-label (blinded outcome assessor), two-arm clinical trial, physicians from 15 rural community hospitals recruited 250 patients aged 18 to 70 years with a major depressive episode (DSM-IV criteria). Patients were assigned to the remote collaborative care program (n=111) or to usual care (n=139). The remote collaborative care program used Web-based shared clinical records between rural primary care teams and a specialized/centralized mental health team, telephone monitoring of patients, and remote supervision by psychiatrists through the Web-based shared clinical records and/or telephone. Depressive symptoms, health-related quality of life, service use, and patient satisfaction were measured 3 and 6 months after baseline assessment. Results: Six-month follow-up assessments were completed by 84.4% (221/250) of patients. The remote collaborative care program achieved higher user satisfaction (odds ratio [OR] 1.94, 95% CI 1.25-3.00) and better treatment adherence rates (OR 1.81, 95% CI 1.02-3.19) at 6 months compared to usual care. There were no statically significant differences in depressive symptoms between the remote collaborative care program and usual care. Significant differences between groups in favor of remote collaborative care program were observed at 3 months for mental health-related quality of life (beta 3.11, 95% CI 0.19-6.02). Conclusions: Higher rates of treatment adherence in the remote collaborative care program suggest that technology-assisted interventions may help rural primary care teams in the management of depressive patients. Future cost-effectiveness studies are needed.</t>
  </si>
  <si>
    <t>Martínez, Pablo/LZF-5853-2025; Moessner, Markus/ABH-2399-2020; Bauer, Stephanie/AAY-4610-2020; Castro, Ariel/N-7325-2013; Fritsch Montero, Rosemarie/C-3519-2009</t>
  </si>
  <si>
    <t>Martinez, Pablo/0000-0003-4482-7993; Castro, Ariel/0000-0003-4729-4889; Fritsch Montero, Rosemarie/0000-0001-7694-1470; Guajardo, Viviana/0000-0003-3906-5584; rojas, maria graciela/0000-0002-9577-7415; Moessner, Markus/0000-0002-1215-1055</t>
  </si>
  <si>
    <t>1438-8871</t>
  </si>
  <si>
    <t>e158</t>
  </si>
  <si>
    <t>10.2196/jmir.8803</t>
  </si>
  <si>
    <t>WOS:000431148200002</t>
  </si>
  <si>
    <t>Nuñez, C; Morales, N; García-Beltran, O; Mascayano, C; Fierro, A</t>
  </si>
  <si>
    <t>Nunez, Carolina; Morales, Nicole; Garcia-Beltran, Olimpo; Mascayano, Carolina; Fierro, Angelica</t>
  </si>
  <si>
    <t>Discovery two potent and new inhibitors of 15-lipoxygenase: (E)-3-((3,4-dihydroxybenzylidene) amino)-7-hydroxy-2H-chromen-2-one and (E)-O-(4-(((7-hydroxy-2-oxo-2H-chromen-3-yl) imino)methine)phenyl)dimethylcarbamothioate</t>
  </si>
  <si>
    <t>MEDICINAL CHEMISTRY RESEARCH</t>
  </si>
  <si>
    <t>The mechanisms of action and structural determinants of lipoxygenases inhibitors have been explored on several occasions, but many questions remain unanswered, especially about the differences of the inhibition mechanisms and their effect on the selectivity of lipoxygenases isoenzymes. Thus, REDOX mechanism has been proposed in this research to clarify the lipoxygenases inhibition by coumarins derivates on 15-sLOX. A series of fifteen coumarin derivatives were synthetized and evaluated as 15-lipoxygenase inhibitors. The results showed that some molecules had submicromolar activities and compete with the substrate as we observed by kinetic studies. The most relevant and interesting result was found for compound 6 who showed an inhibitory activity comparable to nordihydroguaiaretic acid a potent and REDOX inhibitor of lipoxygenases (0.17 and 0.29 mu M, respectively). Finally, the docking and molecular dynamics studies showed that the better ligands were accommodated into the binding site being related with those obtained biological data. In addition, our findings contribute at the understanding of inhibitor structural requirements and elucidate the inhibition mechanism of cumarin derivatives on 15-sLOX. Thus, we point to new parameters for the future design of new ligands with potential therapeutic utility where are involved the lipoxygenases enzymes.</t>
  </si>
  <si>
    <t>Morales, Nicole/LDF-5348-2024; Fierro, Angelica/AAJ-2533-2020; Garcia-Beltran, Olimpo/O-1846-2017</t>
  </si>
  <si>
    <t>Garcia-Beltran, Olimpo/0000-0003-3312-1776; Morales Camilo, Nicole/0009-0003-3610-1460; Mascayano Collado, Carolina Lorena/0000-0002-3488-9309; Fierro Huerta, Angelica/0000-0002-6507-4188</t>
  </si>
  <si>
    <t>1054-2523</t>
  </si>
  <si>
    <t>1554-8120</t>
  </si>
  <si>
    <t>10.1007/s00044-017-1968-9</t>
  </si>
  <si>
    <t>WOS:000413763600002</t>
  </si>
  <si>
    <t>Rosas, E; Hidalgo, N; Gil-Costa, V; Bonacic, C; Marin, M; Senger, H; Arantes, L; Marcondes, C; Marin, O</t>
  </si>
  <si>
    <t>Rosas, Erika; Hidalgo, Nicolas; Gil-Costa, Veronica; Bonacic, Carolina; Marin, Mauricio; Senger, Hermes; Arantes, Luciana; Marcondes, Cesar; Marin, Olivier</t>
  </si>
  <si>
    <t>Survey on Simulation for Mobile Ad-Hoc Communication for Disaster Scenarios</t>
  </si>
  <si>
    <t>JOURNAL OF COMPUTER SCIENCE AND TECHNOLOGY</t>
  </si>
  <si>
    <t>Mobile ad-hoc communication is a demonstrated solution to mitigate the impact of infrastructure failures during large-scale disasters. A very complex issue in this domain is the design validation of software applications that support decision-making and communication during natural disasters. Such disasters are irreproducible, highly unpredictable, and impossible to scale down, and thus extensive assessments cannot be led in situ. In this context, simulation constitutes the best approach towards the testing of software solutions for natural disaster responses. The present survey reviews mobility models, ad-hoc network architectures, routing protocols and network simulators. Our aim is to provide guidelines for software developers with regards to the performance evaluation of their applications by means of simulation.</t>
  </si>
  <si>
    <t>Gil-Costa, Veronica/GPT-4785-2022; Rosas, Erika/AFY-6048-2022; Senger, Hermes/C-8590-2012; Marin, Mauricio/GLR-7700-2022; Marcondes, Cesar/M-8743-2013; Marin, Olivier/K-3098-2015</t>
  </si>
  <si>
    <t>Senger, Hermes/0000-0003-1273-9809; Gil-Costa, Veronica/0000-0003-4637-9725; Marin, Mauricio/0000-0003-0662-7149; Marcondes, Cesar/0000-0003-1574-0362; Hidalgo, Nicolas/0000-0003-0831-9350; Rosas Olivos, Erika Susana/0000-0003-0377-0193; Marin, Olivier/0000-0002-6806-2684</t>
  </si>
  <si>
    <t>1000-9000</t>
  </si>
  <si>
    <t>1860-4749</t>
  </si>
  <si>
    <t>10.1007/s11390-016-1630-x</t>
  </si>
  <si>
    <t>WOS:000372154100008</t>
  </si>
  <si>
    <t>Jiménez-Muñoz, JC; Sobrino, JA; Skokovic, D; Mattar, C; Cristóbal, J</t>
  </si>
  <si>
    <t>Jimenez-Munoz, Juan C.; Sobrino, Jose A.; Skokovic, Drazen; Mattar, Cristian; Cristobal, Jordi</t>
  </si>
  <si>
    <t>Land Surface Temperature Retrieval Methods From Landsat-8 Thermal Infrared Sensor Data</t>
  </si>
  <si>
    <t>IEEE GEOSCIENCE AND REMOTE SENSING LETTERS</t>
  </si>
  <si>
    <t>The importance of land surface temperature (LST) retrieved from high to medium spatial resolution remote sensing data for many environmental studies, particularly the applications related to water resources management over agricultural sites, was a key factor for the final decision of including a thermal infrared (TIR) instrument on board the Landsat Data Continuity Mission or Landsat-8. This new TIR sensor (TIRS) includes two TIR bands in the atmospheric window between 10 and 12 mu m, thus allowing the application of split-window (SW) algorithms in addition to single-channel (SC) algorithms or direct inversions of the radiative transfer equation used in previous sensors on board the Landsat platforms, with only one TIR band. In this letter, we propose SC and SW algorithms to be applied to Landsat-8 TIRS data for LST retrieval. Algorithms were tested with simulated data obtained from forward simulations using atmospheric profile databases and emissivity spectra extracted from spectral libraries. Results show mean errors typically below 1.5 K for both SC and SW algorithms, with slightly better results for the SW algorithm than for the SC algorithm with increasing atmospheric water vapor contents.</t>
  </si>
  <si>
    <t>Skokovic, Drazen/AAE-9123-2021; Mattar, Cristian/P-6711-2014; Jimenez-Munoz, Juan Carlos/K-2903-2015; Sobrino, Jose A./M-1585-2014; Cristobal, Jordi/K-8021-2013</t>
  </si>
  <si>
    <t>Jimenez-Munoz, Juan Carlos/0000-0001-7562-4895; Sobrino, Jose A./0000-0003-3787-9373; Cristobal, Jordi/0000-0001-6244-4289</t>
  </si>
  <si>
    <t>1545-598X</t>
  </si>
  <si>
    <t>1558-0571</t>
  </si>
  <si>
    <t>10.1109/LGRS.2014.2312032</t>
  </si>
  <si>
    <t>WOS:000337174100036</t>
  </si>
  <si>
    <t>Levicán, G; Gómez, MJ; Chávez, R; Orellana, O; Moreno-Paz, M; Parro, V</t>
  </si>
  <si>
    <t>Levican, G.; Gomez, M. J.; Chavez, R.; Orellana, O.; Moreno-Paz, M.; Parro, V.</t>
  </si>
  <si>
    <t>Comparative Genomic Analysis Reveals Novel Facts about Leptospirillum spp. Cytochromes</t>
  </si>
  <si>
    <t>JOURNAL OF MOLECULAR MICROBIOLOGY AND BIOTECHNOLOGY</t>
  </si>
  <si>
    <t>Chemolithoautotrophic acidophilic bacteria, which belong to the genus Leptospirillum, can only grow with Fe(II) as electron donor and oxygen as an electron acceptor. Members of this genus play an important role in bioleaching sulfide ores. We used nearly complete genome sequences of Leptospirillum ferrooxidans (group I), Leptospirillum rubarum, Leptospirillum '5-way CG' (group II) and Leptospirillum ferrodiazotrophum (group Ill) to identify cytochromes that are likely involved in electron transfer chain(s). The results show the presence of genes encoding a number of c-type cytochromes (18-20 genes were identified in each species), as well as bd and cbb(3) oxidases. Genes encoding cbb(3) oxidase are clustered, with predicted genes involved in cbb(3) maturation proteins. Duplication of cbb(3) encoding genes (ccoNO) was detected in all four genomes. Interestingly, these micro-organisms also contain genes that potentially encode bc(1) and b(6)f-like complexes organized into two putative operon structures. To date, the Leptospirillum genus includes the only organisms reported to have genes coding for two different bc complexes. This study provides detailed insights into the components of electron transfer chains of Leptospirillum spp., revealing their conservation among leptospirilla groups and suggesting that there may be a single common pathway for electron transport between Fe(II) and oxygen. Copyright (C) 2012 S. Karger AG, Basel</t>
  </si>
  <si>
    <t>Levican, Gloria/R-5191-2019; Paz, Mercedes/F-3517-2015; Parro, Victor/K-3788-2014; Gomez, Manuel J/F-8854-2016</t>
  </si>
  <si>
    <t>Parro, Victor/0000-0003-3738-0724; Moreno-Paz, Mercedes/0000-0003-1245-3253; Chavez, Renato/0000-0003-1754-3610; Gomez, Manuel J/0000-0002-4111-4835; Levican, Gloria/0000-0002-1275-7399</t>
  </si>
  <si>
    <t>1464-1801</t>
  </si>
  <si>
    <t>1660-2412</t>
  </si>
  <si>
    <t>10.1159/000338105</t>
  </si>
  <si>
    <t>WOS:000306883100003</t>
  </si>
  <si>
    <t>Ferrarotti, FA; Paoletti, AL; Torres, JMT</t>
  </si>
  <si>
    <t>Heuser, CA; Pernul, G</t>
  </si>
  <si>
    <t>Ferrarotti, Flavio A.; Paoletti, Alejandra L.; Torres, Jose M. Turull</t>
  </si>
  <si>
    <t>First-Order Types and Redundant Relations in Relational Databases</t>
  </si>
  <si>
    <t>ADVANCES IN CONCEPTUAL MODELING - CHALLENGES PERSPECTIVES</t>
  </si>
  <si>
    <t>28th International Conference on Conceptual Modeling/ER 2009 Workshops</t>
  </si>
  <si>
    <t>NOV 09-12, 2009</t>
  </si>
  <si>
    <t>Gramado, BRAZIL</t>
  </si>
  <si>
    <t>Roughly, we define a redundant relation in a database instance (dbi) as a k-ary relation R such that there is a first-order query which evaluated in the reduced dbi, gives us R. So, we can eliminate that relation R as long as the equivalence classes of the relation of equality of the first-order types for all k-tuples in the dbi are not altered. It turns out that in a fixed dbi, the problem of deciding whether a given relation in the dbi is redundant is decidable, though intractable. We then study redundant relations with a restricted notion of equivalence so that the problem becomes tractable.</t>
  </si>
  <si>
    <t>Ferrarotti, Flavio/0000-0003-2278-8233</t>
  </si>
  <si>
    <t>978-3-642-04946-0</t>
  </si>
  <si>
    <t>WOS:000278582000008</t>
  </si>
  <si>
    <t>Laurenti, D; Thi, KTN; Escalona, N; Massin, L; Vrinat, M; Llambías, FJG</t>
  </si>
  <si>
    <t>Laurenti, D.; Thi, K. T. Ninh; Escalona, N.; Massin, L.; Vrinat, M.; Llambias, F. J. Gil</t>
  </si>
  <si>
    <t>Support effect with rhenium sulfide catalysts</t>
  </si>
  <si>
    <t>CATALYSIS TODAY</t>
  </si>
  <si>
    <t>4th International Symposium on Molecular Aspects of Catalysis by Sulfides</t>
  </si>
  <si>
    <t>MAY 13-17, 2007</t>
  </si>
  <si>
    <t>The well known support effect observed for molybdenum sulfide has been studied with rhenium sulfide, which was reported to be a very active hydrotreating catalyst. Solids containing from 0.8 to 4 rhenium atoms per nm(2) have been prepared on titania, zirconia and gamma-alumina supports and sulfided using N-2-H2S (15%) or H-2-H2S (15%) mixtures. The catalytic activity in thiophene hydrodesulfurization (HDS) has been evaluated and additional information about the structure over the different supports has been obtained by XPS and HRTEM. (C) 2007 Elsevier B.V. All rights reserved.</t>
  </si>
  <si>
    <t>Laurenti, Dorothée/AAT-7589-2020; Escalona, Nestor/F-3593-2016</t>
  </si>
  <si>
    <t>Escalona Burgos, Nestor/0000-0002-2628-4609; Laurenti Savoure, Dorothee/0000-0001-6645-6789</t>
  </si>
  <si>
    <t>0920-5861</t>
  </si>
  <si>
    <t>1873-4308</t>
  </si>
  <si>
    <t>10.1016/j.cattod.2007.07.022</t>
  </si>
  <si>
    <t>WOS:000251685000007</t>
  </si>
  <si>
    <t>Páez, MA; Biaggio, SR; Rocha, RC; Sepúlveda, Y; Zagal, JH; Monsalve, A; Zhou, XR; Skeldon, P; Thompson, GE</t>
  </si>
  <si>
    <t>On understanding the effect of benzotriazole during barrier-film growth on Al-Cu alloys</t>
  </si>
  <si>
    <t>JOURNAL OF SOLID STATE ELECTROCHEMISTRY</t>
  </si>
  <si>
    <t>The effect of benzotriazole on the growth of anodic films on aluminium and an Al-3.5 wt% Cu alloy has been examined by transmission electron microscopy (TEM) and electrochemical impedance spectroscopy (EIS). Films grown to relatively high voltages reveal flaws and oxygen-filled voids as a result of the surface morphology and copper enrichment and oxidation at the alloy/film interface. Benzotriazole, apart from increasing the efficiency of anodic film growth on the artificially aged alloy, also reduces the population density of the local features. The impedance response of films formed at relatively low voltages has been used to probe the early influence of benzotriazole on the macroscopic surface as well as flaws of the oxide-covered substrate.</t>
  </si>
  <si>
    <t>Pappas, Georgios/F-7194-2014; Paez, Maritza/M-2010-2014; zagal, jose/L-9648-2014; Zhou, Xiaorong/M-3600-2014; Biaggio, Sonia R./D-9810-2012; Rocha-Filho, Romeu C./E-9681-2012</t>
  </si>
  <si>
    <t>Monsalve, Alberto/0000-0002-5772-8815; Zhou, Xiaorong/0000-0001-9943-3997; paez, maritza/0000-0001-5881-884X; Biaggio, Sonia R./0000-0003-2127-859X; Rocha-Filho, Romeu C./0000-0003-4699-2423</t>
  </si>
  <si>
    <t>1432-8488</t>
  </si>
  <si>
    <t>10.1007/s10008-002-0345-9</t>
  </si>
  <si>
    <t>WOS:000184060300005</t>
  </si>
  <si>
    <t>Trindade, LCS; da Silva, DG; Vieira-Souza, LM; Pedreiro, RCD; Brito, CJ; Aedo-Muñoz, E; Pérez, DIV; Miarka, B</t>
  </si>
  <si>
    <t>Trindade, Leticia Cristina Sa; da Silva, Darcilene Gomes; Vieira-Souza, Lucio Marques; Pedreiro, Rodrigo Cunha de Mello; Brito, Ciro Jose; Aedo-Munoz, Esteban; Perez, Diego Ignacio Vanenzuela; Miarka, Bianca</t>
  </si>
  <si>
    <t>Emergency services at sports places in Rio de Janeiro: intervention of the sports management, activity and tourism</t>
  </si>
  <si>
    <t>Emergency services in sports environments are crucial to ensuring the safety of those participating. Although Rio de Janeiro boasts a large and varied number of sports facilities, little is known about the dynamics of care provided in these locations. The primary objective of this study was to analyze the emergency response data from sports environments attended by the Military Fire Brigade of the State of Rio de Janeiro (CBMERJ). Secondly, the study aimed to compare the factors associated with emergency care at sports facilities, identify the most common injury sites, infer the causes of these accidents, and observe the frequency of fatalities during sports activities. For this study, 615 data points from the first emergency rescue group (1GSE) of the Rio de Janeiro Military Fire Brigade were analyzed, divided into North (n = 215), South (n = 145), West (n = 214), and Central (n = 30) zones. The dependent variables were: gender, outcome types, care types, transport types, immobilization, care characterization, care strategy, death details, emergency occurrences, and injury distribution by region. The zones were compared using the Kruskal-Wallis test and Dunn's post hoc analysis, with a significance level of p &lt;= 0.05. Statistical analysis revealed differences between the zones when comparing outcomes, with the northern zone showing higher values (similar to 75%) of treated and removed victims compared to the western zone (60%). There were also differences between the zones in the type of care provided, where the northern zone showed higher values (similar to 35%) of intermediate care compared to the western (similar to 20%), southern (similar to 25%), and central (%) zones. The type of transport used varied between zones, with the southern zone showing higher usage of rapid response vehicles (ASE L) than the northern and central regions. The analysis further revealed a difference in immobilization conditions, with the central zone showing a lower frequency (similar to 20%) of immobilization, that is, a higher proportion of other outcomes compared to the northern (similar to 40%), western (%), and southern (similar to 50%) zones.</t>
  </si>
  <si>
    <t>Miarka, Bianca/V-7395-2017; Aedo-Muñoz, Esteban/R-5623-2019; Pedreiro, Rodrigo/K-8142-2018; Brito, Ciro/ABH-2245-2020</t>
  </si>
  <si>
    <t>WOS:001330528300001</t>
  </si>
  <si>
    <t>del Valle, MF; Valenzuela, J; Godoy, L; del Sol, M; Lizana, PA; Escobar-Cabello, M; Muñoz-Cofre, R</t>
  </si>
  <si>
    <t>del Valle, Maria Fernanda; Valenzuela, Jorge; Godoy, Loretto; del Sol, Mariano; Lizana, Pablo A.; Escobar-Cabello, Maximo; Munoz-Cofre, Rodrigo</t>
  </si>
  <si>
    <t>Letter from Chile</t>
  </si>
  <si>
    <t>RESPIROLOGY</t>
  </si>
  <si>
    <t>Lizana, Pablo/ABE-4996-2020; del sol, Mariano/I-4746-2018</t>
  </si>
  <si>
    <t>1323-7799</t>
  </si>
  <si>
    <t>1440-1843</t>
  </si>
  <si>
    <t>10.1111/resp.14196</t>
  </si>
  <si>
    <t>WOS:000730456000001</t>
  </si>
  <si>
    <t>Baldo, B; Rubio, F; Flores, E; Vega, A; Audebrand, N; Venegas-Yazigi, D; Paredes-García, V</t>
  </si>
  <si>
    <t>Baldo, Bianca; Rubio, Francisco; Flores, Erwin; Vega, Andres; Audebrand, Nathalie; Venegas-Yazigi, Diego; Paredes-Garcia, Veronica</t>
  </si>
  <si>
    <t>RETRACTION: Ni2[LnCl6] (Ln = EuII, CeII, GdII): the first LnII compounds stabilized in a pure inorganic lattice (Retraction of Vol 54, Pg 7531, 2018)</t>
  </si>
  <si>
    <t>CHEMICAL COMMUNICATIONS</t>
  </si>
  <si>
    <t>1359-7345</t>
  </si>
  <si>
    <t>1364-548X</t>
  </si>
  <si>
    <t>NOV 11</t>
  </si>
  <si>
    <t>10.1039/c9cc90457c</t>
  </si>
  <si>
    <t>WOS:000494428800029</t>
  </si>
  <si>
    <t>Cofré-Bolados, C; Reuquen-López, P; Herrera-Valenzuela, T; Orihuela-Diaz, P; Garcia-Hermoso, A; Hackney, AC</t>
  </si>
  <si>
    <t>Cofre-Bolados, Cristian; Reuquen-Lopez, Patricia; Herrera-Valenzuela, Tomas; Orihuela-Diaz, Pedro; Garcia-Hermoso, Antonio; Hackney, Anthony C.</t>
  </si>
  <si>
    <t>Testosterone and Cortisol Responses to HIIT and Continuous Aerobic Exercise in Active Young Men</t>
  </si>
  <si>
    <t>It is well known that physical exercise modifies plasma levels of testosterone and cortisol. However, the effect of high-intensity interval training (HIIT) on the plasma hormone levels is controversial. The aim of the study was to compare the effects of HIIT exercise or submaximal continuous aerobic exercise on circulating testosterone and cortisol levels in active male collegiate students. Methods: Thirteen moderately-active young adult males (20.2 (SD 2.1) years old) completed a HIIT (20 min of 15 s intervals of running at 110% of maximum oxygen consumption interspersed with 15 s of active rest at 40% of maximum oxygen consumption) and a continuous aerobic exercise (AEE) 20 min at 70-75% of maximum oxygen consumption. The mean total workload of both protocols was the same for each exercise session. Blood samples were collected pre-session (rest), immediately after the session (0 h), and 12 h post-session (12 h). Results: Both exercise protocols, similarly increased plasma levels of free testosterone immediately post-exertion (p &lt; 0.05 AEE and p &lt; 0.01 HIIT). No differences were observed between the conditions in the concentration of testosterone at 12 h. Cortisol level and Testosterone/Cortisol (T/C) ratio remained constant for all measurements, regardless of the type of exercise performed. Conclusion: The testosterone concentrations rose significantly post intervention in both HIIT and AEE condition, but 12 h post intervention there was no difference between conditions, decreasing to baseline (pre-intervention). The T/C ratio decreased significantly (below baseline) only in the HIIT condition 12 h post intervention.</t>
  </si>
  <si>
    <t>Herrera-Valenzuela, Tomas/L-1819-2019; HACKNEY, ANTHONY/D-9521-2013; García-Hermoso, Antonio/ADU-2591-2022; Garcia-Hermoso, Antonio/P-1857-2017</t>
  </si>
  <si>
    <t>Orihuela, Pedro/0000-0002-4238-0932; Garcia-Hermoso, Antonio/0000-0002-1397-7182; Herrera-Valenzuela, Tomas/0000-0002-5219-5896</t>
  </si>
  <si>
    <t>10.3390/su11216069</t>
  </si>
  <si>
    <t>WOS:000501205200196</t>
  </si>
  <si>
    <t>Flewett, S; Mori, TJA; Ovalle, A; Oyarzún, S; Ibáñez, A; Michea, S; Escrig, J; Denardin, J</t>
  </si>
  <si>
    <t>Flewett, Samuel; Mori, Thiago J. A.; Ovalle, Alexandra; Oyarzun, Simon; Ibanez, Antonio; Michea, Sebastian; Escrig, Juan; Denardin, Juliano</t>
  </si>
  <si>
    <t>Soft X-ray magnetic scattering studies of 3D magnetic morphology along buried interfaces in NiFe/CoPd/NiFe nanostructures</t>
  </si>
  <si>
    <t>With the continuing interest in new magnetic materials for sensor devices and data storage applications, the community needs reliable and sensitive tools for the characterization of such materials. Soft X-rays tuned to elemental absorption edges are a depth and element sensitive probe of magnetic structure at the nanoscale, and scattering measurements have the potential to provide 3D magnetic structural information of the material. In this work we develop a methodology in transmission geometry that allows one to probe the spatial distribution of the magnetization along the different layers of magnetic heterostructures. We study the in-plane/out-of-plane transition of magnetic domains in multilayer thin film systems consisting of two layers of NiFe top and bottom, and a 50 repeat Co/Pd multilayer in the centre. The experimental data are analysed by simulating scattering data starting from micromagnetic simulations, and we find that the out of plane domains of the Co/Pd multilayer intrude into the NiFe layers to a greater extent than would be expected from micromagnetic simulations performed using the standard magnetically isotropic input parameters for the NiFe layers.</t>
  </si>
  <si>
    <t>Michea, Sebastian/E-9043-2017; Denardin, Juliano/S-6407-2019; Escrig, Juan/N-4304-2015; Mori, Thiago/G-9210-2014; Oyarzun, Simon/M-1769-2014</t>
  </si>
  <si>
    <t>Escrig, Juan/0000-0002-3958-8185; Mori, Thiago/0000-0001-5340-3282; Michea, Sebastian/0000-0001-9312-5766; Oyarzun, Simon/0000-0002-8764-7944</t>
  </si>
  <si>
    <t>10.1038/s41598-019-51098-9</t>
  </si>
  <si>
    <t>WOS:000490121400041</t>
  </si>
  <si>
    <t>Godoy-Guzmán, C; Osses, M; San Martín, S; Leiva, G; Jara-Rosales, S</t>
  </si>
  <si>
    <t>Godoy-Guzman, C.; Osses, M.; San Martin, S.; Leiva, G.; Jara-Rosales, S.</t>
  </si>
  <si>
    <t>MOODLE Lesson of the Anatomy and Histology of the Human Placenta</t>
  </si>
  <si>
    <t>INTERNATIONAL JOURNAL OF MORPHOLOGY</t>
  </si>
  <si>
    <t>The lack of existing human biological samples, mainly due to the ethical-moral restrictions related to obtaining these, highlights the need to search for other teaching and learning alternatives in morphological science. In this sense, the implementation of lessons by means of the MOODLE platform provides the students with the opportunity to interact in a setting that simulates a learning situation that belongs to traditional laboratories. The purpose of this work was to generate a MOODLE lesson on the anatomy and histology of the human placenta, as a complement of the traditional theoretical classroom for students of Obstetrics. To that end, TIC information, images, and resources were sought in libraries and in the Internet, and at the same time a set of histological photographs of placenta samples was made, as well as a video recording of a placental delivery. Later, the coordination and set up of activities was made in the MOODLE platform with a constructivist approach. Furthermore, a satisfaction survey was prepared which was validated by three experts. The total sample consisted of 137 students in the 2th year of obstetrics. A virtual MOODLE laboratory of the anatomy and histology of the human placenta was made, which is constituted by multiple activities with a clinical orientation that allow self-evaluation. The virtual laboratory has helped overcome the lack of human samples, and results of the satisfaction survey applied to the students indicate a positive evaluation of this initiative.</t>
  </si>
  <si>
    <t>San Martin, Sebastian/S-5268-2019; Godoy-Guzman, Carlos Ignacio/IUO-1065-2023</t>
  </si>
  <si>
    <t>0717-9502</t>
  </si>
  <si>
    <t>0717-9367</t>
  </si>
  <si>
    <t>10.4067/S0717-95022019000100178</t>
  </si>
  <si>
    <t>WOS:000460164400029</t>
  </si>
  <si>
    <t>Pilipenko, VA; Bravo, M; Romanova, NV; Kozyreva, OV; Samsonov, SN; Sakharov, YA</t>
  </si>
  <si>
    <t>Pilipenko, V. A.; Bravo, M.; Romanova, N. V.; Kozyreva, O. V.; Samsonov, S. N.; Sakharov, Ya. A.</t>
  </si>
  <si>
    <t>Geomagnetic and Ionospheric Responses to the Interplanetary Shock Wave of March 17, 2015</t>
  </si>
  <si>
    <t>IZVESTIYA-PHYSICS OF THE SOLID EARTH</t>
  </si>
  <si>
    <t>The propagation of perturbation caused by the interplanetary shock wave of March 17, 2015 from the solar wind through the magnetosheath, magnetosphere, and ionosphere down to the Earth's surface is analyzed. The onboard satellite measurements, global magnetometer network data, and records by the receivers of the global positioning system (GPS) providing the information about the total electron content (TEC) of the ionosphere are used for the analysis. By the example of this event, various aspects of the influence of the interplanetary shock wave on the near-Earth environment and ground-based engineering systems are considered. It is shown which effects of this influence are well described by the existing theoretical models and which ones need additional research. The formation of the fine structure of the magnetic impulse of the storm sudden commencement (SC)the preliminary impulse (PI) and main impulse (MI)is considered. The MI and compression of the magnetospheric magnetic field is observed by the GOES and RBSP satellites and on the geomagnetically conjugate stations; however, the PI was only noted on the Earth. The PI was detected in the afternoon sector practically simultaneously (within 1 min) with the shock wave impact on the magnetopause. The wave's response to the SC includes the strongly decaying resonant oscillations of the magnetic shells and the magnetoacoustic cavity mode. This study supports the possibility of detecting the ionospheric response to the SC by the GPS method. The TEC response to the MI was detected in the auroral latitudes although not on every radio path. The TEC modulation can be associated with the precipitation of superthermal electrons into the lower ionosphere which is undetectable by riometers. The burst in the intensity of the geomagnetically induced currents caused by an interplanetary shock wave turns out to be higher than the currents during the storm's commencement, although the SC's amplitude is noticeably lower than the amplitude of the magnetic bay related to the substorm.</t>
  </si>
  <si>
    <t>Sakharov, Yaroslav/A-6657-2017; Kozyreva, Olga/X-5174-2019; Bravo, Manuel/AAD-8540-2020; Romanova, Natalia/O-5195-2014; Pilipenko, Vyacheslav/K-9747-2015; Samsonov, Sergey/E-3461-2014</t>
  </si>
  <si>
    <t>Samsonov, Sergey/0000-0002-5897-6730; Bravo Sepulveda, Manuel Alejandro/0000-0002-5648-429X; Sakharov, Yaroslav/0000-0001-8808-8577</t>
  </si>
  <si>
    <t>1069-3513</t>
  </si>
  <si>
    <t>1555-6506</t>
  </si>
  <si>
    <t>10.1134/S1069351318050129</t>
  </si>
  <si>
    <t>WOS:000443851200007</t>
  </si>
  <si>
    <t>Aujogue, JB</t>
  </si>
  <si>
    <t>Aujogue, Jean-Baptiste</t>
  </si>
  <si>
    <t>On embedding of repetitive Meyer multiple sets into model multiple sets</t>
  </si>
  <si>
    <t>ERGODIC THEORY AND DYNAMICAL SYSTEMS</t>
  </si>
  <si>
    <t>Model sets are always Meyer sets but the converse is generally not true. In this work we show that for a repetitive Meyer multiple set of R-d with associated dynamical system. (X, R-d), the property of being a model multiple set is equivalent to (X, R-d) being almost automorphic. We deduce this by showing that a repetitive Meyer multiple set can always be embedded into a repetitive model multiple set having a smaller group of topological eigenvalues.</t>
  </si>
  <si>
    <t>0143-3857</t>
  </si>
  <si>
    <t>1469-4417</t>
  </si>
  <si>
    <t>10.1017/etds.2014.133</t>
  </si>
  <si>
    <t>WOS:000382852300001</t>
  </si>
  <si>
    <t>García-Marcos, L; Mallol, J; Sánchez-Solís, M; Solé, D; Brand, PLP</t>
  </si>
  <si>
    <t>Garcia-Marcos, Luis; Mallol, Javier; Sanchez-Solis, Manuel; Sole, Dirceu; Brand, Paul L. P.</t>
  </si>
  <si>
    <t>EISL Study Grp</t>
  </si>
  <si>
    <t>Wheezing and pneumonia during the first year of life: An international epidemiological approach</t>
  </si>
  <si>
    <t>EUROPEAN RESPIRATORY JOURNAL</t>
  </si>
  <si>
    <t>Brand, Paul/ABB-3693-2021; Solé, Dirceu/JAO-0340-2023; Sanchez-Solis, Manuel/AAQ-8717-2020</t>
  </si>
  <si>
    <t>0903-1936</t>
  </si>
  <si>
    <t>1399-3003</t>
  </si>
  <si>
    <t>SEP 1</t>
  </si>
  <si>
    <t>WOS:000449650904244</t>
  </si>
  <si>
    <t>Koutrakis, P; Sax, SN; Sarnat, JA; Coull, B; Demokritou, P; Oyola, P; Garcia, J; Gramsch, E</t>
  </si>
  <si>
    <t>Analysis of PM10, PM2.5, and PM2.5-10 concentrations in Santiago, Chile, from 1989 to 2001</t>
  </si>
  <si>
    <t>JOURNAL OF THE AIR &amp; WASTE MANAGEMENT ASSOCIATION</t>
  </si>
  <si>
    <t>Daily particle samples were collected in Santiago, Chile, at four urban locations from January 1, 1989, through December 31, 2001. Both fine PM with da&lt;2.5 mum (PM2.5) and coarse PM with 2.5&lt;10 mum (PM2.5-10) were collected using dichotomous samplers. The inhalable particle fraction, PM10, was determined as the sum of fine and coarse concentrations. Wind speed, temperature and relative humidity (RH) were also measured continuously. Average concentrations of PM2.5 for the 1989-2001 period ranged from 38.5 mug/m(3) to 53 mug/m(3). For PM2.5-10 levels ranged from 35.8-48.2 mug/m(3) and for PM10 results were 74.4-101.2 mug/m(3) across the four sites. Both annual and daily PM2.5 and PM10 concentration levels exceeded the U.S. National Ambient Air Quality Standards. and the European Union concentration limits. Mean PM2.5 levels during the cold season (April through September) were more than twice as high as those observed in the warm season (October through March); whereas coarse particle levels were similar in both seasons. PM concentration trends were investigated using regression models,controlling for site, weekday, month, wind speed, temperature, and RH. Results showed that PM2.5 concentrations decreased substantially, 52% over the 12-year period (1989-2000), whereas PM2.5-10 concentrations increased by similar to50% in the first 5 years and then decreased by a similar percentage over the following 7 years. These decreases were evident even after controlling for significant climatic effects. These results suggest that the pollution reduction programs developed and implemented by the Comision Nacional del Medio Ambiente (CONAMA) have been effective in reducing particle levels in the Santiago Metropolitan region. However, particle levels remain high and it is thus imperative that efforts to improve air,quality continue.</t>
  </si>
  <si>
    <t>Demokritou, Philip/KFS-7813-2024; Gramsch, Ernesto/M-5507-2017</t>
  </si>
  <si>
    <t>Gramsch, Ernesto/0000-0002-6787-7355</t>
  </si>
  <si>
    <t>1047-3289</t>
  </si>
  <si>
    <t>10.1080/10473289.2005.10464627</t>
  </si>
  <si>
    <t>WOS:000227507100010</t>
  </si>
  <si>
    <t>Bernal, R; Coste, C; Lund, F; Melo, F</t>
  </si>
  <si>
    <t>Normal-mode-vortex interactions</t>
  </si>
  <si>
    <t>Standing surface waves that interact with a confined, vertical, vorticity field with zero net circulation are studied both analytically and experimentally. The surface waves are generated by vertical vibration, and constant vorticity injection is achieved by a rotating disk flush mounted in the cell. Experimental results are indicative of a local wave-vortex interaction (no dislocation), and a simple theoretical model is able to explain them in quantitative detail.</t>
  </si>
  <si>
    <t>Melo, Francisco/M-3923-2014; Lund, Fernando/H-1840-2016; Bernal, Roberto/E-5275-2011</t>
  </si>
  <si>
    <t>Bernal, Roberto/0000-0002-4295-270X; Melo, Francisco Esteban/0000-0001-6818-5476</t>
  </si>
  <si>
    <t>10.1103/PhysRevLett.89.034501</t>
  </si>
  <si>
    <t>WOS:000176599500018</t>
  </si>
  <si>
    <t>García, A; Macías, A; Socorro, J</t>
  </si>
  <si>
    <t>Electrovacuum sector of the MAG theories</t>
  </si>
  <si>
    <t>We consider the electrovacuum sector of a (non-Riemannian) metric-affine gravity theory (MAG). We present a general class of electrovacuum stationary axisymmetric solutions and its corresponding cylindrical symmetric counterpart. In its real general relativity cut-off this class of solutions contains the well known Plebanski-Demianski classes of Petrov type D metrics. The same happens with its corresponding colliding waves counterpart. Moreover, also all known electrovacuum and vacuum MAG solutions are contained in this class.</t>
  </si>
  <si>
    <t>Socorro, J/AAC-1636-2021; Macias, Alfredo/N-9655-2018</t>
  </si>
  <si>
    <t>Macias, Alfredo/0000-0003-2431-1199</t>
  </si>
  <si>
    <t>10.1088/0264-9381/16/1/007</t>
  </si>
  <si>
    <t>WOS:000078469500007</t>
  </si>
  <si>
    <t>Gallardo, M; Arancibia, R; Supuran, CT; Nocentini, A; Villaman, D; Toro, PM; Muñoz-Osses, M; Mascayano, C</t>
  </si>
  <si>
    <t>Gallardo, Miguel; Arancibia, Rodrigo; Supuran, Claudiu T.; Nocentini, Alessio; Villaman, David; Toro, Patricia M.; Munoz-Osses, Michelle; Mascayano, Carolina</t>
  </si>
  <si>
    <t>Development of novel organometallic sulfonamides with N-ethyl or N-methyl benzenesulfonamide units as potential human carbonic anhydrase I, II, IX and XII isoforms' inhibitors: Synthesis, biological evaluation and docking studies</t>
  </si>
  <si>
    <t>In the search of new cymantrenyl- and ferrocenyl-sulfonamides as potencial inhibitors of human carbonic anhydrases (hCAs), four compounds based on N-ethyl or N-methyl benzenesulfonamide units have been obtained. These cymantrenyl (1a-b) and ferrocenyl (2a-b) derivatives were prepared by the reaction between aminobenzene sulfonamides ([NH2-(CH2)n-(C6H4)-SO2-NH2)], where n = 1, 2) with cymantrenyl sulfonyl chloride (P1) or ferrocenyl sulfonyl chloride (P2), respectively. All compounds were characterized by conventional spectroscopic techniques and cyclic voltammetry. In the solid state, the molecular structures of compounds 1a, 1b, and 2b were determined by single-crystal X-ray diffraction. Biological evaluation as carbonic anhydrases inhibitors were carried out and showed derivatives 1b y 2b present a higher inhibition than the drug control for the Human Carbonic Anhydrase (hCA) II and IX isoforms (KI = 7.3 nM and 5.8 nM, respectively) and behave as selective inhibition for hCA II isoform. Finally, the docking studies confirmed they share the same binding site and interactions as the known inhibitors acetazolamide (AAZ) and agree with biological studies.</t>
  </si>
  <si>
    <t>Supuran, Claudiu/A-5151-2008; Nocentini, Alessio/AAL-4926-2021; Toro, Patricia/IWU-5936-2023</t>
  </si>
  <si>
    <t>Mascayano Collado, Carolina Lorena/0000-0002-3488-9309</t>
  </si>
  <si>
    <t>10.1016/j.jinorgbio.2024.112689</t>
  </si>
  <si>
    <t>WOS:001292627100001</t>
  </si>
  <si>
    <t>Bustamante, RO; Iturriaga, A; Flores-Alvarado, S; García, RA; Goncalves, E</t>
  </si>
  <si>
    <t>Bustamante, Ramiro O.; Iturriaga, Andres; Flores-Alvarado, Sandra; Garcia, Rafael A.; Goncalves, Estefany</t>
  </si>
  <si>
    <t>On the use of prior distributions in bayesian inference applied to Ecology: an ecological example using binomial proportions in exotic plants, Central Chile</t>
  </si>
  <si>
    <t>BackgroundThe use of Bayesian inference (BI) is a common methodology for data analysis in Ecology and Evolution. This statistical approach is particularly useful in cases which information is scarce, because allows formalizing sources of information, other than sampling data (priors), obtained from technical reports, expert opinions and beliefs. Recent reviews detected that most ecological studies use non-informative priors without any justification, ignoring other sources of independent information available to construct informative priors. In this study, we examined how the selection of informative or non-informative priors, affects hypothesis testing. We compared the proportion of occupied sites (occupancy) in four exotic plant species living in two contrasting environments in Central Chile. Given that occupancy is related to binomial proportions, we developed a statistical procedure based on beta distribution, to compare occupancies using Bayes factor.ResultsBayes factor obtained from different non-informative priors led to similar inferences relative to H-0. The use of informative prior drastically changed our decisions about H-0 in three of four plant species.ConclusionsThe selection of priors is critical because they determine hypothesis testing. The use of independent information will improve our inferences, which is precisely the strength of BI. We hypothesize that the reluctance to use informative priors in ecological studies reflects extreme positivism and the use of non-informative priors is a strategy to avoid subjectivity; by doing that, ecologists depart from the philosophy of BI which accepts that the subjective knowledge is a valid, and sometimes the only alternative, to know the world.</t>
  </si>
  <si>
    <t>BUSTAMANTE, RAMIRO/I-7353-2019; Flores-Alvarado, Sandra/JPL-8077-2023</t>
  </si>
  <si>
    <t>BUSTAMANTE, RAMIRO/0000-0001-6441-7006; Flores-Alvarado, Sandra/0000-0003-0490-0578; Iturriaga Jofre, Andres/0000-0001-5245-6016</t>
  </si>
  <si>
    <t>10.1186/s40693-023-00118-0</t>
  </si>
  <si>
    <t>WOS:001038946700001</t>
  </si>
  <si>
    <t>Rodriguez, JK; Procter, S; Arrau, GP</t>
  </si>
  <si>
    <t>Rodriguez, Jenny K.; Procter, Stephen; Arrau, Gregorio Perez</t>
  </si>
  <si>
    <t>Reconfigured professional purpose in times of crisis: Experiences of frontline healthcare professionals during the COVID-19 pandemic</t>
  </si>
  <si>
    <t>How is professional purpose impacted in the context of a crisis? Building on discussions about professional purpose and identity, the paper explores how the understanding that professionals have about the framing, scope of functioning and aims of their profession is impacted during a time of crisis. The paper draws on interviews with 41 kinesiologists working at an accidents &amp; emergencies (A &amp; E) hospital in Chile during the COVID-19 pandemic. The paper shows professional purpose as a fluid, situated notion that gets re-shaped in light of contextual features. In the face of new and changing demands during times of crisis, professionals reconfigure their professional purpose to take advantage of the opportunities available. This reconfiguration takes place in response to the external context of the profession (its positioning in the public domain) and the internal relational context of the profession (its positioning with other professionals). The paper suggests a research agenda to develop a processual, situated approach to the interrogation of professional purpose to embed contextual features in scholarship in this area.</t>
  </si>
  <si>
    <t>Perez-Arrau, Gregorio/0000-0002-3592-3847; Rodriguez, Jenny K/0000-0001-9288-6125</t>
  </si>
  <si>
    <t>10.1016/j.socscimed.2023.116032</t>
  </si>
  <si>
    <t>JUN 2023</t>
  </si>
  <si>
    <t>WOS:001036401600001</t>
  </si>
  <si>
    <t>Reyes, JS; Fuentes-Lemus, E; Romero, J; Arenas, F; Fierro, A; Davies, MJ; López-Alarcón, C</t>
  </si>
  <si>
    <t>Reyes, Juan Sebastian; Fuentes-Lemus, Eduardo; Romero, Jefferson; Arenas, Felipe; Fierro, Angelica; Davies, Michael J.; Lopez-Alarcon, Camilo</t>
  </si>
  <si>
    <t>OXIDATION OF 6-PHOSPHOGLUCONOLACTONASE MEDIATED BY PEROXYL RADICALS AFFECTS SPECIFIC AMINO ACIDS AND TRIGGERS PROTEIN AGGREGATION: CONSEQUENCES FOR THE PENTOSE PHOSPHATE PATHWAY</t>
  </si>
  <si>
    <t>FREE RADICAL BIOLOGY AND MEDICINE</t>
  </si>
  <si>
    <t>Annual Meeting of the Society for Free Radical Research Europe (SFRR E)</t>
  </si>
  <si>
    <t>JUN 06-09, 2023</t>
  </si>
  <si>
    <t>Vienna, AUSTRIA</t>
  </si>
  <si>
    <t>Fierro, Angelica/AAJ-2533-2020; Lopez, Camilo/J-5770-2013; Davies, Michael/H-4939-2011; Fuentes Lemus, Eduardo/X-4292-2019</t>
  </si>
  <si>
    <t>0891-5849</t>
  </si>
  <si>
    <t>1873-4596</t>
  </si>
  <si>
    <t>MAY 20</t>
  </si>
  <si>
    <t>OP IV_23</t>
  </si>
  <si>
    <t>10.1016/j.freeradbiomed.2023.03.087</t>
  </si>
  <si>
    <t>WOS:000994966600060</t>
  </si>
  <si>
    <t>Reyes, JS; Fuentes-Lemus, E; Figueroa, JD; Rojas, J; Fierro, A; Arenas, F; Hägglund, PM; Davies, MJ; López-Alarcón, C</t>
  </si>
  <si>
    <t>Sebastian Reyes, Juan; Fuentes-Lemus, Eduardo; David Figueroa, Juan; Rojas, Javier; Fierro, Angelica; Arenas, Felipe; Hagglund, Per M.; Davies, Michael J.; Lopez-Alarcon, Camilo</t>
  </si>
  <si>
    <t>Implications of differential peroxyl radical-induced inactivation of glucose 6-phosphate dehydrogenase and 6-phosphogluconate dehydrogenase for the pentose phosphate pathway</t>
  </si>
  <si>
    <t>Escherichia coli glucose-6-phosphate dehydrogenase (G6PDH) and 6-phosphogluconate dehydrogenase (6PGDH) are key enzymes of the pentose phosphate pathway, responsible for the NADPH production in cells. We investigated modification of both enzymes mediated by peroxyl radicals (ROO) to determine their respective susceptibilities to and mechanisms of oxidation. G6PDH and 6PGDH were incubated with AAPH (2,2 '-azobis(2-methylpropionamidine)dihydrochloride), which was employed as ROO source. The enzymatic activities of both enzymes were determined by NADPH release, with oxidative modifications examined by electrophoresis and liquid chromatography (LC) with fluorescence and mass (MS) detection. The activity of G6PDH decreased up to 62.0 +/- 15.0% after 180 min incubation with 100 mM AAPH, whilst almost total inactivation of 6PGDH was determined under the same conditions. Although both proteins contain abundant Tyr (particularly 6PGDH), these residues were minimally affected by ROO, with Trp and Met being major targets. LC-MS and in silico analysis showed that the modification sites of G6PDH are distant to the active site, consistent with a dispersed distribution of modifications, and inactivation resulting from oxidation of multiple Trp and Met residues. In contrast, the sites of oxidation detected on 6PGDH are located close to its catalytic site indicating a more localized oxidation, and a consequent high susceptibility to ROO-mediated inactivation.</t>
  </si>
  <si>
    <t>Fuentes Lemus, Eduardo/X-4292-2019; Figueroa, Juan/JEP-6164-2023; Fierro, Angelica/AAJ-2533-2020; Hägglund, Per/X-4881-2019; Lopez, Camilo/J-5770-2013; Davies, Michael/H-4939-2011</t>
  </si>
  <si>
    <t>Davies, Michael/0000-0002-5196-6919; Reyes, Juan Sebastian/0000-0003-0871-6188; Figueroa Alegria, Juan David/0009-0000-3920-4412; Fuentes Lemus, Eduardo/0000-0002-1465-8466; Fierro Huerta, Angelica/0000-0002-6507-4188; Hagglund, Per/0000-0002-6627-7518; Lopez, Camilo/0000-0002-0174-8972</t>
  </si>
  <si>
    <t>DEC 7</t>
  </si>
  <si>
    <t>10.1038/s41598-022-25474-x</t>
  </si>
  <si>
    <t>WOS:000905463900040</t>
  </si>
  <si>
    <t>Sousa, ACC; Romo, AIB; Almeida, RR; Silva, ACC; Fechine, LMU; Brito, DHA; Freire, RM; Pinheiro, DP; Silva, LMR; Pessoa, ODL; Denardin, JC; Pessoa, C; Ricardo, NMPS</t>
  </si>
  <si>
    <t>Sousa, Alexandre C. C.; Romo, Adolfo I. B.; Almeida, Raimundo R.; Silva, Aierta C. C.; Fechine, Lillian M. U.; Brito, Debora H. A.; Freire, Rafael M.; Pinheiro, Daniel P.; Silva, Larissa M. R.; Pessoa, Otilia D. L.; Denardin, Juliano C.; Pessoa, Claudia; Ricardo, Nagila M. P. S.</t>
  </si>
  <si>
    <t>Starch-based magnetic nanocomposite for targeted delivery of hydrophilic bioactives as anticancer strategy</t>
  </si>
  <si>
    <t>CARBOHYDRATE POLYMERS</t>
  </si>
  <si>
    <t>Magnetic nanocomposites were synthesized for the targeted delivery of hydrophilic bioactives through guidance generated by a magnetic field. Superparamagnetic iron oxide nanoparticles (SPIONs) were used to generate hydroxyethyl starch magnetic nanocapsules (HES MNCs). This synthesis allowed the co-encapsulation of oncocalyxone A (onco A) and surface-modified magnetite nanoparticles (Fe3O4@citrate) into the same nanostructure. The synthesized nanocapsules exhibited a core-shell morphology, with an average diameter of 143 nm. This nanocomposite showed potential anticancer activity (IC50) against four human tumor cell lines: glioblastoma SNB-19 (1.010 ?gmL-1), colon carcinoma HCT-116 (2.675 ?gmL-1), prostate PC3 (4.868 ?gmL-1), and leukemia HL-60 (2.166 ?gmL-1). Additionally, in vivo toxicity and locomotor activity were evaluated in a zebrafish (Danio rerio) model. The nanocomposite exhibited in vitro cytotoxicity, prolonged drug release profile and also responded to an applied magnetic field, representing a versatile compound with perspectives for highest concentration of different hydrophilic bioactives in a target tissue through magnetic vectorization.</t>
  </si>
  <si>
    <t>Denardin, Juliano/S-6407-2019; Pessoa, Otilia/L-8863-2016; Brito, Débora/IAQ-8015-2023; Romo, Adolfo/ABH-1261-2020; Ricardo, Nágila/C-3630-2015; Carreira da Cruz Sousa, Alexandre/HLQ-1316-2023; Claudia, Pessoa/F-1944-2015; Dutra, Lillian/AAD-7774-2022</t>
  </si>
  <si>
    <t>Pascoalino Pinheiro, Daniel/0000-0002-5499-5547; Pessoa, Otilia/0000-0002-1617-7586; Carreira da Cruz Sousa, Alexandre/0000-0002-5455-7256; Barros Romo, Adolfo Ignacio/0000-0002-9288-2420</t>
  </si>
  <si>
    <t>0144-8617</t>
  </si>
  <si>
    <t>1879-1344</t>
  </si>
  <si>
    <t>10.1016/j.carbpol.2021.118017</t>
  </si>
  <si>
    <t>WOS:000647408500002</t>
  </si>
  <si>
    <t>Cushnie, TPT; Cushnie, B; Echeverría, J; Fowsantear, W; Thammawat, S; Dodgson, JLA; Law, S; Clow, SM</t>
  </si>
  <si>
    <t>Cushnie, T. P. Tim; Cushnie, Benjamart; Echeverria, Javier; Fowsantear, Winita; Thammawat, Sutthiwan; Dodgson, Jolyon L. A.; Law, Samantha; Clow, Simon M.</t>
  </si>
  <si>
    <t>Bioprospecting for Antibacterial Drugs: a Multidisciplinary Perspective on Natural Product Source Material, Bioassay Selection and Avoidable Pitfalls</t>
  </si>
  <si>
    <t>PHARMACEUTICAL RESEARCH</t>
  </si>
  <si>
    <t>Bioprospecting is the exploration, extraction and screening of biological material and sometimes indigenous knowledge to discover and develop new drugs and other products. Most antibiotics in current clinical use (eg. beta-lactams, aminoglycosides, tetracyclines, macrolides) were discovered using this approach, and there are strong arguments to reprioritize bioprospecting over other strategies in the search for new antibacterial drugs. Academic institutions should be well positioned to lead the early stages of these efforts given their many thousands of locations globally and because they are not constrained by the same commercial considerations as industry. University groups can lack the full complement of knowledge and skills needed though (eg. how to tailor screening strategy to biological source material). In this article, we review three key aspects of the bioprospecting literature (source material andin vitroantibacterial and toxicity testing) and present an integrated multidisciplinary perspective on (a) source material selection, (b) legal, taxonomic and other issues related to source material, (c) cultivation methods, (d) bioassay selection, (e) technical standards available, (f) extract/compound dissolution, (g) use of minimum inhibitory concentration and selectivity index values to identify progressible extracts and compounds, and (h) avoidable pitfalls. The review closes with recommendations for future study design and information on subsequent steps in the bioprospecting process.</t>
  </si>
  <si>
    <t>Echeverría, Javier/AAK-3323-2020; Cushnie, Tim/B-1123-2012</t>
  </si>
  <si>
    <t>Echeverria, Javier/0000-0002-1688-968X; Cushnie, Benjamart/0009-0005-0188-2361; Cushnie, Tim/0000-0002-6019-0016</t>
  </si>
  <si>
    <t>0724-8741</t>
  </si>
  <si>
    <t>1573-904X</t>
  </si>
  <si>
    <t>JUN 11</t>
  </si>
  <si>
    <t>10.1007/s11095-020-02849-1</t>
  </si>
  <si>
    <t>WOS:000543520800003</t>
  </si>
  <si>
    <t>Navarrete, E; Rojas, V; Romero, M; Román, J; Cáceres, G; Henríquez, R; Grez, P; Schrebler, R; Herrera, F; Muñoz, EC</t>
  </si>
  <si>
    <t>Navarrete, Emilio; Rojas, Victor; Romero, Mario; Roman, J.; Caceres, G.; Henriquez, Rodrigo; Grez, Paula; Schrebler, Ricardo; Herrera, Francisco; Munoz, Eduardo C.</t>
  </si>
  <si>
    <t>Irreversible electrostatic deposition of CdTe quantum dots on glassy carbon electrodes from colloidal solutions</t>
  </si>
  <si>
    <t>Cadmium telluride quantum dots (CdTe-QDs) can be deposited from colloidal solutions on glassy carbon (GC) electrodes potentiostatically. The immobilization of QDs can be performed at potentials positive and negative from the potential of zero charge (PZC = 0.45 V vs. Ag/AgCl), including the open circuit potential. The surface coverage of QDs depends on the deposition potential and time. The amount of QD layers was determined by following the redox process of cadmium by cyclic voltammetry and chronoamperometry. Additionally, the QD layers were characterized by scanning electrochemical microscopy (SECM) indicating a decrease of the surface conductivity of GC electrodes.</t>
  </si>
  <si>
    <t>Henríquez, Rodrigo/E-2155-2014; Romero, Mario/F-8103-2017; Román-Silva, Javier/AFX-7477-2022</t>
  </si>
  <si>
    <t>Herrera, Francisco/0000-0001-7783-2970; Munoz, Eduardo/0000-0002-9844-961X; Caceres Inzunza, Gustavo Alejandro/0000-0002-4483-2672; Roman Silva, Javier Ignacio/0000-0002-3143-6128; Rojas, Victor/0000-0002-5009-0046</t>
  </si>
  <si>
    <t>1433-0768</t>
  </si>
  <si>
    <t>10.1007/s10008-019-04476-2</t>
  </si>
  <si>
    <t>WOS:000574054600001</t>
  </si>
  <si>
    <t>Hernández-Cáceres, MP; Toledo-Valenzuela, L; Díaz-Castro, F; Avalos, Y; Burgos, P; Narro, C; Peña-Oyarzun, D; Espinoza-Caicedo, J; Cifuentes-Araneda, F; Navarro-Aguad, F; Riquelme, C; Troncoso, R; Criollo, A; Morselli, E</t>
  </si>
  <si>
    <t>Paz Hernandez-Caceres, Maria; Toledo-Valenzuela, Lilian; Diaz-Castro, Francisco; Avalos, Yenniffer; Burgos, Paulina; Narro, Carla; Pena-Oyarzun, Daniel; Espinoza-Caicedo, Jasson; Cifuentes-Araneda, Flavia; Navarro-Aguad, Fernanda; Riquelme, Cecilia; Troncoso, Rodrigo; Criollo, Alfredo; Morselli, Eugenia</t>
  </si>
  <si>
    <t>Palmitic Acid Reduces the Autophagic Flux and Insulin Sensitivity Through the Activation of the Free Fatty Acid Receptor 1 (FFAR1) in the Hypothalamic Neuronal Cell Line N43/5</t>
  </si>
  <si>
    <t>Chronic consumption of high fat diets (HFDs), rich in saturated fatty acids (SatFAs) like palmitic acid (PA), is associated with the development of obesity and obesity-related metabolic diseases such as type II diabetes mellitus (T2DM). Previous studies indicate that PA accumulates in the hypothalamus following consumption of HFDs; in addition, HFDs consumption inhibits autophagy and reduces insulin sensitivity. Whether malfunction of autophagy specifically in hypothalamic neurons decreases insulin sensitivity remains unknown. PA does activate the Free Fatty Acid Receptor 1 (FFAR1), also known as G protein-coupled receptor 40 (GPR40); however, whether FFAR1 mediates the effects of PA on hypothalamic autophagy and insulin sensitivity has not been shown. Here, we demonstrate that exposure to PA inhibits the autophagic flux and reduces insulin sensitivity in a cellular model of hypothalamic neurons (N43/5 cells). Furthermore, we show that inhibition of autophagy and the autophagic flux reduces insulin sensitivity in hypothalamic neuronal cells. Interestingly, the inhibition of the autophagic flux, and the reduction in insulin sensitivity are prevented by pharmacological inhibition of FFAR1. Our findings show that dysregulation of autophagy reduces insulin sensitivity in hypothalamic neuronal cells. In addition, our data suggest FFAR1 mediates the ability of PA to inhibit autophagic flux and reduce insulin sensitivity in hypothalamic neuronal cells. These results reveal a novel cellular mechanism linking PA-rich diets to decreased insulin sensitivity in the hypothalamus and suggest that hypothalamic autophagy might represent a target for future T2DM therapies.</t>
  </si>
  <si>
    <t>Pena-Oyarzun, Daniel/Y-9968-2019; Criollo, Alfredo/HMP-2062-2023; Moruno-Manchon, Jose Felix/AAC-5958-2022; Troncoso, Rodrigo/I-1915-2013</t>
  </si>
  <si>
    <t>Avalos, Yenniffer/0000-0002-0450-8552; Hernandez-Caceres, Maria Paz/0000-0003-2365-9652; Troncoso, Rodrigo/0000-0003-0796-5908; Criollo, Alfredo/0000-0002-2737-7751; Morselli, Eugenia/0000-0002-7840-8351; TOLEDO VALENZUELA, LILIAN/0000-0002-8215-2176; Diaz-Castro, Francisco/0000-0003-1644-8742</t>
  </si>
  <si>
    <t>MAR 26</t>
  </si>
  <si>
    <t>10.3389/fendo.2019.00176</t>
  </si>
  <si>
    <t>WOS:000462498100001</t>
  </si>
  <si>
    <t>García, M; Honores, J; Celis, F; Fuenzalida, F; Arce, R; Aguirre, MJ; Aracena, A</t>
  </si>
  <si>
    <t>Garcia, Macarena; Honores, Jessica; Celis, Freddy; Fuenzalida, Francesca; Arce, Roxana; Aguirre, Maria J.; Aracena, Andres</t>
  </si>
  <si>
    <t>Imidazolium-based ionic liquids as stabilizers for electrode modification with water-soluble porphyrin</t>
  </si>
  <si>
    <t>The water-soluble porphyrin, known as 5,10,15,20-tetrakis(1-methyl-4-pyridyl)porphyrin (TMPyP), was successfully stabilized onto a carbon paste electrode (CP) by covering up the TMPyP-modified surface with a layer of ionic liquid (IL), particularly 1-butyl-3-methyl imidazolium hexafluorophosphate (BMim PF6) or 1-butyl-3-methyl imidazolium bis(trifluoromethylsulfonyl)imide (BMim NTf2). Noncovalent interactions established between TMPyP and ILs combined with the hydrophobicity of the latter yielded a new class of modified electrodes, denoted as CP/TMPyP/IL. These new systems exhibited higher electroactive areas as compared to those of CP and CP/IL electrodes, as well as a stable and reproducible electrochemical behavior in aqueous solutions. The obtained CP/TMPyP/BMim PF6 and CP/TMPyP/BMim NTf2 electrodes were used as electrochemical sensors for nitrite oxidation. The positive results showed that these electrodes can be considered as an alternative for nitrite detection in the concentration range under investigation.</t>
  </si>
  <si>
    <t>Celis, Freddy/GPT-0287-2022; Aracena, Andres/MCK-0713-2025; Arce, Roxana/V-8140-2019; García, Macarena/GXG-8380-2022; Aguirre, Maria/A-3935-2013</t>
  </si>
  <si>
    <t>Honores Sotelo, Jessica/0000-0003-1172-4728; Aracena, Andres/0000-0002-8367-3520; Celis, Freddy/0000-0003-3195-3018; Aguirre, Maria/0000-0003-1134-4469; , Roxana/0000-0002-7529-8011; ARCE, ROXANA/0000-0002-1387-9232; Garcia, Macarena/0000-0002-8049-608X</t>
  </si>
  <si>
    <t>10.1039/c8nj05455j</t>
  </si>
  <si>
    <t>WOS:000459581000030</t>
  </si>
  <si>
    <t>Tapia, C; Daud, O; Ruiz-Del-Solar, J</t>
  </si>
  <si>
    <t>Tapia, Claudio; Daud, Omar; Ruiz-del-Solar, Javier</t>
  </si>
  <si>
    <t>EMG Signal Filtering Based on Independent Component Analysis and Empirical Mode Decomposition for Estimation of Motor Activation Patterns</t>
  </si>
  <si>
    <t>JOURNAL OF MEDICAL AND BIOLOGICAL ENGINEERING</t>
  </si>
  <si>
    <t>A method based on independent component analysis (ICA) and empirical mode decomposition (EMD) for processing electromyographic (EMG) signals is proposed. This method is used for determining the motor activation pattern of the lower extremities during walking. The method is evaluated by recording EMG signals from 11 healthy women. The EMG signals used for the analysis are recorded from 16 muscles of both lower limbs during walking. The method consists of preprocessing the EMG signals using principal component analysis, analyzing them using ICA, and finally filtering them using EMD. This approach allows the reconstruction of the original source signals by filtering the components that do not have a muscular origin. These data are then segmented and processed using the Hilbert transform in order to obtain a representation of a gait cycle from all records. The activation patterns obtained with this method are compared to the ones obtained using a conventional method, based on low-pass filtering, and a method based only on EMD filtering. According to the results, the proposed method obtains a better sequence of motor activation during walking. The proposed method is validated by a comparison of the results with kinematic behavior (expressed as the angular movement of the hip, knee, and ankle of each participant) and statistical significance analysis.</t>
  </si>
  <si>
    <t>Tapia, Claudio/IUN-3159-2023; Ruiz-del-Solar, Javier/H-5214-2013</t>
  </si>
  <si>
    <t>Tapia, Claudio/0000-0001-7313-2483; Ruiz-del-Solar, Javier/0000-0003-2965-633X</t>
  </si>
  <si>
    <t>1609-0985</t>
  </si>
  <si>
    <t>2199-4757</t>
  </si>
  <si>
    <t>10.1007/s40846-016-0201-5</t>
  </si>
  <si>
    <t>WOS:000395053000015</t>
  </si>
  <si>
    <t>Bravo, R; Segovia, E; Guerrero, L; Montalvo, S; Barahona, A; Borja, R</t>
  </si>
  <si>
    <t>Bravo, R.; Segovia, E.; Guerrero, L.; Montalvo, S.; Barahona, A.; Borja, R.</t>
  </si>
  <si>
    <t>Total ammoniacal nitrogen biofiltration of wastewaters from aquaculture systems using Macrocystis spp.</t>
  </si>
  <si>
    <t>The results of total ammoniacal nitrogen (NH3 + NH4 +) removal in aquaculture systems using two experimental sets, aquatic seedlings produced in laboratory controlled conditions and wild seaweed (Macrocystis spp.) in reproductive state, are shown in this work. Biofiltration assays were carried out using a load of total ammoniacal nitrogen (TAN) of 1mg/L. Absorption rates were measured taking into account a previous surface characterization, which gave values of 44 +/- 14cm2/g and 18 +/- 6cm2/g for aquatic seedlings and wild algae, respectively. The following parameters were measured during the experimental runs: temperature, pH, O2, illuminance or light intensity, salinity and total solids. TAN removals of 61% and 70% were achieved for the seedlings and Macrocystis spp., respectively, after 17h of treatment. The TAN absorption results were expressed as a function of surface and mass achieving the following values: 3.0 nmol N cm2 h1 and 111 nmol N g1 h1 for the seedlings, and 6.9 nmol N cm2 h1 and 122.4 nmol N g1 h1 for the macroalgae. In the light of these biofiltration processes, the initial TAN concentration decreased by 90% for the seedlings and wild algae over approximately 110 and 41h, respectively. In addition, TAN removals achieved with Macrocystis spp. were always higher than those obtained with aquatic seedlings for the same operating periods.</t>
  </si>
  <si>
    <t>; Borja, Rafael/P-5314-2016</t>
  </si>
  <si>
    <t>SEGOVIA, ELIO/0000-0001-9808-2398; Borja, Rafael/0000-0002-3699-7223</t>
  </si>
  <si>
    <t>1532-4117</t>
  </si>
  <si>
    <t>10.1080/10934529.2013.728071</t>
  </si>
  <si>
    <t>WOS:000314451700006</t>
  </si>
  <si>
    <t>Flores, O; Pérez, H; Valladares, L; Morgan, C; Gatica, A; Burgos, H; Olivares, R; Hernández, A</t>
  </si>
  <si>
    <t>Flores, Osvaldo; Perez, Hernan; Valladares, Luis; Morgan, Carlos; Gatica, Arnaldo; Burgos, Hector; Olivares, Ricardo; Hernandez, Alejandro</t>
  </si>
  <si>
    <t>Hidden prenatal malnutrition in the rat: role of β1-adrenoceptors on synaptic plasticity in the frontal cortex</t>
  </si>
  <si>
    <t>Moderate reduction in the protein content of the mother's diet (hidden malnutrition) does not alter body and brain weights of rat pups at birth, but leads to dysfunction of neocortical noradrenaline systems together with impaired long-term potentiation and visuo-spatial memory performance. As beta(1)-adrenoceptors and downstream protein kinase signaling are critically involved in synaptic long-term potentiation and memory formation, we evaluated the beta(1)-adrenoceptor density and the expression of cyclic-AMP dependent protein kinase, calcium/calmodulin-dependent protein kinase and protein kinase Fyn, in the frontal cortex of prenatally malnourished adult rats. In addition, we also studied if beta(1)-adrenoceptor activation with the selective beta(1) agonist dobutamine could improve deficits of prefrontal cortex long-term potentiation presenting these animals. Prenatally malnourished rats exhibited half of beta(1)-adrenoceptor binding, together with a 51% and 65% reduction of cyclic AMP-dependent protein kinase a and calcium/calmodulin-dependent protein kinase a expression, respectively, as compared with eutrophic animals. Administration of the selective beta(1) agonist dobutamine prior to tetanization completely rescued the ability of the prefrontal cortex to develop and maintain long-term potentiation in the malnourished rats. Results suggest that under-expression of neocortical beta(1)-adrenoceptors and protein kinase signaling in hidden malnourished rats functionally affects the synaptic networks subserving prefrontal cortex long-term potentiation. beta(1)-Adrenoceptor activation was sufficient to fully recover neocortical plasticity in the PKA- and calcium/calmodulin-dependent protein kinase II-deficient undernourished rats, possibly by producing extra amounts of cAMP and/or by recruiting alternative signaling cascades.</t>
  </si>
  <si>
    <t>BURGOS, HECTOR/0000-0001-7705-4347; Hernandez, Alejandro/0000-0001-9222-6522</t>
  </si>
  <si>
    <t>10.1111/j.1471-4159.2011.07429.x</t>
  </si>
  <si>
    <t>WOS:000295973900007</t>
  </si>
  <si>
    <t>Flores, EIS; Neto, EAD; Pearce, C</t>
  </si>
  <si>
    <t>Saavedra Flores, E. I.; Neto, E. A. de Souza; Pearce, C.</t>
  </si>
  <si>
    <t>A large strain computational multi-scale model for the dissipative behaviour of wood cell-wall</t>
  </si>
  <si>
    <t>COMPUTATIONAL MATERIALS SCIENCE</t>
  </si>
  <si>
    <t>This paper investigates the non-linear irreversible behaviour of wood cell-walls by means of a finite element-based computational multi-scale approach. A finite strain three-scale model is proposed where the overall response of the cell-wall composite is obtained by the computational homogenisation of a Representative Volume Element (RVE) of cell-wall material, whose mechanical response prediction, in turn, involves the computational homogenisation of a cellulose core-RVE. Numerical material tests are conducted with the proposed model. The results are compared to published experimental data and demonstrate the predictive capability of the proposed model in capturing key features of cell-wall behaviour, such as viscous relaxation, recovery mechanism and hysteresis. The present results suggest a failure mechanism for the cell-wall under straining which is associated with the inelastic yielding of the amorphous portion of cellulose fibres. (C) 2010 Elsevier B.V. All rights reserved.</t>
  </si>
  <si>
    <t>Pearce, Chris/E-9121-2011; Flores, Erick/I-7646-2012</t>
  </si>
  <si>
    <t>de Souza Neto, Eduardo/0000-0002-9378-4590</t>
  </si>
  <si>
    <t>0927-0256</t>
  </si>
  <si>
    <t>1879-0801</t>
  </si>
  <si>
    <t>10.1016/j.commatsci.2010.11.023</t>
  </si>
  <si>
    <t>WOS:000287167500052</t>
  </si>
  <si>
    <t>Stepanova, M; Antonova, EE; Paredes-Davis, D; Ovchinnikov, IL; Yermolaev, YI</t>
  </si>
  <si>
    <t>Stepanova, M.; Antonova, E. E.; Paredes-Davis, D.; Ovchinnikov, I. L.; Yermolaev, Y. I.</t>
  </si>
  <si>
    <t>Spatial variation of eddy-diffusion coefficients in the turbulent plasma sheet during substorms</t>
  </si>
  <si>
    <t>Study of the plasma turbulence in the central plasma sheet was performed using the Interball-Tail satellite data. Fluctuations of the plasma bulk velocity in the plasma sheet were deduced from the measurements taken by the Corall instrument for different levels of geomagnetic activity and different locations inside the plasma sheet. The events that satisfied the following criteria were selected for analysis: number density 0.1-10 cm(-3), ion temperature T &gt;= 0.3 keV, and average bulk velocity &lt;= 100 km/s. It was found that the plasma sheet flow generally appears to be strongly turbulent, i.e. is dominated by fluctuations that are unpredictable. Corresponding eddy-diffusion coefficients in Y- and Z-direction in the GSM coordinate system were derived using the auto-correlation time and rms velocity. Statistical studies of variation of the eddy-diffusion coefficients with the location inside the plasma sheet showed a significant increase in these coefficients in the tailward direction. During substorms this dependence shows strong increase of eddy-diffusion in the central part of the plasma sheet at the distances of 10-30 Earth's radii. This effect is much stronger for Y- components of the eddy-diffusion coefficient, which could be related to the geometry of the plasma sheet, allowing more room for development of eddies in this direction.</t>
  </si>
  <si>
    <t>Yermolaev, Yuri/K-5759-2012; Antonova, Elizaveta/A-2716-2012; Stepanova, Marina/D-6329-2011; Ovchinnikov, Ilya/B-1467-2014</t>
  </si>
  <si>
    <t>Antonova, Elizaveta/0000-0001-6980-3993; Stepanova, Marina/0000-0002-1053-3375; Ovchinnikov, Ilya/0000-0003-2509-8166</t>
  </si>
  <si>
    <t>10.5194/angeo-27-1407-2009</t>
  </si>
  <si>
    <t>WOS:000265603100006</t>
  </si>
  <si>
    <t>Molimard, J; Cordero, R; Vautrin, A</t>
  </si>
  <si>
    <t>DulieuBarton, JM; Lord, JD; Greene, RJ</t>
  </si>
  <si>
    <t>Molimard, J.; Cordero, R.; Vautrin, A.</t>
  </si>
  <si>
    <t>A Signal to Noise Optimization Algorithm for Speckle Interferometry Applications</t>
  </si>
  <si>
    <t>ADVANCES IN EXPERIMENTAL MECHANICS VI</t>
  </si>
  <si>
    <t>Applied Mechanics and Materials</t>
  </si>
  <si>
    <t>6th International Conference on Advances in Experimental Mechanics</t>
  </si>
  <si>
    <t>SEP 09-11, 2008</t>
  </si>
  <si>
    <t>Natl Phys Lab, London, ENGLAND</t>
  </si>
  <si>
    <t>Airbus,AWE,Dantec Dynam,GOM,Instron,Imetrum,LaVision,Stresscraft,Assoc Francaise Mech,Engn Integr Soc,European Soc Expt Mech,German Soc Expt Stress Anal,Inst Mech Engineers,Inst Phys,Japan Soc Expt Mech,Soc Expt Mech</t>
  </si>
  <si>
    <t>Natl Phys Lab</t>
  </si>
  <si>
    <t>Optical Full Field Techniques (OFFT) are more and more utilized by mechanical laboratories. Among these methods, interferometry techniques (mainly composed of Speckle/Grating Interferometry or Speckle/Grating Shearography) are more difficult to use in a mechanical lab context, because of their sensitivity to external vibrations (except shearography), and because of the global lack of optical culture of mechanical engineers. Speckle-based methods are of great practical interest for the users, but their signal to noise ratio (SNR) is affected by the rigid body motion of the specimen. Here, the speckle decorrelation is minimized at local scale directly using the SNR. First, a shearography experiment is modeled to characterize the recorrelation procedure for a rigid body motion, a constant strain map and finally a high degree of localization. The mean noise level is found to be 6 times higher than a fully-correlated phase map for a 1 pixel speckle size. Last, a first application to a single-ply fabric composite lamina is shown. Resulting strain maps are of high quality with a very low spatial resolution (4 pixels). The local bending / global tension coupling effect is clearly put in evidence.</t>
  </si>
  <si>
    <t>Cordero, Raul/M-7979-2017; Molimard, Jerome/B-1965-2010</t>
  </si>
  <si>
    <t>Molimard, Jerome/0000-0002-3402-4970</t>
  </si>
  <si>
    <t>1660-9336</t>
  </si>
  <si>
    <t>13-14</t>
  </si>
  <si>
    <t>10.4028/www.scientific.net/AMM.13-14.29</t>
  </si>
  <si>
    <t>WOS:000262062700004</t>
  </si>
  <si>
    <t>Humeres, E; Mascayano, C; Riadi, G; González-Nilo, F</t>
  </si>
  <si>
    <t>Humeres, Eduardo; Mascayano, Carolina; Riadi, Gonzalo; Gonzalez-Nilo, Fernando</t>
  </si>
  <si>
    <t>Molecular dynamics simulation of the aqueous solvation shell of cellulose and xanthate ester derivatives</t>
  </si>
  <si>
    <t>JOURNAL OF PHYSICAL ORGANIC CHEMISTRY</t>
  </si>
  <si>
    <t>MD simulations of a pentasaccharide having D-glucopyranoside residues connected by (1 -&gt; 4)-beta glycosidic linkages, as a model of cellulose solvated in water, were carried out comparing the solvation of the hydroxyl group at C-2 of the central ring of the pentamer and that of a single glucopyranose ring. MD simulations of 10 nsec were carried under NPT and periodic boundary conditions at 298 K and 1 atm. Explicit solvent (TIP3) and the force field CHARMM27 (modified for xanthate ester derivatives) were used in the molecular dynamics simulations. RDF calculations with respect to O-2 of the central ring of the pentamer showed a well structured first solvation shell followed by secondary shells. When comparing the simulations of the pentamer to a single glucopyranose ring, it was observed that the solvation of O-2 was lower for one repetitive unit, indicating that the pentamer had a stronger H-bond structure of water around O-2 due to the cooperative effect of the neighboring residues. When the O-2 of the central ring of the pentamer was substituted by a p-nitrobenzylxanthate moiety (pentXNB) there was a strong decrease in the hydration of the substituted O-2 but the carbon and the sulfur of the thiocarbonyl group were clearly hydrated compared to the sulfur bridge. The global minimum energy conformation showed the p-nitrobenzyl group folded over the neighboring glucose ring. However, the simulations showed that the XNB group oscillates over the pentamer in periods of ca. 3000 psec. Copyright (c) 2006 John Wiley &amp; Sons, Ltd.</t>
  </si>
  <si>
    <t>Humeres, Eduardo/ABI-1702-2020; Riadi, Gonzalo/ABG-2144-2020; Gonzalez Nilo, Fernando Danilo/M-5671-2016</t>
  </si>
  <si>
    <t>Riadi, Gonzalo/0000-0002-7633-2365; Humeres, Eduardo/0000-0002-9740-2756; Mascayano Collado, Carolina Lorena/0000-0002-3488-9309; Gonzalez Nilo, Fernando Danilo/0000-0001-6857-3575</t>
  </si>
  <si>
    <t>0894-3230</t>
  </si>
  <si>
    <t>1099-1395</t>
  </si>
  <si>
    <t>10.1002/poc.1074</t>
  </si>
  <si>
    <t>WOS:000244915200012</t>
  </si>
  <si>
    <t>Bolufé, S; Silva, JF; Azurdia-Meza, CA; Soto, I; Céspedes, S</t>
  </si>
  <si>
    <t>Bolufe, Sandy; Silva, Jorge F.; Azurdia-Meza, Cesar A.; Soto, Ismael; Cespedes, Sandra</t>
  </si>
  <si>
    <t>Road Incident Detection Under Rate Adaptation-Based Congestion Control in Cooperative Vehicular Systems</t>
  </si>
  <si>
    <t>Cooperative vehicular systems require that vehicles fuse sensor data and broadcast one-hop safety messages containing their kinematic information to enable vehicular applications based on incident detection. Several congestion control mechanisms have been proposed to mitigate channel congestion resulting from the continuous transmission of safety messages. This paper investigates the effect of message rate adaptation-based congestion control from a road safety perspective by evaluating the feasibility of prominent approaches, such as PULSAR, LIMERIC, reactive ETSI DCC, and SAE J2945/1, to support lane-changing maneuvers on multi-lane highways under varying conditions. Simulation results demonstrate that message size, vehicular density, losses at the physical layer, and observation time significantly influence the lane-changing application's capability to detect unsafe maneuvers when congestion control is in action. Specific recommendations and guidelines for congestion control are provided to improve decision-making at the application level.</t>
  </si>
  <si>
    <t>Silva, Jorge/M-8750-2013; Meza, Cesar/D-6948-2014; Cespedes, Sandra/H-9141-2012</t>
  </si>
  <si>
    <t>BOLUFE AGUILA, SANDY/0000-0002-3996-0004; Azurdia, Cesar/0000-0003-3461-4484; Silva, Jorge/0000-0002-0256-282X; Cespedes, Sandra/0000-0003-1686-2644</t>
  </si>
  <si>
    <t>10.1109/ACCESS.2024.3442230</t>
  </si>
  <si>
    <t>WOS:001297358000001</t>
  </si>
  <si>
    <t>Oyarce, E; Cantero-López, P; Roa, K; Boulett, A; Yáñez, O; Santander, P; Pizarro, GD; Sánchez, J</t>
  </si>
  <si>
    <t>Oyarce, Estefania; Cantero-Lopez, Plinio; Roa, Karina; Boulett, Andres; Yanez, Osvaldo; Santander, Paola; Pizarro, Guadalupe del C.; Sanchez, Julio</t>
  </si>
  <si>
    <t>Removal of highly concentrated methylene blue dye by cellulose nanofiber biocomposites</t>
  </si>
  <si>
    <t>INTERNATIONAL JOURNAL OF BIOLOGICAL MACROMOLECULES</t>
  </si>
  <si>
    <t>The contamination of water by dyes in high concentrations is a worldwide concern, and it has prompted the development of efficient, economical, and environmentally friendly materials and technologies for water puri-fication. The hydration and adsorption capacity for methylene blue (MB) in biocomposites (BCs) based on cel-lulose nanofiber (CNF) (0 to 2 wt%) were studied. BCs were synthesized through a simple and straightforward route and characterized by spectroscopy, microscopic techniques and thermogravimetric analysis, among others. Hydration studies showed that BCs prepared with 2 wt% of CNF can absorb large volumes of water, approxi-mately 2274 % in the case of poly 2-acrylamide-2-methyl-1-propanesulfonic acid (PAMPS)-CNF and 2408 % in poly sodium 4-styrene sulfonate (PSSNa)-CNF. These BCs showed outstanding adsorption capacity for highly concentrated MB solutions (4536 mg g-1 PAMPS-CNF and 11,930 mg g-1 PSSNa-CNF). It was confirmed that the adsorption mechanism is through electrostatic interactions. Finally, BCs showed high MB adsorption efficiency after several sorption-desorption cycles and on a simulated textile effluent. Furthermore, the theoretical results showed a preferential interaction between MB and the semiflexible polymer chains at the lowest energy setting. The development and study of a new adsorbent material with high MB removal performance that is easy to prepare, economical and reusable for potential use in water purification treatments was successfully achieved.</t>
  </si>
  <si>
    <t>Santander, Paola/ITU-5257-2023; Osorio, Edison/L-7964-2015; PIZARRO, GUADALUPE/V-3353-2017; Sanchez, Julio/AEO-4360-2022</t>
  </si>
  <si>
    <t>Santander, Paola/0000-0002-2084-6658</t>
  </si>
  <si>
    <t>0141-8130</t>
  </si>
  <si>
    <t>1879-0003</t>
  </si>
  <si>
    <t>MAY 31</t>
  </si>
  <si>
    <t>10.1016/j.ijbiomac.2023.124045</t>
  </si>
  <si>
    <t>WOS:000959369400001</t>
  </si>
  <si>
    <t>Sarfraz, M; López, RA; Ahmed, S; Yoon, PH</t>
  </si>
  <si>
    <t>Sarfraz, M.; Lopez, R. A.; Ahmed, Shahzad; Yoon, P. H.</t>
  </si>
  <si>
    <t>Electron mirror and cyclotron instabilities for solar wind plasma</t>
  </si>
  <si>
    <t>MONTHLY NOTICES OF THE ROYAL ASTRONOMICAL SOCIETY</t>
  </si>
  <si>
    <t>The solar wind plasma is characterized by unequal effective kinetic temperatures defined in perpendicular and parallel directions with respect to the ambient magnetic field. For electrons, the excessive perpendicular temperature anisotropy leads to quasi-parallel electromagnetic electron cyclotron (or whistler) instability and aperiodic electron-mirror instability with oblique wave vectors. The present paper carries out a direct side-by-side comparison of quasi-linear (QL) theory and particle-in-cell (PIC) simulation of combined mirror and cyclotron instabilities acting upon the initially anisotropic electron temperatures, and find that the QL theory satisfactorily encapsulates the non-linear aspect of the combined instability effects. However, a discrepancy between the present study and a previous PIC simulation result is also found, which points to the need for further investigation to resolve such an issue.</t>
  </si>
  <si>
    <t>Sarfraz, Muhammad/Q-9881-2016; Lopez, Rodrigo/H-7576-2013</t>
  </si>
  <si>
    <t>Lopez, Rodrigo/0000-0003-3223-1498</t>
  </si>
  <si>
    <t>0035-8711</t>
  </si>
  <si>
    <t>1365-2966</t>
  </si>
  <si>
    <t>10.1093/mnras/stab3291</t>
  </si>
  <si>
    <t>WOS:000756701800018</t>
  </si>
  <si>
    <t>Labbe, TP; Zurita, M; Montalba, C; Ciampi, EL; Cruz, JP; Vasquez, M; Uribe, S; Crossley, N; Cárcamo, C</t>
  </si>
  <si>
    <t>Labbe, Tomas P.; Zurita, Mariana; Montalba, Cristian; Ciampi, Ethel L.; Cruz, Juan P.; Vasquez, Macarena; Uribe, Sergio; Crossley, Nicolas; Carcamo, Claudia</t>
  </si>
  <si>
    <t>Social cognition in Multiple Sclerosis is associated to changes in brain connectivity: A resting-state fMRI study</t>
  </si>
  <si>
    <t>MULTIPLE SCLEROSIS AND RELATED DISORDERS</t>
  </si>
  <si>
    <t>Background: Multiple Sclerosis produces changes in the functional connectivity of the brain. Resting-State fMRI is a useful tool for the study of functional changes in the human brain, and its metrics can be related to clinical findings involved in clinical decline. Social cognition has focused increasing interest because patients are exposed to experiencing social disorganization during the progression of the disease. fMRI has proved to be a useful tool for studying brain connectivity and its relation with social cognition both in resting-state and during sociocognitive tasks. Objective. to identify functional changes during rest in Relapsing-Remitting Multiple Sclerosis patients and look for a correlation with social cognition. Methods. 45 patients with Relapsing-Remitting Multiple Sclerosis and 47 control subjects were recruited to perform a neuropsychological evaluation of the social cognition performance and to acquire resting-state fMRI. Results. Patients exhibited lower performance in social cognition tasks, mostly related to face emotion recognition. Decreased functional connectivity in patients is seen concerning the right anterior insula, middle frontal, and occipital regions while increased connectivity is mostly related to the occipital and visual areas. The connectivity of the fusiform cortex and the amygdala is related to the performance in emotion recognition and Theory of Mind tasks respectively. Conclusion. Social cognition compromise was found in this sample. Functional connectivity changes during rest were detected and correlated with social cognition changes in patients.</t>
  </si>
  <si>
    <t>Crossley, Nicolas/ACH-4174-2022; Montalba, Cristian/AGW-6952-2022; Cruz, Juan/Z-4098-2019; URIBE Arancibia, SERGIO/GRR-3235-2022</t>
  </si>
  <si>
    <t>Uribe, Sergio/0000-0002-4970-9710; Crossley, Nicolas A/0000-0002-3060-656X; Ciampi, Ethel/0000-0002-7330-5433; Montalba, Cristian/0000-0003-3370-0233; Labbe, Tomas/0000-0002-1566-5940</t>
  </si>
  <si>
    <t>2211-0348</t>
  </si>
  <si>
    <t>2211-0356</t>
  </si>
  <si>
    <t>10.1016/j.msard.2020.102333</t>
  </si>
  <si>
    <t>WOS:000582230900010</t>
  </si>
  <si>
    <t>Ramírez-Vélez, R; Hormazábal-Aguayo, I; Izquierdo, M; González-Ruíz, K; Correa-Bautista, JE; García-Hermoso, A</t>
  </si>
  <si>
    <t>Ramirez-Velez, Robinson; Hormazabal-Aguayo, Ignacio; Izquierdo, Mikel; Gonzalez-Ruiz, Katherine; Enrique Correa-Bautista, Jorge; Garcia-Hermoso, Antonio</t>
  </si>
  <si>
    <t>Effects of kinesio taping alone versus sham taping in individuals with musculoskeletal conditions after intervention for at least one week: a systematic review and meta-analysis</t>
  </si>
  <si>
    <t>PHYSIOTHERAPY</t>
  </si>
  <si>
    <t>Background Kinesiotaping (KT), has emerged as an interesting and relatively novel method for treating musculoskeletal conditions. To date, none of the systematic reviews with meta-analysis have addressed the efficacy of KT alone (without any other intervention) over sham taping (ST). Objective The present meta-analysis aimed to investigate the effectiveness of KT versus ST in patients with musculoskeletal conditions in interventions lasting at least 1 week on musculoskeletal conditions and functional performance outcomes. Data source Manual and electronic searches (CENTRAL, EMBASE, MEDLINE and PEDro) were conducted using kinesiotaping, strapping, musculoskeletal pain and musculoskeletal conditions. Study selection criteria Randomised controlled trials on adults with a diagnosis of musculoskeletal conditions. Data extraction and data synthesis Two researchers independently carried out the search and the third author was referred to for arbitration. The methodological quality of the studies using the PEDro scale and GRADE approach. Results Six RCTs were identified and included in the meta-analysis. When compared with ST in adults with chronic non-specific low-back pain (LBP), KT resulted in superior effects on pain at follow-up, but the pooled pain in the immediate post-treatment period and disability scores (in the immediate post-treatment period and at follow-up) were not significantly different. Generally, all results were supported by low quality evidence according to GRADE criteria. Conclusion Our findings indicate inconclusive and low-quality evidence of a beneficial effect of KT alone over ST in LBP and knee osteoarthritis. (C) 2019 Chartered Society of Physiotherapy. Published by Elsevier Ltd. All rights reserved.</t>
  </si>
  <si>
    <t>García-Hermoso, Antonio/ADU-2591-2022; Correa-Bautista, Jorge Enrique/JDD-3131-2023; González-Ruíz, Katherine/CAA-4624-2022; Ramirez-Velez, Robinson/D-5311-2016; Garcia-Hermoso, Antonio/P-1857-2017; Correa-Bautista, Jorge Enrique/N-2741-2015; Izquierdo, Mikel/A-4894-2010</t>
  </si>
  <si>
    <t>Ramirez-Velez, Robinson/0000-0003-3075-6960; Garcia-Hermoso, Antonio/0000-0002-1397-7182; Correa-Bautista, Jorge Enrique/0000-0002-0646-2316; Hormazabal Aguayo, Ignacio/0009-0002-7221-1731; Gonzalez-Ruiz, Katherine/0000-0001-7518-0761; Izquierdo, Mikel/0000-0002-1506-4272</t>
  </si>
  <si>
    <t>0031-9406</t>
  </si>
  <si>
    <t>1873-1465</t>
  </si>
  <si>
    <t>10.1016/j.physio.2019.04.001</t>
  </si>
  <si>
    <t>WOS:000496916200003</t>
  </si>
  <si>
    <t>Castillo-Sepúlveda, S; Corona, RM; Núñez, AS; Altbir, D</t>
  </si>
  <si>
    <t>Castillo-Sepulveda, S.; Corona, R. M.; Nunez, A. S.; Altbir, D.</t>
  </si>
  <si>
    <t>Twisted skyrmions through dipolar interactions</t>
  </si>
  <si>
    <t>The manifestations of the dipolar interaction in magnetic nano-devices can take subtle forms. In this work, we address the effects of dipolar interactions on skyrmions textures. The so-called twisted skyrmion is a natural state between the Bloch skyrmion, that arises from the bulk-like Dzyalonshinskii-Moriya (DM) interaction, and the Neel-skyrmion, that results from the interfacial form of the DM interaction. Often neglected, or approximated by local interactions, we show how, when explicitly included, dipolar interactions generate gaps in the phase diagram for certain helicities. Besides, this interaction allows the existence of skyrmions with two chiralities, which are unstable when the dipolar interaction is approximated by a shape anisotropy.</t>
  </si>
  <si>
    <t>Núñez, Alvaro/F-4572-2011; Altbir, Dora/R-6781-2018</t>
  </si>
  <si>
    <t>Corona, Rosa/0000-0001-6054-5019; Castillo, Sebastian/0000-0001-7730-8773; Nunez, Alvaro S./0000-0002-6804-9703; Altbir, Dora/0000-0002-2945-4909</t>
  </si>
  <si>
    <t>10.1016/j.jmmm.2019.03.014</t>
  </si>
  <si>
    <t>WOS:000468443500065</t>
  </si>
  <si>
    <t>Castro-Sánchez, M; Zurita-Ortega, F; Pérez-Turpin, JA; Cachón-Zagalaz, J; Cofre-Bolados, C; Suarez-Llorca, C; Chacón-Cuberos, R</t>
  </si>
  <si>
    <t>Castro-Sanchez, Manuel; Zurita-Ortega, Felix; Antonio Perez-Turpin, Jose; Cachon-Zagalaz, Javier; Cofre-Bolados, Cristian; Suarez-Llorca, Concepcion; Chacon-Cuberos, Ramon</t>
  </si>
  <si>
    <t>Physical Activity in Natural Environments Is Associated With Motivational Climate and the Prevention of Harmful Habits: Structural Equation Analysis</t>
  </si>
  <si>
    <t>Background: Practicing physical activity in a natural environment has various benefits that make it an ideal setting to develop healthy behaviors and thereby diminish unhealthy habits. The objective of this study was to develop and verify an explicative model for motivational climate in sport, considering its potential influence on alcohol and tobacco consumption. Methods: The study included 2273 adolescents from Granada (Spain), analyzing motivational climate (PMCSQ-2), alcohol consumption (AUDIT) and tobacco consumption (FTND). Multi-group structural equation modeling was conducted, yielding an excellent fit (chi(2) = 168.170; gl = 32; p = 0.00; CFI = 0.972; NFI = 0.966; IFI = 0.972; RMSEA = 0.045). Results: The main findings were: a negative relationship between task climate and alcohol consumption among students practicing physical activities in a natural environment; a positive relationship between ego climate and alcohol consumption among those practicing other types of physical activity; and a positive and direct relationship between alcohol and tobacco consumption, which was stronger among those who did not practice physical activity in a natural environment. Conclusion: We conclude that physical-sport activity practiced in nature is a key to acquiring healthy patterns characterized by intrinsic motivations in sport and lower consumption of harmful substances.</t>
  </si>
  <si>
    <t>Suárez Llorca, Concepción/ABG-2779-2021; ZURITA, FELIX/K-5401-2019; Chacón-Cuberos, Ramón/H-7507-2017; Pérez-Turpin, José/AAN-8158-2020; Sanchez, Maria/JXW-7592-2024</t>
  </si>
  <si>
    <t>Perez Turpin, Jose Antonio/0000-0002-3585-3340; Suarez Llorca, Concepcion/0000-0001-8061-5117</t>
  </si>
  <si>
    <t>MAY 29</t>
  </si>
  <si>
    <t>10.3389/fpsyg.2019.01113</t>
  </si>
  <si>
    <t>WOS:000469438900001</t>
  </si>
  <si>
    <t>Cárdenas-López, FA; Romero, G; Lamata, L; Solano, E; Retamal, JC</t>
  </si>
  <si>
    <t>Cardenas-Lopez, Francisco A.; Romero, Guillermo; Lamata, Lucas; Solano, Enrique; Carlos Retamal, Juan</t>
  </si>
  <si>
    <t>Parity-Assisted Generation of Nonclassical States of Light in Circuit Quantum Electrodynamics</t>
  </si>
  <si>
    <t>SYMMETRY-BASEL</t>
  </si>
  <si>
    <t>We propose a method to generate nonclassical states of light in multimode microwave cavities. Our approach considers two-photon processes that take place in a system composed of N extended cavities and an ultrastrongly coupled light-matter system. Under specific resonance conditions, our method generates, in a deterministic manner, product states of uncorrelated photon pairs, Bell states, and W states in different modes on the extended cavities. Furthermore, the numerical simulations show that the generation scheme exhibits a collective effect which decreases the generation time in the same proportion as the number of extended cavity increases. Moreover, the entanglement encoded in the photonic states can be transferred towards ancillary two-level systems to generate genuine multipartite entanglement. Finally, we discuss the feasibility of our proposal in circuit quantum electrodynamics. This proposal could be of interest in the context of quantum random number generator, due to the quadratic scaling of the output state.</t>
  </si>
  <si>
    <t>Lamata, Lucas/B-2439-2009; Retamal, Juan/G-6425-2010; Solano, Enrique/C-2895-2017; Cárdenas López, Francisco/IXN-4622-2023; Lamata, Lucas/CAG-6488-2022; Romero, Guillermo/C-8245-2009</t>
  </si>
  <si>
    <t>Retamal Abarzua, Juan Carlos/0000-0002-7174-7879; Lamata, Lucas/0000-0002-9504-8685; SOLANO VILLANUEVA, ENRIQUE LEONIDAS/0000-0002-8602-1181; Cardenas, Francisco/0000-0002-2916-2826; Romero, Guillermo/0000-0003-2917-7814</t>
  </si>
  <si>
    <t>2073-8994</t>
  </si>
  <si>
    <t>MAR 13</t>
  </si>
  <si>
    <t>10.3390/sym11030372</t>
  </si>
  <si>
    <t>WOS:000464416100006</t>
  </si>
  <si>
    <t>RETRACTED: Ni2[LnCl6] (Ln = EuII, CeII, GdII): the first LnII compounds stabilized in a pure inorganic lattice (Retracted article. See vol. 55, pg. 13183, 2019)</t>
  </si>
  <si>
    <t>Here we report the first examples of 3d-4f compounds based on Ln(II) cations. We have obtained a series of Ni-2[LnCl(6)] isostructural compounds where Ln(II) = Ce 1, Eu 2 and Gd 3 which were characterized in a cubic crystalline system with a Fm3m space group. Magnetic and optical characterization was also performed on this new class of compounds.</t>
  </si>
  <si>
    <t>Venegas-Yazigi, Diego/0000-0001-7816-2841; Vega, Andres/0000-0001-6501-4161; Baldo Hurtado, Bianca Virginia/0000-0003-2474-228X</t>
  </si>
  <si>
    <t>JUL 11</t>
  </si>
  <si>
    <t>10.1039/c7cc09921e</t>
  </si>
  <si>
    <t>WOS:000437183100028</t>
  </si>
  <si>
    <t>Prabhakaran, T; Mangalaraja, RV; Denardin, JC</t>
  </si>
  <si>
    <t>Prabhakaran, T.; Mangalaraja, R. V.; Denardin, Juliano C.</t>
  </si>
  <si>
    <t>Controlling the size and magnetic properties of nano CoFe2O4 by microwave assisted co-precipitation method</t>
  </si>
  <si>
    <t>In this report, cobalt ferrite nanoparticles synthesized using microwave assisted co-precipitation method was reported. Efforts have been made to control the particles size, distribution, morphology and magnetic properties of cobalt ferrite nanoparticles by varying the concentration of NaOH solution and microwave irradiation time. It was observed that the rate of nucleation and crystal growth was influenced by the tuning parameters. In that way, the average crystallite size of single phase cobalt ferrite nanoparticles was controlled within 9-11 and 10-12 nm with an increase of base concentration and microwave irradiation time, respectively. A narrow size distribution of nearly spherical nanoparticles was achieved through the present procedure. A soft ferromagnetism at room temperature with the considerable saturation magnetization of 58.4 emu g(-1) and coercivity of 262.7 Oe was obtained for the cobalt ferrites synthesized with 2.25 M of NaOH solution for 3 and 7 min of microwave irradiation time, respectively. The cobalt ferrite nanoparticles synthesized with a shorter reaction time of 3-7 min was found to be advantageous over other methods that involved conventional heating procedures and longer reaction time to achieve the better magnetic properties for the technological applications.</t>
  </si>
  <si>
    <t>THANDAPANI, PRABHAKARAN/L-3282-2018; Denardin, Juliano/S-6407-2019; Viswanathan, Mangalaraja/AAM-6090-2020; Ramalinga Viswanathan, Mangalaraja/JOZ-3129-2023</t>
  </si>
  <si>
    <t>Thandapani, Prabhakaran/0000-0003-0245-8827; Ramalinga Viswanathan, Mangalaraja/0000-0003-1016-9830; Denardin, Juliano/0000-0002-1373-6207</t>
  </si>
  <si>
    <t>10.1088/2053-1591/aaa73f</t>
  </si>
  <si>
    <t>WOS:000424028400002</t>
  </si>
  <si>
    <t>Loewe, N; Araya-Castillo, L; Thieme, C; Batista-Foguet, JM</t>
  </si>
  <si>
    <t>Loewe, Nicolas; Araya-Castillo, Luis; Thieme, Claudio; Manuel Batista-Foguet, Joan</t>
  </si>
  <si>
    <t>Self-employment as a moderator between work and life satisfaction</t>
  </si>
  <si>
    <t>ACADEMIA-REVISTA LATINOAMERICANA DE ADMINISTRACION</t>
  </si>
  <si>
    <t>Purpose - The correlation between work and life satisfaction varies substantially across studies, suggesting that the strength of the relationship may depend on the studied population and its circumstances. The purpose of this paper is to assess the strength of the relationship in the context of Chile and the moderator effect of self-employment (SE), whether a worker is self-employed or on a salary. Design/methodology/approach - Based on the idea that work plays a more central role in the life of a self-employed person than in that of a salaried worker, the authors hypothesized that the strength of the relationship between work and life satisfaction will be stronger for the former. The measures used in this study were part of a large questionnaire administered to investigate several characteristics of the Chilean population. The authors used multiple regression analysis to test the moderator effect of SE on the strength of the relationship between work satisfaction and life satisfaction. Findings - The results from a national sample of 658 Chilean workers indicate that the relationship between work satisfaction and life satisfaction is positive. Furthermore, the relationship is stronger for self-employed workers than for salaried workers. The authors also found a small negative direct effect of SE on life satisfaction, which suggests that the self-employed might be, on average, less satisfied with their lives than their salaried counterparts. Originality/value - The sample used in the current study was not only substantially larger in size but also more representative of the current workforce because it included both genders. Consequently, the results are more robust and generalizable.</t>
  </si>
  <si>
    <t>Foguet, Joan/K-8670-2014; Thieme, Claudio/AAB-9236-2020; Araya-Castillo, Luis/AAC-8619-2019</t>
  </si>
  <si>
    <t>Thieme, Claudio/0000-0001-8755-2729; Araya-Castillo, Luis/0000-0001-7574-3907</t>
  </si>
  <si>
    <t>1012-8255</t>
  </si>
  <si>
    <t>10.1108/ARLA-10-2014-0165</t>
  </si>
  <si>
    <t>WOS:000357386800004</t>
  </si>
  <si>
    <t>Miranda, M; Vega-Gálvez, A; Martínez, EA; López, J; Marín, R; Aranda, M; Fuentes, F</t>
  </si>
  <si>
    <t>Miranda, Margarita; Vega-Galvez, Antonio; Martinez, Enrique A.; Lopez, Jessica; Marin, Rosa; Aranda, Mario; Fuentes, Francisco</t>
  </si>
  <si>
    <t>Influence of contrasting environments on seed composition of two quinoa genotypes: nutritional and functional properties</t>
  </si>
  <si>
    <t>CHILEAN JOURNAL OF AGRICULTURAL RESEARCH</t>
  </si>
  <si>
    <t>Quinoa (Chenopodium quinoa Willd.) in Chile represents a source of germplasm with high nutritional value. However, there is little information available related to quinoa seed quality grown under contrasting environments. In this study we evaluated the changes on seed composition of seeds of two lowland/coastal quinoa genotypes grown under arid (Vicuna) and cold-temperate (Temuco) conditions in Chile. Results showed that in the case of 'Regalona Baer' and 'Villarrica' genotypes the arid location (with irrigation) led to a significant increase (P &lt; 0.05) in grain yield (4.2 and 5.1 t ha(-1), respectively), soluble dietary fiber 916.8 +/- 0.4 and 28.9 +/- 2.1 g kg(-1) DM, respectively), vitamin B-3 (2.44 +/- 0.005 and 2.26 +/- 0.04 mg 100 g(-1) DM, respectively), saponins 93.22 +/- 0.38 mg 100 g(-1) DM, 'Regalona Baer'), phenolic compounds 919.2 +/- 5.48 and 31.92 +/- 1.14 mg gallic acid 100 g(-1) DM, respectively) and components of proximate analysis, except protein content. The cold-temperate climate (rainfed) affected positively seed size (2.22 +/- 0.17 mm 'Villarrica') and 1000 seed weight 93.08 +/- 0.08 and 3.29 +/- 0.08 g, respectively), as well as insoluble dietary fiber content (112.3 +/- 23.8 g kg(-1) DM, 'Regalona Baer'). Furthermore, vitamin C was higher in 'Regalona Baer' genotype at arid locality 931.22 +/- 4.2 mg 100 g(-1) DM), but much higher content was registered in 'Villarrica' genotype at cold-temperate climate 949.3 +/- 5.36 mg 100 g(-1) DM). The environment-induced relationship among variables and genotypes was consistent with principal component analysis (PCA). The arid region of Vicuna in Chile represents a potential area for quinoa cultivation for lowland/coastal quinoa genotypes, whose nutritional and functional features were affected positively, due to the much more stressing climatic conditions.</t>
  </si>
  <si>
    <t>Lopez, Jessica/IQT-7114-2023; Vega-Galvez, Antonio/F-1089-2015; Miranda, Margarita/B-3101-2008; Fuentes, Francisco/C-6820-2013; Martinez, Enrique/JYQ-6119-2024; Aranda, Mario/A-6599-2013</t>
  </si>
  <si>
    <t>Lopez, Jessica/0000-0001-5064-4486; Vega-Galvez, Antonio/0000-0001-9991-6139; Aranda, Mario/0000-0001-7846-9149</t>
  </si>
  <si>
    <t>0718-5839</t>
  </si>
  <si>
    <t>APR-JUN</t>
  </si>
  <si>
    <t>10.4067/S0718-58392013000200004</t>
  </si>
  <si>
    <t>WOS:000323103000004</t>
  </si>
  <si>
    <t>Vargas, MF; Tapia-Pizarro, AA; Henríquez, SP; Quezada, M; Salvatierra, AM; Noe, G; Munroe, DJ; Velasquez, LA; Croxatto, HB</t>
  </si>
  <si>
    <t>Vargas, M. F.; Tapia-Pizarro, A. A.; Henriquez, S. P.; Quezada, M.; Salvatierra, A. M.; Noe, G.; Munroe, D. J.; Velasquez, L. A.; Croxatto, H. B.</t>
  </si>
  <si>
    <t>Effect of single post-ovulatory administration of levonorgestrel on gene expression profile during the receptive period of the human endometrium</t>
  </si>
  <si>
    <t>JOURNAL OF MOLECULAR ENDOCRINOLOGY</t>
  </si>
  <si>
    <t>The hypothesis that levonorgestrel (LNG) used as an emergency contraceptive interferes with endometrial receptivity remains unproven. We compared the endometrial gene expression profile during the receptive period after administering a single dose of LNG 1.5 mg or placebo on day 1 of the luteal phase. An endometrial biopsy was done on day LH+7 or LH+8 and samples were taken from seven volunteers, each one contributing with one cycle treated with placebo and another with LNG. The expression of 20 383 genes was determined using cDNA microarrays. Real-time RT-PCRwas used 1) to confirm the differences found in DNA microarray analysis and 2) to determine the effect of LNG on transcript levels of C3, C4BP alpha, COX2, MAOA, S100A4, and SERPINB9, known to be upregulated during receptivity, and on cPLA2 alpha, JAK1, JNK1, CTSL1, and GSTP1, known to respond to mifepristone. Additional endometrial biopsies were done during the pre-receptive (LH+3) and receptive (LH+7) period and samples were taken from eight untreated volunteers in order to determine the changes associated with acquisition of receptivity of 14 genes. Mean levels of PAEP, TGM2, CLU, IGF2, and IL6ST mRNAs increased after administering LNG while those of HGD, SAT1, EVA1, LOC90133, ANXA1, SLC25A29, CYB5A, CRIP1, and SLC39A14 decreased. Except for the level of ANXA1 transcript, all changes remained within the range observed in untreated controls, and none of the transcripts responding to mifepristone changed in response to LNG. Post-ovulatory administration of LNG caused minimal changes in gene expression profiling during the receptive period. Neither the magnitude nor the nature or direction of the changes endorses the hypothesis that LNG interferes with endometrial receptivity. Journal of Molecular Endocrinology (2012) 48, 25-36</t>
  </si>
  <si>
    <t>Tapia-Pizarro, Alejandro/IUQ-1738-2023; Tapia-Pizarro, Alejandro/A-5764-2013</t>
  </si>
  <si>
    <t>Henriquez, Soledad/0000-0003-3507-6534; Tapia-Pizarro, Alejandro/0000-0003-0742-8395; Velasquez, Luis/0000-0002-9479-1792</t>
  </si>
  <si>
    <t>0952-5041</t>
  </si>
  <si>
    <t>1479-6813</t>
  </si>
  <si>
    <t>10.1530/JME-11-0094</t>
  </si>
  <si>
    <t>WOS:000300298600004</t>
  </si>
  <si>
    <t>Alvarez, P; Brun, A; Labertrandie, A; Lopez, J; Correa, A; Constandil, L; Hernández, A; Pelissier, T</t>
  </si>
  <si>
    <t>Alvarez, Pedro; Brun, Aurore; Labertrandie, Anais; Lopez, Jose; Correa, Alejandro; Constandil, Luis; Hernandez, Alejandro; Pelissier, Teresa</t>
  </si>
  <si>
    <t>Antihyperalgesic Effects of Clomipramine and Tramadol in a Model of Posttraumatic Trigeminal Neuropathic Pain in Mice</t>
  </si>
  <si>
    <t>JOURNAL OF OROFACIAL PAIN</t>
  </si>
  <si>
    <t>Aims: To develop a behavioral model in mice that is capable of mimicking some distinctive symptoms of human posttraumatic trigeminal neuropathic pain such as spontaneous pain, cold allodynia, and chemical/inflammatory hyperalgesia, and to use this model to investigate the antinociceptive effects of clomipramine and tramadol, two drugs used for the treatment of neuropathic pain. Methods: A partial tight ligature of the right infraorbital nerve by an intraoral access or a sham procedure was performed. Fourteen days later, mice were subcutaneously injected with saline or drugs and the spontaneous nociceptive behavior, as well as the responses to topical acetone and to formalin or capsaicin injected into the ipsilateral vibrissal pad, were assessed. Data were analyzed by ANOVA. Results: Neuropathic mice exhibited an increased spontaneous rubbing/scratching of the ipsilateral vibrissal pad, together with enhanced responses to cooling (acetone) and the chemical irritants (formalin, capsaicin). Clomipramine and tramadol produced an antihyperalgesic effect on most of these nociceptive responses, but tramadol was ineffective on capsaicin-induced hyperalgesia. Conclusion: Nociceptive responses in this neuropathic pain model in mice exhibited a pattern consistent with the pain described by posttraumatic trigeminal neuropathic patients. The selective antihyperalgesic effect obtained with two commonly used drugs for treating neuropathic pain confirms the validity of this preclinical model. J OROFAC PAIN 2011;25:354-363</t>
  </si>
  <si>
    <t>Hernandez, Alejandro/M-4796-2019</t>
  </si>
  <si>
    <t>Hernandez, Alejandro/0000-0001-9222-6522; Constandil, Luis/0000-0002-2504-0119</t>
  </si>
  <si>
    <t>1064-6655</t>
  </si>
  <si>
    <t>1945-3396</t>
  </si>
  <si>
    <t>FAL</t>
  </si>
  <si>
    <t>WOS:000297079400009</t>
  </si>
  <si>
    <t>Escrig, J; Bachmann, J; Jing, J; Daub, M; Altbir, D; Nielsch, K</t>
  </si>
  <si>
    <t>Escrig, J.; Bachmann, J.; Jing, J.; Daub, M.; Altbir, D.; Nielsch, K.</t>
  </si>
  <si>
    <t>Crossover between two different magnetization reversal modes in arrays of iron oxide nanotubes</t>
  </si>
  <si>
    <t>PHYSICAL REVIEW B</t>
  </si>
  <si>
    <t>The magnetization reversal in ordered arrays of iron oxide nanotubes of 50 nm outer diameter grown by atomic layer deposition is investigated theoretically as a function of the tube wall thickness d(w). In thin tubes (d(w)&lt; 13 nm) the reversal of magnetization is achieved by the propagation of a vortex domain boundary, while in thick tubes (d(w)&gt;13 nm) the reversal is driven by the propagation of a transverse domain boundary. Magnetostatic interactions between the tubes are responsible for a decrease in the coercive field in the array. Our calculations are in agreement with recently reported experimental results. We predict that the crossover between the vortex and transverse modes of magnetization reversal is a general phenomenon on the length scale considered.</t>
  </si>
  <si>
    <t>Nielsch, Kornelius/S-3196-2016; Altbir, Dora/R-6781-2018; Escrig, Juan/N-4304-2015; Bachmann, Julien/G-4381-2011</t>
  </si>
  <si>
    <t>Altbir, Dora/0000-0002-2945-4909; Escrig, Juan/0000-0002-3958-8185; Nielsch, Kornelius/0000-0003-2271-7726; Bachmann, Julien/0000-0001-6480-6212</t>
  </si>
  <si>
    <t>2469-9950</t>
  </si>
  <si>
    <t>2469-9969</t>
  </si>
  <si>
    <t>10.1103/PhysRevB.77.214421</t>
  </si>
  <si>
    <t>WOS:000257288900065</t>
  </si>
  <si>
    <t>Pradenas, L; Zúñiga, J; Parada, V</t>
  </si>
  <si>
    <t>Pradenas, Lorena; Zuniga, Jorge; Parada, Victor</t>
  </si>
  <si>
    <t>CODELCO, Chile programs its copper-smelting operations</t>
  </si>
  <si>
    <t>INTERFACES</t>
  </si>
  <si>
    <t>CODELCO's Chuquicamata Copper Smelter, located in Chile, must meet an environmental standard established in 2002 that limits the sulfur emissions from the copper-production process. This regulation placed new restrictions on the production process, and consequently the heuristic criteria based on years of operator experience no longer resulted in high production levels. We developed a model to maximize production while respecting metallurgic, operational, environmental, and other restrictions. We created two methods of planning daily activities for the plant. We developed a client-server tool that displays optimization results graphically and numerically based on data on operational conditions recorded in real time and data input manually. The smelter has used the system since March 2003. We found an increase in the quantity of copper concentrate processed of 25.4 percent.</t>
  </si>
  <si>
    <t>Parada, Victor/M-5840-2014; Pradenas, Lorena/ACZ-4624-2022</t>
  </si>
  <si>
    <t>Pradenas, Lorena/0000-0001-5199-7187</t>
  </si>
  <si>
    <t>0092-2102</t>
  </si>
  <si>
    <t>JUL-AUG</t>
  </si>
  <si>
    <t>10.1287/inte.1060.0207</t>
  </si>
  <si>
    <t>WOS:000239332400003</t>
  </si>
  <si>
    <t>Quijada, R; Narváez, A; Rojas, R; Rabagliati, FM; Galland, GB; Mauler, RS; Benavente, R; Pérez, E; Pereña, JM; Bello, A</t>
  </si>
  <si>
    <t>Synthesis and characterization of copolymers of ethylene and 1-octadecene using the rac-Et(Ind)2ZrCl2/MAO catalyst system</t>
  </si>
  <si>
    <t>MACROMOLECULAR CHEMISTRY AND PHYSICS</t>
  </si>
  <si>
    <t>The copolymerization of ethylene and 1-octadecene using a bridged metallocene was studied in order to observe the effect of the comonomer on the catalytic activity. A noticeable increase in activity is seen as the concentration of 1-octadecene in the reaction medium increases. C-13 NMR analysis shows 6.4 mol-% incorporation of comonomer at the highest 1-octadecene concentration in the feed used here. The molecular weight of the copolymers shows a drastic decrease that may be attributed to chain termination by transfer or beta-elimination of the comonomer. As to the molecular weight distribution, it remains within a narrow range, as expected with metallocene catalysts. The melting temperature and the enthalpy of melting of the copolymers show a decrease with increasing comonomer content. As usual for ethylene copolymers, the X-ray crystallinities are higher than those determined from the enthalpy of melting.</t>
  </si>
  <si>
    <t>Mauler, Raquel/L-6614-2014; Rojas, René/C-4921-2009; Narvaez, Ana/AAE-8266-2021; Perez, Ernesto/G-3254-2016; Galland, Griselda/A-6521-2009; Rosario, Benavente/F-5034-2016</t>
  </si>
  <si>
    <t>Perez, Ernesto/0000-0002-5144-9268; QUIJADA, RAUL/0000-0003-0791-6954; Galland, Griselda/0000-0003-3678-9106; Rojas, Rene/0000-0002-5292-0816; Rosario, Benavente/0000-0003-0416-0151</t>
  </si>
  <si>
    <t>1022-1352</t>
  </si>
  <si>
    <t>10.1002/(SICI)1521-3935(19990601)200:6&lt;1306::AID-MACP1306&gt;3.0.CO;2-4</t>
  </si>
  <si>
    <t>WOS:000080688600008</t>
  </si>
  <si>
    <t>Reyes, JS; Fuentes-Lemus, E; Fierro, A; Rivero-Rodríguez, K; Arenas, F; Davies, MJ; López-Alarcón, C</t>
  </si>
  <si>
    <t>Reyes, Juan Sebastian; Fuentes-Lemus, Eduardo; Fierro, Angelica; Rivero-Rodriguez, Karina; Arenas, Felipe; Davies, Michael J.; Lopez-Alarcon, Camilo</t>
  </si>
  <si>
    <t>Inactivation of human glucose 6-phosphate dehydrogenase (G6PDH) by peroxyl radicals is strongly modulated by its substrate and cofactor</t>
  </si>
  <si>
    <t>Glucose 6-phosphate dehydrogenase (G6PDH) is the rate-limiting enzyme of the pentose phosphate pathway (PPP). This enzyme catalyzes the oxidation of glucose 6-phosphate (G6P) into 6-phosphogluconolactone with concomitant reduction of NADP+ to NADPH. Despite the link between the PPP and oxidative stress, the oxidation and consequences on the activity of the human G6PDH (hG6PDH) has not been investigated. In the present work we report the oxidative inactivation of hG6PDH mediated by peroxyl radicals (ROO center dot) generated by AAPH (2,2 '- azobis(2-methylpropionamidine) dihydrochloride) thermolysis. hG6PDH (46.4 mu M, monomers) was incubated at 37 degrees C with 10 or 100 mM AAPH. At defined times, enzyme activity was determined (NADPH release followed at 340 nm), mapping of modifications studied by LC-MS, structural changes analyzed by circular dichroism, and results rationalized by in silico analysis of the three-dimensional structure of the enzyme. Analogous experiments were developed in the presence of NADP+ or G6P at excess or 1:1 (hG6PDH:NADP+ or G6P) molar ratios. High susceptibility to inactivation by ROO center dot was observed, 3.6 mol of ROO center dot inactivated 1 mol of hG6PDH. This behavior is rationalized, at least in part, by oxidation at Trp349 which is located close to the structural site of NADP+. The presence of G6P significantly increased the ROO center dot-mediated inactivation of hG6PDH, while an opposite effect was observed in the presence of NADP+ where, despite oxidation at different sites, the enzyme activity was practically unaltered by ROO center dot. These results demonstrate that hG6PDH is highly susceptible to inactivation mediated by ROO center dot with these processes strongly modulated by G6P and NADP+.</t>
  </si>
  <si>
    <t>Fuentes Lemus, Eduardo/X-4292-2019; Fierro, Angelica/AAJ-2533-2020; Lopez, Camilo/J-5770-2013; Davies, Michael/H-4939-2011</t>
  </si>
  <si>
    <t>Davies, Michael/0000-0002-5196-6919</t>
  </si>
  <si>
    <t>10.1016/j.freeradbiomed.2025.03.030</t>
  </si>
  <si>
    <t>WOS:001458056400001</t>
  </si>
  <si>
    <t>Herrera-Vidal, G; Coronado-Hernández, JR; Derpich-Contreras, I; Paredes, BPM; Gatica, G</t>
  </si>
  <si>
    <t>Herrera-Vidal, German; Coronado-Hernandez, Jairo R.; Derpich-Contreras, Ivan; Paredes, Breezy P. Martinez; Gatica, Gustavo</t>
  </si>
  <si>
    <t>Measuring Complexity in Manufacturing: Integrating Entropic Methods, Programming and Simulation</t>
  </si>
  <si>
    <t>This research addresses complexity in manufacturing systems from an entropic perspective for production improvement. The main objective is to develop and validate a methodology that develops an entropic metric of complexity in an integral way in production environments, through simulation and programming techniques. The methodological proposal is composed of six stages: (i) Case study, (ii) Hypothesis formulation, (iii) Discrete event simulation, (iv) Measurement of entropic complexity by applying Shannon's information theory, (v) Entropy analysis, and (vi) Statistical analysis by ANOVA. The results confirm that factors such as production sequence and product volume significantly influence the structural complexity of the workstations, with station A being less complex (0.4154 to 0.9913 bits) compared to stations B and C, which reached up to 2.2084 bits. This analysis has shown that optimizing production scheduling can reduce bottlenecks and improve system efficiency. Furthermore, the developed methodology, validated in a case study of the metalworking sector, provides a quantitative framework that combines discrete event simulation and robust statistical analysis, offering an effective tool to anticipate and manage complexity in production. In synthesis, this research presents an innovative methodology to measure static and dynamic complexity in manufacturing systems, with practical application to improve efficiency and competitiveness in the industrial sector.</t>
  </si>
  <si>
    <t>Martínez Paredes, Breezy/HPF-6576-2023; HERRERA VIDAL, GERMAN/GRS-9731-2022; gatica, gustavo/KXR-7308-2024; Coronado-Hernandez, Jairo/AAB-2288-2021; derpich, ivan/T-1160-2019</t>
  </si>
  <si>
    <t>Martinez Paredes, Breezy Pilar/0000-0003-2157-0144; Herrera Vidal, German/0000-0002-0152-6712; Gustavo, Gatica/0000-0002-1816-6856; Coronado-Hernandez, Jairo R./0000-0003-4360-6128; Derpich, Ivan/0000-0001-9759-7285</t>
  </si>
  <si>
    <t>10.3390/e27010050</t>
  </si>
  <si>
    <t>WOS:001405358600001</t>
  </si>
  <si>
    <t>Zurob, E; Quijada-Maldonado, E; Castro-Muñoz, R; Romero, J; Plaza, A; Cabezas, R</t>
  </si>
  <si>
    <t>Zurob, Elsie; Quijada-Maldonado, Esteban; Castro-Munoz, Roberto; Romero, Julio; Plaza, Andrea; Cabezas, Rene</t>
  </si>
  <si>
    <t>Development of an asymmetric cellulose acetate-ionic liquid P6,6,6,14[PHOS] gel membrane for the perstraction of succinic acid from a model fermentation solution of yarrovia lipolytica</t>
  </si>
  <si>
    <t>This study introduces a novel approach to separate succinic acid (SA) from fermentation mixtures using an asymmetric membrane based on the gelation of the ionic liquid [P6,6,6,14][PHOS] coated with two layers of cellulose acetate. The membrane was designed to explore the synergistic effect of polymer-ionic liquid interfaces according to the solution-diffusion theory. The gelation of the ionic liquid was achieved using 12-hydroxystearic acid at a concentration of 1.5%, allowing the use of ionic liquid gels as new materials for the generation of membranes. The perstraction performance of the membrane was evaluated over 5 h at two different temperatures (25 degrees C and 37 degrees C), with an initial feed solution concentration of 50 kg m- 3 for SA and glycerol and pure water as a receiving phase., Several flow rates and phase-volume ratios were studied anda mass transfer model based on the resistance-in-series theory was assessed to understand the behavior of each mass transfer stage considering the distribution in each interphase. Interestingly, optimal perstraction results were obtained at 37 degrees C, with an average transmembrane flux of 0.22 kg m-2h- 1 for SA, an extraction percentage of 43.1% for SA and 0.7% for glycerol, and a SA/glycerol selectivity of 54.98. Besides presenting a novel composite membrane, this study reports pioneering perstraction outcomes, highlighting its potential as an innovative SA separation strategy and structured new materials for selective extractions.</t>
  </si>
  <si>
    <t>Romero, Julio/I-6705-2013; Castro-Muñoz, Roberto/AAP-3010-2020; Cabezas, Rene/HAR-6189-2022</t>
  </si>
  <si>
    <t>Cabezas, Rene/0000-0002-4162-3429; Romero, Julio/0000-0002-1229-1592; Plaza, Andrea/0000-0001-9475-007X; Zurob, Elsie/0000-0002-5396-5960; Quijada-Maldonado, Esteban/0000-0003-1411-4327</t>
  </si>
  <si>
    <t>FEB 19</t>
  </si>
  <si>
    <t>10.1016/j.seppur.2024.129199</t>
  </si>
  <si>
    <t>WOS:001297983200001</t>
  </si>
  <si>
    <t>Espinoza-Monje, JF; Garcés, HO; Díaz, J; Adam, R; Lazo, J; Muñoz, R; Coronado, M; Saiz, G; Azócar, L</t>
  </si>
  <si>
    <t>Espinoza-Monje, J. Flavio; Garces, Hugo O.; Diaz, Juan; Adam, Roman; Lazo, Jorge; Munoz, Robinson; Coronado, Matias; Saiz, Gustavo; Azocar, Laura</t>
  </si>
  <si>
    <t>Investigating the properties of shrub biomass pellets through additive and sawdust admixing</t>
  </si>
  <si>
    <t>This study investigated pellets produced using shrub biomass blended with pine sawdust to improve their physical and combustion properties by incorporating additives. First, the properties of pellets produced at different temperatures were analyzed. Pellets produced using pine sawdust blended with Teline monspessulana and Ulex europaeus biomasses (80/20 %m/m) exhibited good properties when prepared at 50-60 degrees C, whereas pellets produced using Rubus ulmifolius exhibited better characteristics at lower temperatures. The results showed that further studies on the physical properties and operational conditions of biomass from Ulex europaeus and Rubus ulmifolius are required. Furthermore, pellets blended with Teline monspessulana were evaluated using starch and lignin as binders, which exhibited all the physical properties of ISO 17225-6 when 1 wt% lignin was added owing to the stronger bonding induced by the additive. Because the fuel indices indicated a high corrosion risk, the additive CaO was used to improve the combustion performance of pellets blended with Teline monspessulana biomass and binders. The content of particulate matter smaller than 2.5 and 10 mu m decreased by approximately 50%, and the crystallinity of the bottom ash, which usually contains undesirable elements, was improved by adding 1 wt% CaO, which raised the melting temperature of the ash.</t>
  </si>
  <si>
    <t>Garcés, Hugo/B-4880-2017; Diaz, Juan/LZH-6810-2025; Azócar, Laura/AAD-4602-2019; Saiz, Gustavo/F-3994-2011</t>
  </si>
  <si>
    <t>Adam, Roman/0000-0002-1702-5277; Coronado, Matias/0009-0008-3936-5628; Saiz, Gustavo/0000-0001-7794-4403; Munoz Gonzalez, Robinson/0000-0003-0380-0364; Diaz Santibanez, Juan Daniel/0009-0003-3223-774X</t>
  </si>
  <si>
    <t>1879-0682</t>
  </si>
  <si>
    <t>10.1016/j.renene.2024.120764</t>
  </si>
  <si>
    <t>JUN 2024</t>
  </si>
  <si>
    <t>WOS:001261116100001</t>
  </si>
  <si>
    <t>Veliz, L; Farias, M; Picard, M</t>
  </si>
  <si>
    <t>Veliz, Leonardo; Farias, Miguel; Picard, Michelle</t>
  </si>
  <si>
    <t>Reimagining Literacies Pedagogy in the Twenty-first Century Theorizing and Enacting Multiple Literacies for English Language Learners Afterword</t>
  </si>
  <si>
    <t>REIMAGINING LITERACIES PEDAGOGY IN THE TWENTY-FIRST CENTURY: Theorizing and Enacting Multiple Literacies for English Language Learners</t>
  </si>
  <si>
    <t>Farias, Miguel/JBJ-8602-2023; Veliz, Leonardo/ABH-9324-2020; Picard, Michelle/K-9107-2019</t>
  </si>
  <si>
    <t>978-1-3504-1366-5; 978-1-3504-1367-2; 978-1-3504-1365-8</t>
  </si>
  <si>
    <t>WOS:001356039600015</t>
  </si>
  <si>
    <t>Cerda, FCM; Goulas, C; Jones, D; Kamyabi, A; Hamre, D; Méndez, P; Wood, G</t>
  </si>
  <si>
    <t>Castro Cerda, Felipe M.; Goulas, Constantinos; Jones, Dakota; Kamyabi, Ata; Hamre, Douglas; Mendez, Patricio; Wood, Gentry</t>
  </si>
  <si>
    <t>Modelling the laser surface hardening in a ferrite and pearlite initial microstructure</t>
  </si>
  <si>
    <t>MATERIALS SCIENCE AND TECHNOLOGY</t>
  </si>
  <si>
    <t>The present study explores the microstructure and the depth-dependence of hardness after a single pass laser heat-treatment. The initial microstructure was selected as ferrite and pearlite in different fractions, with the aim of studying low, medium, and high carbon steels. A modification of an existing model is proposed, whereby the cementite dissolution is incorporated to better reflect the microstructure evolution during the rapid thermal cycle. It is found that the predictions under the new paradigm show fair agreement with the experimental data. The new model indicates that the correct estimation of the composition of austenite near the transition zone produces a more accurate prediction of the hardness profile, reducing the overestimation obtained in previous works.</t>
  </si>
  <si>
    <t>0267-0836</t>
  </si>
  <si>
    <t>1743-2847</t>
  </si>
  <si>
    <t>DEC 12</t>
  </si>
  <si>
    <t>10.1080/02670836.2023.2240101</t>
  </si>
  <si>
    <t>WOS:001043577900001</t>
  </si>
  <si>
    <t>Luraschi, R; Barrera-Avalos, C; Vallejos-Vidal, E; Alarcon, J; Mella-Torres, A; Hernandez, F; Inostroza-Molina, A; Valdes, D; Imarai, M; Acuna-Castillo, C; Reyes-Lopez, FE; Sandino, AM</t>
  </si>
  <si>
    <t>Luraschi, Roberto; Barrera-Avalos, Carlos; Vallejos-Vidal, Eva; Alarcon, Javiera; Mella-Torres, Andrea; Hernandez, Felipe; Inostroza-Molina, Ailen; Valdes, Daniel; Imarai, Monica; Acuna-Castillo, Claudio; Reyes-Lopez, Felipe E.; Sandino, Ana Maria</t>
  </si>
  <si>
    <t>The Comparative Analysis of Two RT-qPCR Kits for Detecting SARS-CoV-2 Reveals a Higher Risk of False-Negative Diagnosis in Samples with High Quantification Cycles for Viral and Internal Genes (Publication with Expression of Concern)</t>
  </si>
  <si>
    <t>CANADIAN JOURNAL OF INFECTIOUS DISEASES &amp; MEDICAL MICROBIOLOGY</t>
  </si>
  <si>
    <t>The early detection of severe acute respiratory syndrome coronavirus 2 (SARS-CoV-2) using the real-time quantitative polymerase chain reaction (RT-qPCR) as a gold-standard molecular tool has allowed to test and trace the viral spread and the isolation of COVID-19-infected patients. The detection capacity of viral and internal genes is an essential parameter to consider and analyze during the assay. In this study, we analyze the performance of the two commercial RT-qPCR kits used in Chile, TaqMan (TM) 2019-nCoV Control Kit v1 (Thermo Fisher) and MaxCov19 (TAAG Genetics), for the COVID-19 diagnosis from nasopharyngeal swab samples (NPSs). Our results show a lower sensitivity of the TAAG kit compared to the Thermo Fisher kit, even in the detection of SARS-CoV-2 mutations associated with its variants. This study reinforces the relevance of evaluating the performance of RT-qPCR kits before being used massively since those with lower sensitivity can generate false negatives and produce outbreaks of local infections.</t>
  </si>
  <si>
    <t>Luraschi, Roberto/AAI-7965-2021; Reyes-López, Felipe/S-1760-2018; Acuña-Castillo, Claudio/AAI-7090-2021; Vallejos-Vidal, Eva/R-9606-2019</t>
  </si>
  <si>
    <t>Imarai, Monica/0000-0001-8767-9180; Luraschi, Roberto/0000-0001-5611-4320; Reyes-Lopez, Felipe E./0000-0002-5001-457X; Barrera-Avalos, Carlos/0000-0001-6160-9563; Vallejos-Vidal, Eva/0000-0002-3091-2700; Acuna-Castillo, Claudio/0000-0003-3607-6077</t>
  </si>
  <si>
    <t>1712-9532</t>
  </si>
  <si>
    <t>1918-1493</t>
  </si>
  <si>
    <t>JUL 5</t>
  </si>
  <si>
    <t>10.1155/2022/2594564</t>
  </si>
  <si>
    <t>WOS:000829095900001</t>
  </si>
  <si>
    <t>Barrera-Causil, C; Correa, J; Zamecnik, A; Torres-Avilés, F; Marmolejo-Ramos, F</t>
  </si>
  <si>
    <t>Barrera-Causil, Carlos; Correa, Juan; Zamecnik, Andrew; Torres-Aviles, Francisco; Marmolejo-Ramos, Fernando</t>
  </si>
  <si>
    <t>An FDA-Based Approach for Clustering Elicited Expert Knowledge</t>
  </si>
  <si>
    <t>STATS</t>
  </si>
  <si>
    <t>Expert knowledge elicitation (EKE) aims at obtaining individual representations of experts' beliefs and render them in the form of probability distributions or functions. In many cases the elicited distributions differ and the challenge in Bayesian inference is then to find ways to reconcile discrepant elicited prior distributions. This paper proposes the parallel analysis of clusters of prior distributions through a hierarchical method for clustering distributions and that can be readily extended to functional data. The proposed method consists of (i) transforming the infinite-dimensional problem into a finite-dimensional one, (ii) using the Hellinger distance to compute the distances between curves and thus (iii) obtaining a hierarchical clustering structure. In a simulation study the proposed method was compared to k-means and agglomerative nesting algorithms and the results showed that the proposed method outperformed those algorithms. Finally, the proposed method is illustrated through an EKE experiment and other functional data sets.</t>
  </si>
  <si>
    <t>Torres-Avilés, Francisco/J-8269-2013; Marmolejo-Ramos, Fernando/D-9826-2012; Barrera Causil, Carlos Javier/AGC-4728-2022; Zamecnik, Andrew/AFD-9742-2022; Barrera Causil, Carlos Javier/P-9717-2018</t>
  </si>
  <si>
    <t>Correa, Juan/0000-0002-9368-4725; Zamecnik, Andrew/0000-0001-9446-425X; Barrera Causil, Carlos Javier/0000-0001-7288-7710; Marmolejo-Ramos, Fernando/0000-0003-4680-1287</t>
  </si>
  <si>
    <t>2571-905X</t>
  </si>
  <si>
    <t>10.3390/stats4010014</t>
  </si>
  <si>
    <t>WOS:000836807900001</t>
  </si>
  <si>
    <t>Silva, N; Castro-Castillo, C; Oyarzún, MP; Ramírez, S; Gutierrez-Ceron, C; Marco, JF; Silva, JF; Zagal, JH</t>
  </si>
  <si>
    <t>Silva, N.; Castro-Castillo, C.; Oyarzun, M. P.; Ramirez, S.; Gutierrez-Ceron, C.; Marco, J. F.; Silva, J. F.; Zagal, J. H.</t>
  </si>
  <si>
    <t>Modulation of the electrocatalytic activity of Fe phthalocyanine to carbon nanotubes: Electrochemistry of L-cysteine and L-cystine</t>
  </si>
  <si>
    <t>We have evaluated the electrocatalytic activity of hybrid electrodes containing Fe(II) phthalocyanine and tested these electrodes for t-cysteine oxidation and t-cystine reduction. The hybrid electrodes consisted of pristine multi-walled carbon nanotubes and functionalized with -COOH, -NH 2 groups (MWCNT-p, MWCNT-c and MWCNT-a). These MWCNTs were modified with iron (II) phthalocyanine (FePc). The characterization of the hybrid systems was performed using X-ray photoelectron spectroscopy (XPS), Raman spectroscopy and AFM with the purpose of elucidating the type of interaction between FePc and MWCNTs. The Fe(II)/(I) and Fe(III)/(II) redox potentials associated with the metal center where evaluated using cycling voltammetry. The redox processes are slightly affected by the presence of MWCNTs. The activity for both reactions increases substantially by the presence of modified MWCNTs essentially by an area effect. However, when the currents are normalized by the amount of active sites estimated from the surface coverages of FePc, the activities are still higher for FePc attached to MWCNTs. The data for L-cysteine oxidation fits well on a volcano correlation published previously for several metal phthalocyanines and metalporphyrins. (C) 2019 Published by Elsevier Ltd.</t>
  </si>
  <si>
    <t>zagal, jose/L-9648-2014; CastroCastillo, Carmen/KXQ-9408-2024; Gutierrez Ceron, Cristian/O-7236-2018; Marco, JF/N-3176-2014</t>
  </si>
  <si>
    <t>Castro, Carmen/0000-0002-0103-155X; Oyarzun, Maria Paz/0000-0001-6477-3385; Gutierrez Ceron, Cristian/0000-0001-6078-1572; Silva, Nataly/0000-0002-1830-5182; Marco, JF/0000-0002-5147-1449; Ramirez Pasten, Sara/0000-0003-2109-0490</t>
  </si>
  <si>
    <t>JUN 10</t>
  </si>
  <si>
    <t>10.1016/j.electacta.2019.04.005</t>
  </si>
  <si>
    <t>WOS:000466713100032</t>
  </si>
  <si>
    <t>Contreras, Y; Neville, L; González, R</t>
  </si>
  <si>
    <t>Contreras, Yasna; Neville, Laura; Gonzalez, Rodrigo</t>
  </si>
  <si>
    <t>In-formality in access to housing for Latin American migrants: a case study of an intermediate Chilean city</t>
  </si>
  <si>
    <t>INTERNATIONAL JOURNAL OF HOUSING POLICY</t>
  </si>
  <si>
    <t>Antofagasta is an intermediate Chilean city featuring an extractive mining sector which attracts a population of low-income migrants, internal and cross-national, looking for economic opportunities. This leads to a gap between supply and demand for rental housing, subletting and homeownership, resulting in a highly speculative housing market. This paper examines the consequent increase in so-called informal settlements and shows how self-built housing has become an alternative way for the population of internal and foreign migrants to access housing. Drawing upon both quantitative (secondary statistics and a survey with 102 households) and qualitative research (15 in-depth interviews), the paper shows how a private-led, profit-oriented and racist housing market has consolidated in the city. Moreover, by shedding light on the everyday ways in which residents access urban services, the research points to the complex forms of juxtaposition between the formal and the informal in central, peri-central and peripheral sectors of the city. Therefore, the paper questions the formal-informal dualities in access to housing and the necessity to rethink housing and urban policies accordingly.</t>
  </si>
  <si>
    <t>Gonzalez Ortega, Rodrigo/JUF-6240-2023; CONTRERAS, YASNA/I-3118-2013</t>
  </si>
  <si>
    <t>CONTRERAS, YASNA/0000-0003-3796-2206; Neville, Laura/0000-0002-6909-168X</t>
  </si>
  <si>
    <t>1949-1247</t>
  </si>
  <si>
    <t>1949-1255</t>
  </si>
  <si>
    <t>10.1080/19491247.2019.1627841</t>
  </si>
  <si>
    <t>WOS:000482290600007</t>
  </si>
  <si>
    <t>Kumar, R; Singh, RK; Singh, DP; Joanni, E; Yadav, RM; Moshkalev, SA</t>
  </si>
  <si>
    <t>Kumar, Rajesh; Singh, Rajesh Kumar; Singh, Dinesh Pratap; Joanni, Ednan; Yadav, Ram Manohar; Moshkalev, Stanislav A.</t>
  </si>
  <si>
    <t>Laser-assisted synthesis, reduction and micro-patterning of graphene: Recent progress and applications</t>
  </si>
  <si>
    <t>COORDINATION CHEMISTRY REVIEWS</t>
  </si>
  <si>
    <t>Laser-based approaches for graphene synthesis, reduction, modification, cutting and micro-patterning have been developed and applied to the fabrication of various electronic devices. These laser-based techniques exhibit several advantages over alternative methods: low temperature, shorter reaction times, environmentally friendly, energy saving, catalyst free growth on insulating substrates, high productivity, better reproducibility, scalability, excellent control over experimental parameters. Given the importance of the subject, in the last few years a remarkable increase in the number of scientific articles has occurred in this area. Direct fabrication of graphene patterns for micro-supercapacitors, flexible electrodes, field-effect-transistors, and sensors are some of the examples. Direct laser writing enables local graphene synthesis and fabrication of graphene patterns on graphene oxide films. It can be used to achieve band gap modulation, removal of surface functionalities, conductivity enhancement, exfoliation and porous structure formation. The aim of this review is to collect some of the most relevant research efforts published on this important topic, with emphasis in the articles published in the last few years. After an introduction highlighting the main factors affecting the outcome of laser-materials interactions, devices built using direct laser writing (DLW) on graphene oxide/graphene films and the experimental conditions used for their fabrication are summarized. Some of the expected directions for promising future research in this area are briefly discussed. (C) 2017 Elsevier B.V. All rights reserved.</t>
  </si>
  <si>
    <t>Kumar, Dr. Rajesh/H-6510-2011; Moshkalev, Stanislav/B-9462-2012; Yadav, Prof. Ram Manohar/P-9146-2014; Singh, Rajesh kumar/B-2721-2008; SINGH, DINESH/A-2509-2011; Joanni, Ednan/V-8680-2017</t>
  </si>
  <si>
    <t>Yadav, Prof. Ram Manohar/0000-0001-6894-9501; Singh, Rajesh kumar/0000-0001-8884-8775; Moshkalev, Stanislav/0000-0002-6973-506X; SINGH, DINESH/0000-0002-2893-7749; Kumar, Rajesh/0000-0001-7065-3259; Joanni, Ednan/0000-0001-5041-1770</t>
  </si>
  <si>
    <t>0010-8545</t>
  </si>
  <si>
    <t>1873-3840</t>
  </si>
  <si>
    <t>10.1016/j.ccr.2017.03.021</t>
  </si>
  <si>
    <t>WOS:000400399800003</t>
  </si>
  <si>
    <t>Peña-Ibagon, JC; Lobelo, F; Garcia-Hermoso, A; Prieto-Benavidez, DH; Correa-Bautista, JE; Ramírez-Vélez, R</t>
  </si>
  <si>
    <t>Camilo Pena-Ibagon, Jhonatan; Lobelo, Felipe; Garcia-Hermoso, Antonio; Prieto-Benavidez, Daniel H.; Correa-Bautista, Jorge E.; Ramirez-Velez, Robinson</t>
  </si>
  <si>
    <t>Muscle Strength Thresholds For The Detection Of Cardiometabolic Risk Among Colombian Children And Adolescents: The Fuprecol Study</t>
  </si>
  <si>
    <t>MAY 30-JUN 03, 2017</t>
  </si>
  <si>
    <t>Denver, CO</t>
  </si>
  <si>
    <t>García-Hermoso, Antonio/ADU-2591-2022; Correa-Bautista, Jorge Enrique/JDD-3131-2023; Lobelo, R.L/AAB-2264-2021; Ramírez-Vélez, Robinson/D-5311-2016; Garcia-Hermoso, Antonio/P-1857-2017; Correa-Bautista, Jorge Enrique/N-2741-2015</t>
  </si>
  <si>
    <t>Garcia-Hermoso, Antonio/0000-0002-1397-7182; Correa-Bautista, Jorge Enrique/0000-0002-0646-2316</t>
  </si>
  <si>
    <t>10.1249/01.mss.0000519967.27014.bd</t>
  </si>
  <si>
    <t>WOS:000415216000740</t>
  </si>
  <si>
    <t>Berrios, R; Kellett, S; Fiorani, C; Poggioli, M</t>
  </si>
  <si>
    <t>Berrios, Raul; Kellett, Stephen; Fiorani, Christina; Poggioli, Marisa</t>
  </si>
  <si>
    <t>Assessment of Identity Disturbance: Factor Structure and Validation of the Personality Structure Questionnaire in an Italian Sample</t>
  </si>
  <si>
    <t>PSYCHOLOGICAL ASSESSMENT</t>
  </si>
  <si>
    <t>There are few brief measures of identity disturbance for use in clinical practice that have been subject to any cross-cultural validation. This study investigated the construct validity of the Personality Structure Questionnaire (PSQ) in Italian clinical (N = 237) and community (N = 296) samples. Confirmatory factor analysis was conducted to investigate the internal structure of the PSQ. A 3-factor structure (i.e., differing self-states, mood variability, and behavioral loss of control) including a second-order factor provided the best fit to the data. This structure was demonstrated to be invariant across sex and clinical diagnosis, with clinical diagnosis significantly predicting increased PSQ scores. A global PSQ score of between 26 and 28 was found to be an appropriate cutoff for assisting in diagnostic processes. The clinical implication of the study is that quantitative assessment of identity disturbance can be rapidly achieved via the PSQ, usefully supplementing necessary diagnostic and formulation work.</t>
  </si>
  <si>
    <t>Berrios, Raul/G-5167-2019</t>
  </si>
  <si>
    <t>Berrios, Raul/0000-0003-1826-7822</t>
  </si>
  <si>
    <t>1040-3590</t>
  </si>
  <si>
    <t>1939-134X</t>
  </si>
  <si>
    <t>E27</t>
  </si>
  <si>
    <t>E35</t>
  </si>
  <si>
    <t>10.1037/pas0000143</t>
  </si>
  <si>
    <t>WOS:000372968600001</t>
  </si>
  <si>
    <t>Reyes, P; Urtubia, A; Schiappacasse, MC; Chamy, R; Montalvo, S; Borja, R</t>
  </si>
  <si>
    <t>Reyes, Paula; Urtubia, Alejandra; Schiappacasse, Maria C.; Chamy, Rolando; Montalvo, Silvio; Borja, Rafael</t>
  </si>
  <si>
    <t>Effect of dissolved oxygen and temperature on macromolecular composition and PHB storage of activated sludge</t>
  </si>
  <si>
    <t>The macromolecular composition of activated sludge (lipids, intracellular proteins and intracellular polysaccharides) was studied together with its capacity to store macromolecules such as polyhydroxybutyrate (PHB) in a conventional activated sludge system fed with synthetic sewage water at an organic load rate of 1.0kg COD/(m(3)center dot d), varying the dissolved oxygen (DO) and temperature. Six DO concentrations (0.8, 1.0, 1.5, 2.0, 2.5 and 8mg/L) were studied at 20 degrees C with a sludge retention time (SRT) of 6days. In addition, four temperatures (10oC, 15oC, 20oC and 30oC) were assessed at constant DO (2mg/L) with 2days SRT in a second experimental run. The highest lipid content in the activated sludge was 95.6mg/g VSS, obtained at 30 degrees C, 2mg/L of DO and a SRT of 2days. The highest content of intracellular proteins in the activated sludge was 87.8mg/g VSS, obtained at 20 degrees C, 8mg/L of DO and a SRT of 6days. The highest content of intracellular polysaccharides in the activated sludge was 76.6mg/g VSS, which was achieved at 20 degrees C, a SRT of 6days and a wide range of DO. The activated sludge PHB storage was very low for all the conditions studied.</t>
  </si>
  <si>
    <t>Urtubia, Alejandra/N-4038-2013; Chamy, Rolando/M-3124-2014; Borja, Rafael/P-5314-2016</t>
  </si>
  <si>
    <t>Chamy, Rolando/0000-0001-8718-9173; Urtubia, Alejandra/0000-0002-0124-3587; Borja, Rafael/0000-0002-3699-7223</t>
  </si>
  <si>
    <t>JUN 7</t>
  </si>
  <si>
    <t>10.1080/10934529.2014.882682</t>
  </si>
  <si>
    <t>WOS:000334068600013</t>
  </si>
  <si>
    <t>Antonova, EE; Kirpichev, IP; Ovchinnikov, IL; Pulinets, MS; Znatkova, SS; Orlova, KG; Stepanova, MV</t>
  </si>
  <si>
    <t>Lui, W; Fujimoto, M</t>
  </si>
  <si>
    <t>Antonova, Elizaveta E.; Kirpichev, Igor P.; Ovchinnikov, Ilya L.; Pulinets, Maria S.; Znatkova, Svetlana S.; Orlova, Ksenia G.; Stepanova, Marina V.</t>
  </si>
  <si>
    <t>Topology of High-Latitude Magnetospheric Currents</t>
  </si>
  <si>
    <t>DYNAMIC MAGNETOSPHERE</t>
  </si>
  <si>
    <t>IAGA Special Sopron Book Series</t>
  </si>
  <si>
    <t>The structure and localization of high latitude transverse and field-aligned currents are analyzed using the data from the Themis satellite mission. A number of evidences resumed in this paper, including daytime compression of magnetic field lines and the existence of magnetic field minima far from the equatorial plane make necessary to reanalyze the traditional points of view about the topology of high-latitude magnetospheric currents. Comparison between the dayside integral transverse currents at the geocentric distances 7-10R(E), calculated assuming the validity of the condition of magnetostatic equilibrium and the nighttime transverse currents, showed that ordinary ring current has the high latitude continuation until geocentric distances similar to 10-13R(E). The problem of the location of Region 1 field-aligned current of Iijima and Potemra is discussed.</t>
  </si>
  <si>
    <t>Kirpichev, Igor/HHM-2487-2022; Ovchinnikov, Ilya/B-1467-2014; Antonova, Elizaveta/A-2716-2012; Stepanova, Marina/D-6329-2011</t>
  </si>
  <si>
    <t>Ovchinnikov, Ilya/0000-0003-2509-8166; Antonova, Elizaveta/0000-0001-6980-3993; Stepanova, Marina/0000-0002-1053-3375</t>
  </si>
  <si>
    <t>978-94-007-0500-5</t>
  </si>
  <si>
    <t>10.1007/978-94-007-0501-2_11</t>
  </si>
  <si>
    <t>10.1007/978-94-007-0501-2</t>
  </si>
  <si>
    <t>WOS:000300646400011</t>
  </si>
  <si>
    <t>Vogel, H; González, M; Faini, F; Razmilic, L; Rodríguez, J; San Martín, J; Urbina, F</t>
  </si>
  <si>
    <t>Antioxidant properties and TLC characterization of four Chilean Haplopappus-species known as bailahuen</t>
  </si>
  <si>
    <t>JOURNAL OF ETHNOPHARMACOLOGY</t>
  </si>
  <si>
    <t>Bailahuen is the common name of a medicinal shrub native to Chile where this resinous herb is widely used for its liver stimulating properties. Although the official species is Haplopappus baylahuen Remy (Asteraceae), other species of the same genus are also used in different regions as bailahuen. A thin layer chromatography (TLC) method for rapid identification of different species and detection of adulterations is described for four of the species: Haplopappus baylahuen, Haplopappus taeda Reiche, Haplopappus multifolius Phil., and Hoplopappus remyanus Wedd. To confirm efficiency in all species antioxidant properties were screened in resins, infusions, and methanolic extracts by tests of lipid peroxidation in erythrocytes and free radical scavenging activity by DPPH. In both studies Haplopappus baylahuen showed the lowest antioxidant capacity. In DPPH analyses, infusion and resins of Haplopappus baylahuen also showed the lowest and Haplopappus remyanus the major inhibiting activity of free radicals, while Haplopappus multifolius proved to have the highest result when the methanolic extracts were used. The chemical characterization of the studied species showed important levels of flavonoids and coumarins, with flavonoids predominating in Haplopappus taeda, coumarins in Haplopappus multifolius and both of them in Haplopappus baylahuen and Haplopappus remyanus. (C) 2004 Elsevier Ireland Ltd. All rights reserved.</t>
  </si>
  <si>
    <t>Vogel, Hermine/0000-0003-0072-4239</t>
  </si>
  <si>
    <t>0378-8741</t>
  </si>
  <si>
    <t>1872-7573</t>
  </si>
  <si>
    <t>FEB 10</t>
  </si>
  <si>
    <t>10.1016/j.jep.2004.10.027</t>
  </si>
  <si>
    <t>WOS:000226779500016</t>
  </si>
  <si>
    <t>Fudym, O; Batsale, JC; Lecomte, D</t>
  </si>
  <si>
    <t>Heat diffusion at the boundary of stratified media - Homogenized temperature field and thermal constriction</t>
  </si>
  <si>
    <t>Heat diffusion in stratified materials with the layers running parallel to the main heat flux direction is analyzed with special emphasis on the temperature field near the boundaries. In a previous work, a semi-analytical general solution was proposed as an extension of the thermal quadrupole method for heat conduction in heterogeneous media. In this paper, the steady solution is separated into an homogenized transfer in series with a constriction term, and a conductive boundary layer is defined. The same decomposition method is implemented for the semi-infinite transient case, and some simplified models are obtained from asymptotic expansions. For long times, the transient averaged signal is found to be superposed to the steady constriction matrix effect. The main application is to better envision experimental temperature field analysis for thermal non-destructive evaluation methods. (C) 2003 Elsevier Ltd. All rights reserved.</t>
  </si>
  <si>
    <t>10-11</t>
  </si>
  <si>
    <t>10.1016/j.ijheatmasstransfer.2003.11.014</t>
  </si>
  <si>
    <t>WOS:000220352300032</t>
  </si>
  <si>
    <t>Alva-Valdivia, LM; Rivas, ML; Goguitchaichvili, A; Urrutia-Fucugauchi, J; Gonzalez, JA; Morales, J; Gómez, S; Henríquez, F; Nyström, JO; Naslund, RH</t>
  </si>
  <si>
    <t>Rock-magnetic and oxide microscopic studies of the El Laco iron ore deposits, Chilean Andes, and implications for magnetic anomaly modeling</t>
  </si>
  <si>
    <t>INTERNATIONAL GEOLOGY REVIEW</t>
  </si>
  <si>
    <t>Microscopic and rock-magnetic studies of the ores and host rocks of the El Laco iron oxide deposits permit us to characterize the magnetic mineralogy and the processes affecting natural remanent magnetization (NRM) during emplacement and evolution of the deposits. Particular attention was devoted to identifying the magnetic mineral composition (magnetite and/or titanomagnetite, and hematite and/or titanohematite, and titanomaghemite) and grain size variations of both ores and host rock. Rock-magnetic data are used to clarify magnetic domain states and remanence acquisition processes, and to assess their significance as a source of magnetic anomalies. Microscopy under reflected light demonstrates that magnetic carriers are mainly magnetite, with significant amounts of ilmenite-hematite minerals. Magmatic titanomagnetites in the andesitic rocks show trellis textures, compatible with high-temperature oxy-exsolution processes. Supergene reactions in ore deposits under eruption conditions are indicated by goethite and hematite oxide minerals. Grain sizes range from a few microns to &gt;100 pm. Hysteresis measurements point to pseudo-single-domain states. Thermal spectra, continuous temperature-dependent susceptibility measurements, and isothermal remanent magnetization (IBM) acquisition suggest predominance of spinels (titanomagnetite or titanomaghemite) with low-Ti contents as magnetic carriers. Although the presence of (titano)hematites is indicated by hysteresis and IBM studies, their contribution to the total remanence seems to be minor. The Fe-oxides in the ore are typically poor in Ti, whereas in the rocks they are Ti-bearing. For the modeling of the magnetic anomalies, we used data on bulk susceptibility and NRM intensity and direction in order to constrain the relative contributions of induced and remanent magnetization components, and to obtain improved control regarding depth and geometry of source bodies. The deep magnetic source corresponds to an ENE-striking tabular body, steeply inclined 65degrees to the north.</t>
  </si>
  <si>
    <t>Henriquez, Fernando/C-9830-2009; GOGICHAISHVILI, AVTANDIL/HQY-9872-2023; gomez, sebastian/KHU-4884-2024; Morales, Juan/AAT-5927-2021</t>
  </si>
  <si>
    <t>Gogichaishvili, Avto/0000-0003-4510-2636; Henriquez, Fernando/0000-0002-8494-1435; Alva-Valdivia, Luis/0000-0003-1655-6495</t>
  </si>
  <si>
    <t>0020-6814</t>
  </si>
  <si>
    <t>10.2747/0020-6814.45.6.533</t>
  </si>
  <si>
    <t>WOS:000184726400003</t>
  </si>
  <si>
    <t>De Figueiredo, DG; Gossez, JP; Ubilla, P</t>
  </si>
  <si>
    <t>Local superlinearity and sublinearity for indefinite semilinear elliptic problems</t>
  </si>
  <si>
    <t>JOURNAL OF FUNCTIONAL ANALYSIS</t>
  </si>
  <si>
    <t>In this paper the usual notions of superlinearity and sublinearity for semilinear problems like -Deltau =f (x, u) are given a local form and extended to indefinite nonlinearities. Here f (x, s) is allowed to change sign or to vanish for s near zero as well as for s near infinity. Some of the well-known results of Ambrosetti-Brezis-Cerami are partially extended to this context. (C) 2003 Elsevier Science (USA). All rights reserved.</t>
  </si>
  <si>
    <t>de Figueiredo, Djairo/HII-8077-2022</t>
  </si>
  <si>
    <t>0022-1236</t>
  </si>
  <si>
    <t>APR 20</t>
  </si>
  <si>
    <t>PII S0022-1236(02)00060-5</t>
  </si>
  <si>
    <t>10.1016/S0022-1236(02)00060-5</t>
  </si>
  <si>
    <t>WOS:000182440700008</t>
  </si>
  <si>
    <t>URZUA, A; FREYER, AJ; SHAMMA, M</t>
  </si>
  <si>
    <t>2,5-DIARYL-3,4-DIMETHYLTETRAHYDROFURANOID LIGNANS</t>
  </si>
  <si>
    <t>PHYTOCHEMISTRY</t>
  </si>
  <si>
    <t>Aristolochia chilensis has yielded the new 2,5-diaryl-3,4-dimethyltetrahydrofuranoid lignans (+)-aristolignin and (-)-zuonin-A. These and related tetrahydrofuranoids have been classified into six stereochemical groups.</t>
  </si>
  <si>
    <t>Urzua, Alejandro/0000-0003-2638-0921</t>
  </si>
  <si>
    <t>0031-9422</t>
  </si>
  <si>
    <t>1873-3700</t>
  </si>
  <si>
    <t>10.1016/S0031-9422(00)81846-4</t>
  </si>
  <si>
    <t>WOS:A1987H639600057</t>
  </si>
  <si>
    <t>Castro, M; Gálvez-Poblete, D; Castillo-Sepúlveda, S; Carvalho-Santos, VL; Nunez, AS; Allende, S</t>
  </si>
  <si>
    <t>Castro, Mario; Galvez-Poblete, David; Castillo-Sepulveda, Sebastian; Carvalho-Santos, Vagson L.; Nunez, Alvaro S.; Allende, Sebastian</t>
  </si>
  <si>
    <t>Bimerons as Edge States in Thin Magnetic Strips</t>
  </si>
  <si>
    <t>NANO LETTERS</t>
  </si>
  <si>
    <t>Magnetic bimerons offer a compelling alternative to skyrmions in next-generation spintronic devices. These topologically equivalent structures arise in chiral magnetic systems with in-plane magnetization driven by anisotropies or external magnetic fields. However, their use in current-driven systems is hindered by the bimeron Hall effect, which causes transverse motion and edge annihilation. Addressing these limitations, we uncover a novel mechanism for stabilizing bimeron propagation under current-driven conditions. We demonstrate that bimerons can propagate along thin ferromagnetic strips without annihilation when the easy-axis anisotropy and electric current are orthogonal. Our findings show a 6-fold velocity increase near strip edges due to boundary interactions. Furthermore, bimerons remain stable in curved geometries, allowing robust propagation in complex racetracks. This behavior also extends to bimeron chains, which propagate in parallel, forming stable and efficient configurations for information transport. These findings open new pathways toward practical and efficient bimeron-based racetrack memory technologies.</t>
  </si>
  <si>
    <t>Carvalho-Santos, Vagson/E-8806-2013; Núñez, Alvaro/F-4572-2011</t>
  </si>
  <si>
    <t>1530-6984</t>
  </si>
  <si>
    <t>1530-6992</t>
  </si>
  <si>
    <t>2025 APR 17</t>
  </si>
  <si>
    <t>10.1021/acs.nanolett.4c06167</t>
  </si>
  <si>
    <t>APR 2025</t>
  </si>
  <si>
    <t>WOS:001469178600001</t>
  </si>
  <si>
    <t>Morales-Guevara, R; Páez-Hernández, D; Gacitúa, M; Fuentes, JA; Carreño, A</t>
  </si>
  <si>
    <t>Morales-Guevara, Rosaly; Paez-Hernandez, Dayan; Gacitua, Manuel; Fuentes, Juan A.; Carreno, Alexander</t>
  </si>
  <si>
    <t>REDOX POTENTIAL STUDIES BASED ON SCAN-RATE ANALYSIS OF THE DIFFUSIONAL CONTROL AND DFT CALCULATIONS OF THE SCHIFF BASE [( E )-4-AMINO-3-((3,5-DI- tert-BUTYL-2-HYDROXYBENZYLIDENE)AMINO) BENZOIC ACID]</t>
  </si>
  <si>
    <t>Schiff bases are diverse organic compounds with an azomethine structure (-C=N-), holding potential in both chemistry and biology. They serve as catalysts, stabilizers, and exhibit various biological activities. The molecular structure of Schiff bases influences their biological properties, including antimicrobial effects. Redox-active compounds with more negative potentials tend to be more effective against microbes. In one of our recent studies, we explored the antimicrobial properties of two Schiff bases derivatives, SB-1 ((E)-4-amino-3-((3,5-di-tert-butyl-2-hydroxybenzylidene)amino) and SB-2 ((E)-2-((4-nitrobenzilidene)amino)aniline). SB-1 showed antibacterial activity against certain Gram-positive bacteria, while SB-2 did not. The difference in their cyclic voltametric profiles, especially SB-1's more negative reduction potential, prompted us to carry out further characterizations, including scan-rate studies, solvent analysis, and computational calculations. We found that SB-1, which presents a stable intramolecular hydrogen bond, undergoes irreversible oxidation, likely at the -NH2 group, and a quasi-reversible reduction via an intramolecular reductive coupling of the (-C=N-) azomethine group, supported by orbital theoretical calculations. This research sheds light on the potential applications of Schiff bases in antimicrobial contexts, guided by their redox properties and structure.</t>
  </si>
  <si>
    <t>Gacitua, Manuel/R-8868-2019; Carreno, Alexander/I-6374-2019; Páez-Hernández, Dayán/AAJ-3317-2020; Morales-Guevara, Rosaly/LJL-1907-2024</t>
  </si>
  <si>
    <t>Carreno, Alexander/0000-0001-9733-8224; Gacitua, Manuel/0000-0003-0807-2677; Morales-Guevara, Rosaly/0000-0002-1147-619X</t>
  </si>
  <si>
    <t>e2025005</t>
  </si>
  <si>
    <t>10.21577/0100-4042.20250005</t>
  </si>
  <si>
    <t>WOS:001240525700001</t>
  </si>
  <si>
    <t>Magnot, JP; Reyes, EG; Rubtsov, V</t>
  </si>
  <si>
    <t>Magnot, Jean-Pierre; Reyes, Enrique G.; Rubtsov, Vladimir</t>
  </si>
  <si>
    <t>Towards a theory of homotopy structures for differential equations: First definitions and examples</t>
  </si>
  <si>
    <t>We work within the framework of the variational bicomplex: we define Ate-algebra structures on horizontal and vertical cohomologies of (formally integrable) partial differential equations with the help of Merkulov's theorem. Since higher order Ate-algebra operations are related to Massey products, our observation implies the existence of invariants for differential equations that go beyond conservation laws. We also propose notions of formality for PDEs, and we present examples of formal equations. (c) 2024 Elsevier Inc. All rights are reserved, including those for text and data mining, AI training, and similar technologies.</t>
  </si>
  <si>
    <t>Reyes, Enrique/AAD-1308-2019; Magnot, Jean-pierre/K-7324-2013</t>
  </si>
  <si>
    <t>Reyes, Enrique G./0000-0001-8460-444X; Magnot, Jean-Pierre/0000-0002-3959-3443</t>
  </si>
  <si>
    <t>DEC 25</t>
  </si>
  <si>
    <t>10.1016/j.jde.2024.08.057</t>
  </si>
  <si>
    <t>SEP 2024</t>
  </si>
  <si>
    <t>WOS:001308773700001</t>
  </si>
  <si>
    <t>Liao, RW; Quezada, F; Gicquel, C; Kedad-Sidhoum, S</t>
  </si>
  <si>
    <t>Thurer, M; Riedel, R; VonCieminski, G; Romero, D</t>
  </si>
  <si>
    <t>Liao, Ruiwen; Quezada, Franco; Gicquel, Celine; Kedad-Sidhoum, Safia</t>
  </si>
  <si>
    <t>A Two-Stage Stochastic Programming Approach for Energy-Oriented Lot-Sizing</t>
  </si>
  <si>
    <t>ADVANCES IN PRODUCTION MANAGEMENT SYSTEMS-PRODUCTION MANAGEMENT SYSTEMS FOR VOLATILE, UNCERTAIN, COMPLEX, AND AMBIGUOUS ENVIRONMENTS, APMS 2024, PT III</t>
  </si>
  <si>
    <t>IFIP Advances in Information and Communication Technology</t>
  </si>
  <si>
    <t>43rd IFIP WG 5.7 International Conference on Advances in Production Management Systems (APMS)</t>
  </si>
  <si>
    <t>SEP 08-12, 2024</t>
  </si>
  <si>
    <t>Chemnitz Univ Tech &amp; West Saxon Univ Applied Sci Zwickau, Chemnitz, GERMANY</t>
  </si>
  <si>
    <t>Chemnitz Univ Tech &amp; West Saxon Univ Applied Sci Zwickau</t>
  </si>
  <si>
    <t>We consider an industrial plant equipped with an on-site power generation system based on intermittent renewable energy. We investigate the problem of simultaneously planning the industrial production and the energy supply in this plant on a short-therm horizon. We propose to handle the resulting energy-oriented lot-sizing problem by a two-stage scenario-based stochastic programming approach. We discuss two alternative models differing with respect to when the decision on the production quantities is made. Preliminary computational results aimed at assessing the value of the stochastic solution are provided for both models.</t>
  </si>
  <si>
    <t>1868-4238</t>
  </si>
  <si>
    <t>1868-422X</t>
  </si>
  <si>
    <t>978-3-031-71631-7; 978-3-031-71629-4; 978-3-031-71628-7</t>
  </si>
  <si>
    <t>10.1007/978-3-031-71629-4_24</t>
  </si>
  <si>
    <t>WOS:001356134200024</t>
  </si>
  <si>
    <t>Ruiz, MA; Pinto, EL; Figueroa, O; Robles, N; Prehn, DL; Riquelme, FV; Anselmi, GD</t>
  </si>
  <si>
    <t>Armayones Ruiz, Manuel; Leiva Pinto, Eduardo; Figueroa, Oriana; Robles, Noemi; Laroze Prehn, Denise; Villarroel Riquelme, Francisco; Duarte Anselmi, Giuliano</t>
  </si>
  <si>
    <t>Barriers and facilitators for safe sex behaviors in students from universidad de Santiago de Chile (USACH) through the COM-B model</t>
  </si>
  <si>
    <t>Background Unsafe sex is one of the main morbidity and mortality risk factors associated with sexually transmitted infections (STIs) in young people. Behavioral change interventions for promoting safe sex have lacked specificity and theoretical elements about behavior in their designs, which may have affected the outcomes for HIV/AIDS and STI prevention, as well as for safe sex promotion. This study offers an analysis of the barriers and facilitators that, according to the university students who participated in the focus groups, impede or promote the success of interventions promoting healthy sexuality from the perspective of the actions stakeholders should undertake. In turn, this study proposes intervention hypotheses based on the Behavior Change Wheel which appears as a useful strategy for the design of intervention campaigns. Methods Two focus groups were organized with students from Universidad de Santiago de Chile (USACH). The focus groups gathered information about the perceptions of students about sex education and health, risk behaviors in youth sexuality, and rating of HIV/AIDS and STI prevention campaigns. In the focus groups, participants were offered the possibility of presenting solutions for the main problems and limitations detected. After identifying the emerging categories related to each dimension, a COM-B analysis was performed, identifying both the barriers and facilitators of safe sex behaviors that may help orient future interventions. Results Two focus groups were organized, which comprised 20 participants with different sexual orientations. After transcription of the dialogues, a qualitative analysis was performed based on three axes: perception about sex education, risk behaviors, and evaluation of HIV/AIDS and STI prevention campaigns. These axes were classified into two groups: barriers or facilitators for safe and healthy sexuality. Finally, based on the Behavior Change Wheel and specifically on its 'intervention functions', the barriers and facilitators were integrated into a series of actions to be taken by those responsible for promotion campaigns at Universidad de Santiago. The most prevalent intervention functions are: education (to increase the understanding and self-regulation of the behavior); persuasion (to influence emotional aspects to promote changes) and training (to facilitate the acquisition of skills). These functions indicatethat specific actions are necessary for these dimensions to increase the success of promotional campaigns for healthy and safe sexuality. Conclusions The content analysis of the focus groups was based on the intervention functions of the Behavior Change Wheel. Specifically, the identification by students of barriers and facilitators for the design of strategies for promoting healthy sexuality is a useful tool, which when complemented with other analyses, may contribute improving the design and implementation of healthy sexuality campaigns among university students.</t>
  </si>
  <si>
    <t>Villarroel Riquelme, Francisco Javier/IRZ-8717-2023; Figueroa, Oriana/IRZ-9301-2023; Ruiz, Manuel/AAD-6400-2020; Duarte, Giuliano/GYA-2853-2022</t>
  </si>
  <si>
    <t>Robles, Noemi/0000-0003-0740-9098; Villarroel Riquelme, Francisco javier/0000-0001-5482-5671; Figueroa, Oriana/0000-0003-0571-9826; Armayones Ruiz, Manuel/0000-0001-6345-8711; Duarte Anselmi, Giuliano/0000-0001-9724-0796; Leiva-Pinto, Eduardo Esteban/0000-0002-9026-0345</t>
  </si>
  <si>
    <t>APR 11</t>
  </si>
  <si>
    <t>10.1186/s12889-023-15489-y</t>
  </si>
  <si>
    <t>WOS:001189240700001</t>
  </si>
  <si>
    <t>Molinet, J; Urbina, K; Villegas, C; Abarca, V; Oporto, CI; Villarreal, P; Villarroel, CA; Salinas, F; Nespolo, RF; Cubillos, FA</t>
  </si>
  <si>
    <t>Molinet, Jennifer; Urbina, Kamila; Villegas, Claudia; Abarca, Valentina; Oporto, Christian I.; Villarreal, Pablo; Villarroel, Carlos A.; Salinas, Francisco; Nespolo, Roberto F.; Cubillos, Francisco A.</t>
  </si>
  <si>
    <t>A Saccharomyces eubayanus haploid resource for research studies</t>
  </si>
  <si>
    <t>Since its identification, Saccharomyces eubayanus has been recognized as the missing parent of the lager hybrid, S. pastorianus. This wild yeast has never been isolated from fermentation environments, thus representing an interesting candidate for evolutionary, ecological and genetic studies. However, it is imperative to develop additional molecular genetics tools to ease manipulation and thus facilitate future studies. With this in mind, we generated a collection of stable haploid strains representative of three main lineages described in S. eubayanus (PB-1, PB-2 and PB-3), by deleting the HO gene using CRISPR-Cas9 and tetrad micromanipulation. Phenotypic characterization under different conditions demonstrated that the haploid derivates were extremely similar to their parental strains. Genomic analysis in three strains highlighted a likely low frequency of off-targets, and sequencing of a single tetrad evidenced no structural variants in any of the haploid spores. Finally, we demonstrate the utilization of the haploid set by challenging the strains under mass-mating conditions. In this way, we found that S. eubayanus under liquid conditions has a preference to remain in a haploid state, unlike S. cerevisiae that mates rapidly. This haploid resource is a novel set of strains for future yeast molecular genetics studies.</t>
  </si>
  <si>
    <t>Cubillos, Francisco/MIT-2389-2025; Villarreal, Pablo/N-8921-2019; Molinet, Jennifer/AAI-3636-2020; Nespolo, Roberto/D-5601-2015; Cubillos, Francisco/G-5195-2019; Salinas, Francisco/W-3269-2017</t>
  </si>
  <si>
    <t>Cubillos, Francisco/0000-0003-3022-469X; Molinet, Jennifer/0000-0001-9716-4455; Salinas, Francisco/0000-0002-8391-8145</t>
  </si>
  <si>
    <t>APR 8</t>
  </si>
  <si>
    <t>10.1038/s41598-022-10048-8</t>
  </si>
  <si>
    <t>WOS:000781895600010</t>
  </si>
  <si>
    <t>Hernandez-Duran, E; Corallo, L; Ros-Yanez, T; Castro-Cerda, F; Petrov, RH</t>
  </si>
  <si>
    <t>Hernandez-Duran, Eliseo; Corallo, Luca; Ros-Yanez, Tanya; Castro-Cerda, Felipe; Petrov, Roumen H.</t>
  </si>
  <si>
    <t>The Effect of Different Annealing Strategies on the Microstructure Development and Mechanical Response of Austempered Steels</t>
  </si>
  <si>
    <t>This study focuses on the effect of non-conventional annealing strategies on the microstructure and related mechanical properties of austempered steels. Multistep thermo-cycling (TC) and ultrafast heating (UFH) annealing were carried out and compared with the outcome obtained from a conventionally annealed (CA) 0.3C-2Mn-1.5Si steel. After the annealing path, steel samples were fast cooled and isothermally treated at 400 degrees C employing the same parameters. It was found that TC and UFH strategies produce an equivalent level of microstructural refinement. Nevertheless, the obtained microstructure via TC has not led to an improvement in the mechanical properties in comparison with the CA steel. On the other hand, the steel grade produced via a combination of ultrafast heating annealing and austempering exhibits enhanced ductility without decreasing the strength level with respect to TC and CA, giving the best strength-ductility balance among the studied steels. The outstanding mechanical response exhibited by the UFH steel is related to the formation of heterogeneous distribution of ferrite, bainite and retained austenite in proportions 0.09-0.78-0.14. The microstructural formation after UFH is discussed in terms of chemical heterogeneities in the parent austenite.</t>
  </si>
  <si>
    <t>Corallo, Luca/HKW-2240-2023; Petrov, Roumen/A-5066-2008; Castro Cerda, Felipe Manuel/Q-2714-2016</t>
  </si>
  <si>
    <t>Hernandez, Eliseo/0000-0002-3959-1210; Castro Cerda, Felipe Manuel/0000-0001-8126-5593; Petrov, Roumen/0000-0003-0551-9058; Corallo, Luca/0000-0001-7102-1501</t>
  </si>
  <si>
    <t>10.3390/met11071041</t>
  </si>
  <si>
    <t>WOS:000676645900001</t>
  </si>
  <si>
    <t>Mallol, J; Urrutia-Pereira, M; Mallol-Simmonds, MJ; Calderón-Rodríguez, L; Osses-Vergara, F; Matamala-Bezmalinovic, A</t>
  </si>
  <si>
    <t>Mallol, Javier; Urrutia-Pereira, Marilyn; Mallol-Simmonds, Manuel J.; Calderon-Rodriguez, Lucas; Osses-Vergara, Francisco; Matamala-Bezmalinovic, Augusto</t>
  </si>
  <si>
    <t>Prevalence and Determinants of Tobacco Smoking Among Low-Income Urban Adolescents</t>
  </si>
  <si>
    <t>PEDIATRIC ALLERGY IMMUNOLOGY AND PULMONOLOGY</t>
  </si>
  <si>
    <t>Background: Tobacco-smoking in children is one of the most crucial public health concerns, which could be highly prevalent in underprivileged populations. Methods: A cross sectional, random sampling survey was conducted to determine the prevalence of current tobacco-smoking and related risk factors among adolescents living in a low-income area of Santiago de Chile. Results: Of the 2,747 adolescents participating in the study, 24.0% [95% confidence interval (CI) 22.3-25.5] were current smokers, with no significant difference between girls and boys. Factors associated with current smoking were as follows: positive attitude to smoking cigarettes offered by peers [odds ratio (OR) 8.0; 95% CI 5.7-11.3, P &lt; 0.001], having smoking best friends (OR 4.0; 95% CI 2.6-6.0, P &lt; 0.001), and passive smoking in the house (OR 1.9; 95% CI 1.2-3.1, P = 0.008). A total of 16.8% (95% CI 11.4-18.2) of children had smoked an entire cigarette at the age of &lt;= 12, and 62.3% (95% CI, 60.5-64.1) were passive smokers at home. Regarding nonsmoking children, 52.4% (95% CI 49.74-55.06) were exposed to tobacco smoke at home. Conclusion: The prevalence of current tobacco-smoking in adolescents is high and increasing compared to previous studies undertaken in the selected low-resourced area. Two-thirds of children who started smoking before the age of 12 years were current smokers at the time of the survey, highlighting the prevalence of the powerful addiction generated and the need for better preventive strategies against tobacco-smoking for children living in low-resource communities.</t>
  </si>
  <si>
    <t>Mallol, Javier/0000-0003-2528-8672; Urrutia-Pereira, Marilyn/0000-0001-6575-7897; Matamala Bezmalinovic, Augusto Jose/0009-0003-3204-5326; Osses Vergara, Francisco/0000-0002-3839-8646</t>
  </si>
  <si>
    <t>2151-321X</t>
  </si>
  <si>
    <t>2151-3228</t>
  </si>
  <si>
    <t>JUN 1</t>
  </si>
  <si>
    <t>10.1089/ped.2021.0018</t>
  </si>
  <si>
    <t>WOS:000659257600001</t>
  </si>
  <si>
    <t>Algado, SS; Cordoba, AG; Oliver, FC; Galheigo, SM; Garcia-Ruiz, S</t>
  </si>
  <si>
    <t>Simo Algado, Salvador; Guajardo Cordoba, Alejandro; Correa Oliver, Fatima; Maria Galheigo, Sandra; Garcia-Ruiz, Solangel</t>
  </si>
  <si>
    <t>OCCUPATIONAL THERAPIES FROM THE SOUTH Human rights, citizenship and participation A posteriori prologue</t>
  </si>
  <si>
    <t>TERAPIAS OCUPACIONALES DESDE EL SUR, 2 EDITION: Derechos Humanos, Ciudadania y Participacion. Human Rights, Citizenship and Participation</t>
  </si>
  <si>
    <t>Galheigo, Sandra/AAO-8360-2021; SALVADOR, SIMO/JAC-6734-2023; Oliver, Fátima/N-9324-2013</t>
  </si>
  <si>
    <t>978-956-303-416-5</t>
  </si>
  <si>
    <t>WOS:000887018400035</t>
  </si>
  <si>
    <t>García-Hermoso, A; Saavedra, JM; Escalante, Y; Domínguez, AM; Castro-Piñero, J</t>
  </si>
  <si>
    <t>Garcia-Hermoso, Antonio; Saavedra, Jose M.; Escalante, Yolanda; Dominguez, Ana M.; Castro-Pinero, Jose</t>
  </si>
  <si>
    <t>Effects of an exercise program with or without a diet on physical fitness in obese boys: a three-year follow-up</t>
  </si>
  <si>
    <t>PROGRESS IN NUTRITION</t>
  </si>
  <si>
    <t>Childhood obesity is a global epidemic, and understanding the relationship between physical fitness and various forms of intervention in obese children is essential to implementing effective exercise programs. The objective of the present study was to conduct a long-term follow-up (three years) of how an exercise program with or without diet affects the physical fitness components of obese boys. The participants were 18 boys, ages between 8 and 11, divided into two groups according to the program they followed. The exercise group (E group) followed a physical exercise program (three 90-minute sessions per week), and the exercise plus diet group (E+D group) this physical exercise program plus a low calorie diet. Physical fitness was assessed by the European physical fitness test battery including flamingo balance, plate tapping, sit-and-reach, handgrip strength, standing broad jump, sit-ups, bent-arm hang, 10x5-metre shuttle run, and 20-metre endurance shuttle run. Kruskal-Wallis test was applied to reveal overall intergroup differences (E and E+D group), and measurements showing significant differences were further analysed for differences between individual groups by the Mann-Whitney U-test. In both groups, changes were observed in various physical fitness parameters, especially limb speed, agility, aerobic fitness, and muscular strength in absolute and relative terms (which improved in more than one evaluation). Differences between the two programs were observed only in the short term. It was found that long-term longitudinal interventions based on exercise programs with or without diet produce improvements in obese children's physical fitness.</t>
  </si>
  <si>
    <t>García-Hermoso, Antonio/ADU-2591-2022; Saavedra, Jose/C-2490-2011; Castro-Pinero, Jose/H-5857-2015; Garcia-Hermoso, Antonio/P-1857-2017</t>
  </si>
  <si>
    <t>Castro-Pinero, Jose/0000-0002-7353-0382; Garcia-Hermoso, Antonio/0000-0002-1397-7182</t>
  </si>
  <si>
    <t>1129-8723</t>
  </si>
  <si>
    <t>10.23751/pn.v20i1.5836</t>
  </si>
  <si>
    <t>WOS:000428874500012</t>
  </si>
  <si>
    <t>Millán, G; Fuertes, G; Alfaro, M; Carrasco, R; Vargas, M</t>
  </si>
  <si>
    <t>DuranFaundez, C; Lefranc, G; FernandezFernandez, M; Munoz, C; Rubio, E</t>
  </si>
  <si>
    <t>Millan, Ginno; Fuertes, Guillermo; Alfaro, Miguel; Carrasco, Raul; Vargas, Manuel</t>
  </si>
  <si>
    <t>A Simple and Fast Algorithm for Traffic Flow Control in High-Speed Computer Networks</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</si>
  <si>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</si>
  <si>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</si>
  <si>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</si>
  <si>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</si>
  <si>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</si>
  <si>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The development of an algorithm for the control of traffic flows that avoids situations of congestion is a hot topic in the computer networks. This paper presents a mathematical model for a general computer network and then discrete control theory is used as a key tool to design the traffic flow control algorithm that avoids congestion in a high-speed computer network, the proposed algorithm also ensures the stability of the computer network. The results of the simulations show that the proposed algorithm is able to adjust the sending speed and queue level in the buffer rapidly. In addition, the method is easy to implement to a high-speed computer network.</t>
  </si>
  <si>
    <t>Fuertes, Guillermo/Q-2341-2016; Millán, Ginno/AAP-8680-2020; vargas, manuel/AAG-4780-2020; Carrasco, Raul/G-5440-2015</t>
  </si>
  <si>
    <t>Carrasco, Raul/0000-0002-5023-9349</t>
  </si>
  <si>
    <t>978-1-5386-5586-3</t>
  </si>
  <si>
    <t>WOS:000458417600160</t>
  </si>
  <si>
    <t>De Figueiredo, Djairo G.; Gossez, Jean-Pierre; Ubilla, Pedro</t>
  </si>
  <si>
    <t>Nonhomogeneous Dirichlet problems for the p-Laplacian</t>
  </si>
  <si>
    <t>CALCULUS OF VARIATIONS AND PARTIAL DIFFERENTIAL EQUATIONS</t>
  </si>
  <si>
    <t>We study the existence, nonexistence and multiplicity of positive solutions for a family of problems - Delta(p) u = f(lambda)(x, u) in Omega, u = phi on partial derivative Omega, where lambda &gt; 0 is a parameter. The family we consider includes in particular the Pohozaev type equation -Delta(p) u = lambda u(p*-1). The main new feature is the consideration of the p-Laplacian - Delta(p) together with a nonzero boundary condition phi. In order to deal with these nonhomogeneous problems, it has been important to extend to this new context several basic results such as the Brezis-Nirenberg theorem on local minimization in W-1,W-p and C-1, a C-1,C-alpha estimate for a family of equations with critical growth, and a variational approach to the method of upper-lower solutions. These extensions have an independent interest for applications in other situations.</t>
  </si>
  <si>
    <t>0944-2669</t>
  </si>
  <si>
    <t>1432-0835</t>
  </si>
  <si>
    <t>10.1007/s00526-017-1113-0</t>
  </si>
  <si>
    <t>WOS:000401451700001</t>
  </si>
  <si>
    <t>Dubé, S; Thiers, C</t>
  </si>
  <si>
    <t>Dube, Sebastien; Thiers, Consuelo</t>
  </si>
  <si>
    <t>Social Group Dynamics and Patterns of Latin American Integration Processes</t>
  </si>
  <si>
    <t>REVISTA DE ESTUDIOS SOCIALES</t>
  </si>
  <si>
    <t>This article proposes to incorporate social psychology elements with mainstream political science and international relations theories to help understand the contradictions related to the integration processes in Latin America. Through a theoretical analysis, it contributes to the challenge proposed by Dabene (2009) to explain the resilience of the Latin American regional integration process in spite of its instability and crises. Our main proposition calls for considering Latin America as a community and its regional organizations as social groups. In conclusion, three phenomena from the field of social psychology and particularly social group dynamics shed light on these contradictory patterns: the value of the group and the emotional bond, groupthink, and cognitive dissonance.</t>
  </si>
  <si>
    <t>Thiers Huerta, Consuelo/JXW-7238-2024</t>
  </si>
  <si>
    <t>0123-885X</t>
  </si>
  <si>
    <t>10.7440/res60.2017.02</t>
  </si>
  <si>
    <t>WOS:000400125200003</t>
  </si>
  <si>
    <t>Huneeus, A; Fernández, MI; Schilling, A; Parra, P; Zakharova, A</t>
  </si>
  <si>
    <t>Huneeus, Andrea; Fernandez, Mario I.; Schilling, Andrea; Parra, Pauline; Zakharova, Aleksandra</t>
  </si>
  <si>
    <t>Adolescents find it easy to collect their own samples to study sexually transmitted infections</t>
  </si>
  <si>
    <t>REVISTA CHILENA DE INFECTOLOGIA</t>
  </si>
  <si>
    <t>Background: As alternative for patients that fear genital examination, we assessed adolescent's comfort and ease with self-collected samples for nucleic acid amplification testing for sexually transmitted infections. Patients and Methods: Sexually active Chilean adolescents and youth under 25 years (174 males and 117 females) were enrolled. Females used self-collected vaginal swabs and males collected first-stream urine. A satisfaction survey evaluating self-sampling system was applied. Results: Self-collection was considered easy in 99.3% of the interviewees (CI 95% 0.88-0.98). In women, 79.3% preferred vaginal self-collected samples than pelvic exam (CI 95% 0.73-0.85). In men, 80.3% preferred self-collected first-stream urine to urethral swabs (CI 95% 0.73-0.87). Assuming that self-collected sampling were available, 89.6% of women (CI 95% 0.85-0.94) and 93.2% of men (CI 95% 0.89-0.98) would be prone to be tested more often. Ease of self-collected sampling is not associated with age, gender, educational level or poverty. Conclusions: Chile currently does not have sexually transmitted infections surveillance or screening programs for youth and adolescents. Given self-collected sampling's good acceptability, it could be successfully used when these programs are implemented.</t>
  </si>
  <si>
    <t>Schilling Redlich, Andrea/JTT-2344-2023</t>
  </si>
  <si>
    <t>Schilling Redlich, Andrea/0000-0002-8339-779X; Fernandez, Mario I/0000-0001-6424-4977</t>
  </si>
  <si>
    <t>0716-1018</t>
  </si>
  <si>
    <t>0717-6341</t>
  </si>
  <si>
    <t>WOS:000400803900003</t>
  </si>
  <si>
    <t>Cancino, P; Paredes-García, V; Aliaga, C; Aguirre, P; Aravena, D; Spodine, E</t>
  </si>
  <si>
    <t>Cancino, P.; Paredes-Garcia, V.; Aliaga, C.; Aguirre, P.; Aravena, D.; Spodine, E.</t>
  </si>
  <si>
    <t>Influence of the lanthanide(III) ion in {[Cu3Ln2(oda)6(H2O)6]•nH2O}n (LnIII: La, Gd, Yb) catalysts on the heterogeneous oxidation of olefins</t>
  </si>
  <si>
    <t>CATALYSIS SCIENCE &amp; TECHNOLOGY</t>
  </si>
  <si>
    <t>{[Cu(3)Ln(2)(oda)(6)(H2O)(6)]center dot nH(2)O}(n) (Ln(III): La, Gd, Yb; odaH(2): oxydiacetic acid) are reported as reusable heterogeneous catalysts in the oxidation of olefins. An influence of the Ln(III) ion on the catalytic performance of the series is observed, where the Yb-III based framework presents a larger activity. The mentioned heteronuclear species are catalytically more active than the corresponding homonuclear catalyst {[Cu(oda)(2)]center dot 0.5H(2)O}(n). The use of t-butyl hydroperoxide (TBHP) as an oxidant gave conversions between 73-63% for styrene oxidation and between 57-48% for cyclohexene in dichloroethane/water (DCE/H2O). In four cycles, the loss of catalytic activity was less than 10%. Experimental data permit the consideration of the redox active Cu-II centres as the initiators of radical species generated from TBHP, which are responsible for the oxidation process of the studied olefins. Electron paramagnetic resonance (EPR) spectra of the reaction solutions, obtained in the presence of the spin trap PBN (N-tert-butyl-a-phenylnitrone), corroborate radical species formation during the oxidation process. DFT calculations support an electronic influence of the Ln(III) ions on the reactivity of the Cu-II centre, associated with changes in the stabilization of the empty Cu-II 3d(x2-y2) orbital, affecting the reduction of Cu-II with TBHP to Cu-I. Model calculations employing several density functionals support a higher electron affinity in the CuGdMOF system in comparison to CuLaMOF. In this way, electronic structure calculations agree with the interesting observed trend of the influence of the secondary metal centre (Ln(III) ions) on the properties of the active centre (Cu-II).</t>
  </si>
  <si>
    <t>Paredes-Garcia, Veronica/C-4415-2011; Cancino, Patricio/AGE-4774-2022; Aravena, Daniel/F-2174-2011; Aliaga, Carolina/G-6024-2019</t>
  </si>
  <si>
    <t>Aravena, Daniel/0000-0003-3140-4852; Aliaga, Carolina/0000-0002-1352-3164</t>
  </si>
  <si>
    <t>2044-4753</t>
  </si>
  <si>
    <t>2044-4761</t>
  </si>
  <si>
    <t>JAN 1</t>
  </si>
  <si>
    <t>10.1039/c6cy02115h</t>
  </si>
  <si>
    <t>WOS:000392399900021</t>
  </si>
  <si>
    <t>Rodríguez-García, A; Ramírez-López, L; Travieso-Torres, JC</t>
  </si>
  <si>
    <t>Rodriguez-Garcia, A.; Ramirez-Lopez, L.; Travieso-Torres, J. C.</t>
  </si>
  <si>
    <t>New heuristic algorithm for dynamic traffic in WDM optical networks</t>
  </si>
  <si>
    <t>INGENIERIA E INVESTIGACION</t>
  </si>
  <si>
    <t>This paper presents the results from the simulation of Snake One, a new heuristic algorithm, and the comparison made between three heuristic algorithms: Genetic Algorithms, Simulated Annealing, and Tabu Search, using blocking probability and network utilization as standard indicators. The simulation exercise was conducted on WDM NSFNET under dynamic traffic conditions. The results show a substantial decrease of blocking. However, this causes a relative network utilization growth. There are also load intervals which lead to performance improvement, decreasing the number of blocked requests.</t>
  </si>
  <si>
    <t>Rodriguez, Arturo/I-7205-2016; Travieso Torres, Juan carlos/N-6437-2019; Ramirez Lopez, Leonardo Juan/E-8930-2017</t>
  </si>
  <si>
    <t>Rodriguez, Arturo/0000-0002-8383-6561; Travieso Torres, Juan carlos/0000-0002-9246-4827; Ramirez Lopez, Leonardo Juan/0000-0002-6473-5685</t>
  </si>
  <si>
    <t>0120-5609</t>
  </si>
  <si>
    <t>2248-8723</t>
  </si>
  <si>
    <t>10.15446/ing.investig.v35n3.51676</t>
  </si>
  <si>
    <t>WOS:000366830500013</t>
  </si>
  <si>
    <t>Matiacevich, S; Cofré, DC; Schebor, C; Enrione, J</t>
  </si>
  <si>
    <t>Matiacevich, Silvia; Celis Cofre, Daniela; Schebor, Carolina; Enrione, Javier</t>
  </si>
  <si>
    <t>Physicochemical and antimicrobial properties of bovine and salmon gelatin-chitosan films</t>
  </si>
  <si>
    <t>CYTA-JOURNAL OF FOOD</t>
  </si>
  <si>
    <t>The aim was to study thermo-physical and antimicrobial properties of gelatin-chitosan films by gelatin origin (bovine and salmon), chitosan concentration and physical state (glassy or rubbery). Thermo-physical properties (pH, Bloom grade, color, isotherms, glass transition temperature, moisture uptake rate, molecular mobility and film solubility) and antimicrobial effect against Escherichia coli, Salmonella thyphimurium and Listeria monocitogenes were evaluated. The results showed that the presence of chitosan increased the water content of both gelatin films and improved the physical performance of both films, especially for salmon gelatin, without a significant (p&gt;0.05) change of color. Antimicrobial activity was effective against all bacteria depending on chitosan concentration and glassy or rubbery state, with the highest effect in glassy state. In conclusion, the evaluated films could be a potential application as bioactive edible films for fresh foods.</t>
  </si>
  <si>
    <t>Enrione, Javier/I-9225-2014</t>
  </si>
  <si>
    <t>Enrione, Javier/0000-0002-3916-6775</t>
  </si>
  <si>
    <t>1947-6337</t>
  </si>
  <si>
    <t>1947-6345</t>
  </si>
  <si>
    <t>NOV 1</t>
  </si>
  <si>
    <t>10.1080/19476337.2013.773564</t>
  </si>
  <si>
    <t>WOS:000326781900010</t>
  </si>
  <si>
    <t>Antonova, EE; Kirpichev, IP; Ryazantseva, MO; Maryin, BV; Pulinets, MS; Znatkova, SS; Stepanova, MV</t>
  </si>
  <si>
    <t>Antonova, E. E.; Kirpichev, I. P.; Ryazantseva, M. O.; Maryin, B. V.; Pulinets, M. S.; Znatkova, S. S.; Stepanova, M. V.</t>
  </si>
  <si>
    <t>Magnetospheric Substorms and Discrete Arcs of the Polar Aurora</t>
  </si>
  <si>
    <t>MOSCOW UNIVERSITY PHYSICS BULLETIN</t>
  </si>
  <si>
    <t>A brief review of the results of the research in physics of the Earth's magnetosphere leading to a substantial modification of the previously developed approaches is presented. The main emphasis is placed on physics of magnetospheric substorms and the nature of auroral arcs. It is shown that the formation of powerful electron beams that produce multiple arcs can be associated with the penetration of cold electrons of an ionospheric origin into the region of field-aligned acceleration of hot magnetospheric electrons.</t>
  </si>
  <si>
    <t>Riazantseva, Maria/G-9066-2014; Kirpichev, Igor/HHM-2487-2022; Stepanova, Marina/D-6329-2011; Antonova, Elizaveta/A-2716-2012</t>
  </si>
  <si>
    <t>0027-1349</t>
  </si>
  <si>
    <t>1934-8460</t>
  </si>
  <si>
    <t>10.3103/S0027134912060033</t>
  </si>
  <si>
    <t>WOS:000314399700003</t>
  </si>
  <si>
    <t>Celedón, G; González, G; Barrientos, D; Pino, J; Venegas, F; Lissi, EA; Soto, C; Martinez, D; Alvarez, C; Lanio, ME</t>
  </si>
  <si>
    <t>Celedon, Gloria; Gonzalez, Gustavo; Barrientos, Daniela; Pino, Jose; Venegas, Fabiola; Lissi, Eduardo A.; Soto, Carmen; Martinez, Diana; Alvarez, Carlos; Lanio, Maria Eliana</t>
  </si>
  <si>
    <t>Stycholysin II, a cytolysin from the sea anemone Stichodactyla helianthus promotes higher hemolysis in aged red blood cells</t>
  </si>
  <si>
    <t>We have investigated the relationship between the status of red blood cells (RBCs) and their susceptibility to toxin sticholysin II (StII) hemolytic activity; we have evaluated this effect in different RBC ensembles, comprising young and old cells, and in cells partially damaged by their pre-exposition to a free radical source. Upon action of StII, young cell populations are less prone to hemolysis than the whole population, while old cell populations and peroxyl-oxidized red cells are lysed faster than the whole population. Cell K+ content was higher in young cells and lower in both senescent cells and in peroxyl-damaged cells relative to whole cell population. The relevance of cell K+ content in St II-induced lysis was shown when external Na+ was partially replaced by K+; under this condition, RBC lysed faster in the presence of St II but no difference was observed among young cells, whole c ells population and peroxyl-damaged cells; only old cells lysed faster that the whole population, response that can be due to an enhanced St II-induced pore formation as supported by evaluation of St II irreversible binding to RBC. It is concluded that this factor and the amount of intracellular K+ are the dominant parameters that modulate the resistance of RBC to St II-incluced lysis. (c) 2008 Elsevier Ltd. All rights reserved.</t>
  </si>
  <si>
    <t>Pino, Jose/AAF-4359-2021</t>
  </si>
  <si>
    <t>Pino, Jose/0000-0002-1542-0660</t>
  </si>
  <si>
    <t>10.1016/j.toxicon.2008.03.006</t>
  </si>
  <si>
    <t>WOS:000257645200008</t>
  </si>
  <si>
    <t>Alvarez, PD; Gomis, J; Kamimura, K; Plyushchay, MS</t>
  </si>
  <si>
    <t>Alvarez, Pedro D.; Gomis, Joaquim; Kamimura, Kiyoshi; Plyushchay, Mikhail S.</t>
  </si>
  <si>
    <t>Anisotropic harmonic oscillator, non-commutative Landau problem and exotic Newton-Hooke symmetry</t>
  </si>
  <si>
    <t>PHYSICS LETTERS B</t>
  </si>
  <si>
    <t>We investigate the planar anisotropic harmonic oscillator with explicit rotational symmetry as a particle model with non-commutative coordinates. It includes the exotic Newton-Hooke particle and the non-commutative Landau problem as special, isotropic and maximally anisotropic, cases. The system is described by the same (2 + 1)-dimensional exotic Newton-Hooke symmetry as in the isotropic case, and develops three different phases depending on the values of the two central charges. The special cases of the exotic Newton-Hooke particle and non-commutative Landau problem are shown to be characterized by additional, so(3) or so(2, 1) Lie symmetry, which reflects their peculiar spectral properties. (C) 2007 Elsevier B.V. All rights reserved.</t>
  </si>
  <si>
    <t>Gomis, Joaquim/N-7360-2018</t>
  </si>
  <si>
    <t>Gomis Torne, Joaquim/0000-0002-8706-2989; Alvarez, Pedro/0000-0001-8757-1700</t>
  </si>
  <si>
    <t>0370-2693</t>
  </si>
  <si>
    <t>1873-2445</t>
  </si>
  <si>
    <t>10.1016/j.physletb.2007.12.016</t>
  </si>
  <si>
    <t>WOS:000253305900013</t>
  </si>
  <si>
    <t>Swearingen, JW; Frankel, DP; Fuentes, DE; Saavedra, CP; Vásquez, CCV; Chasteen, TG</t>
  </si>
  <si>
    <t>Identification of biogenic dimethyl selenodisulfide in the headspace gases above genetically modified Escherichia coli</t>
  </si>
  <si>
    <t>ANALYTICAL BIOCHEMISTRY</t>
  </si>
  <si>
    <t>Escherichia coli JM109 cells were modified to express the genes encoded in a 3.8-kb chromosomal DNA fragment from a metalloid-resistant thermophile, Geobacillus stearothermophilus V. Manual headspace extraction was used to collect the gases for gas chromatography with fluorine-induced sulfur chemiluminescence analysis while solid-phase microextraction was used for sample collection in gas chromatography/mass spectrometry (GC/MS) analysis. When grown in the presence of selenate or selenite, these bacteria produced both organo-sulfur and organo-selenium in the headspace gases above the cultures. Organo-sulfur Compounds detected were methanethiol, dimethyl sulfide, dimethyl disulfide, and dimethyl trisulfide. Organo-selenium compounds detected were dimethyl selenide and dimethyl diselenide. Two mixed sulfur-selenium compounds, dimethyl selenenyl sulfide and a chromatographically late-eluting Compound, were detected. Dimethyl selenodisulfide, CH3SeSSCH3, and dimethyl bis(thio)selenide, CH3SSeSCH3, were synthesized and analyzed by GC/MS and fluorine-induced chemiluminescence to determine which corresponded to the late-eluting compound that was bacterially produced. CH3SeSSCH3 was positively identified as the compound detected in bacterial headspace above Se-amended cultures. Using GC retention times, the boiling point of CH3SeSSCH3 was estimated to be approximately 192 degrees C. This is the first report of CH3SeSSCH3 produced by bacterial cultures. (c) 2005 Elsevier Inc. All rights reserved.</t>
  </si>
  <si>
    <t>Fuentes, Derie/GLS-8773-2022; Chasteen, Thomas/B-6601-2009</t>
  </si>
  <si>
    <t>Fuentes, Derie/0000-0002-8189-8515</t>
  </si>
  <si>
    <t>0003-2697</t>
  </si>
  <si>
    <t>1096-0309</t>
  </si>
  <si>
    <t>10.1016/j.ab.2005.10.007</t>
  </si>
  <si>
    <t>WOS:000234447800014</t>
  </si>
  <si>
    <t>Villalobos, CA; Bull, P; Sáez, P; Cassels, BK; Huidobro-Toro, JP</t>
  </si>
  <si>
    <t>4-Bromo-2,5-dimethoxyphenethylamine (2C-B) and structurally related phenylethylamines are potent 5-HT2A receptor antagonists in Xenopus laevis oocytes</t>
  </si>
  <si>
    <t>1 We recently described that several 2-(2,5-dimethoxy-4-substituted phenyl) ethylamines (PEAs), including 4-I = 2C-I, 4-Br = 2C-B, and 4-CH3 = 2C-D analogs, are partial agonists at 5-HT2C receptors, and show low or even negligible intrinsic efficacy at 5-HT2A receptors. These results raised the proposal that these drugs may act as 5-HT2 antagonists. 2 To test this hypothesis, Xenopus laevis oocytes were microinjected with the rat clones for 5-HT2A or 5-HT2C receptors. The above-mentioned PEAs and its 4-H analog (2C-H) blocked the 5-HT-induced currents at 5-HT2A, but not at the 5-HT2C receptor, revealing 5-HT2 receptor subtype selectivity. The 5-HT2A receptor antagonism required a 2-min preincubation to attain maximum inhibition. 3 All PEAs tested shifted the 5-HT concentration-response curves to the right and downward. Their potencies varied with the nature of the C(4) substituent; the relative rank order of their 5-HT2A receptor antagonist potency was 2C-I&gt;2C-B&gt;2C-D&gt;2C-H. 4 The present results demonstrate that in X. laevis oocytes, a series of 2,5-dimethoxy-4-substituted PEAs blocked the 5-HT2A but not the 5-HT2C receptor-mediated responses. As an alternative hypothesis, we suggest that the psychostimulant activity of the PEAs may not be exclusively associated with partial or full 5-HT2A receptor agonism.</t>
  </si>
  <si>
    <t>Cassels, Bruce/H-6937-2013</t>
  </si>
  <si>
    <t>VILLALOBOS, CLAUDIO/0000-0002-7943-5888</t>
  </si>
  <si>
    <t>1476-5381</t>
  </si>
  <si>
    <t>10.1038/sj.bjp.0705722</t>
  </si>
  <si>
    <t>WOS:000221055300011</t>
  </si>
  <si>
    <t>Correa, JA; Castilla, JC; Ramírez, M; Varas, M; Lagos, N; Vergara, S; Moenne, A; Román, D; Brown, MT</t>
  </si>
  <si>
    <t>Copper, copper mine tailings and their effect on marine algae in northern Chile</t>
  </si>
  <si>
    <t>JOURNAL OF APPLIED PHYCOLOGY</t>
  </si>
  <si>
    <t>Results are presented of a long-term research programme on the effect of copper contamination on biota in Chilean coastal waters. In spite of the magnitude of the copper mining tailings that affected Caleta Palito and surroundings in northern Chile, the effects on the intertidal assemblages remain restricted to a small geographic area. Even within the affected area, the effects are not homogeneous and there is evidence of active recovery in biological diversity in recent few years. Experimental evidence suggests that the current low algal diversity and abundance is strongly influenced by herbivory, although chronic effects of the discharges cannot be ruled out. Cellular changes in Enteromorpha compressa from the impacted area were characterised by abnormal granules in the cytoplasm, though these granules did not contain detectable levels of copper or other heavy metals.</t>
  </si>
  <si>
    <t>Roman, Domingo/D-7841-2012; Brown, Murray/K-5291-2014</t>
  </si>
  <si>
    <t>Brown, Murray/0000-0003-2655-8611</t>
  </si>
  <si>
    <t>0921-8971</t>
  </si>
  <si>
    <t>1573-5176</t>
  </si>
  <si>
    <t>10.1023/A:1008027610826</t>
  </si>
  <si>
    <t>WOS:000081004600009</t>
  </si>
  <si>
    <t>Moreira-Arce, D; Vergara, PM; Oporto, A; Alaniz, AJ; Hidalgo-Corrotea, C; Zúñiga, AH; Gutiérrez, A; Moreno, S; Araya, D; Ciuti, S</t>
  </si>
  <si>
    <t>Moreira-Arce, Dario; Vergara, Pablo M.; Oporto, Alex; Alaniz, Alberto J.; Hidalgo-Corrotea, Claudia; Zuniga, Alfredo H.; Gutierrez, Alejo; Moreno, Sebastian; Araya, Daniela; Ciuti, Simone</t>
  </si>
  <si>
    <t>Spatial behavior of mesocarnivores living in seasonal ecosystems: A case study in arid landscapes in northern-central Chile</t>
  </si>
  <si>
    <t>GLOBAL ECOLOGY AND CONSERVATION</t>
  </si>
  <si>
    <t>Understanding the habitat selection and movement patterns of carnivores in arid landscapes requires an assessment of the spatiotemporal patterns of ephemeral resource-rich and climatically suitable sites. One example is the South American grey fox ( Lycalopex griseus), a mesocarnivore that inhabits north-central Chile, an arid region under increasing human presence and where coastal fog is an important but variable source of moisture. Here, we hypothesized that space use decisions of foxes are influenced by spatiotemporal variation in plant productivity, human settlements, and microclimate conditions. Home ranges and Resource Selection Functions were fitted to the GPS data of seven foxes tracked year-round and related to ecological landscape and site-level attributes derived from remote sensing. Home ranges increased with incident radiation, elevation, topographic diversity, normalized difference water index (ndwi), and distance to roads, but decreased with proximity to the coastline. Foxes avoided using sites distant from the coast, located at the highest altitudes, and with higher surface temperatures, while being more likely to move to sites with high ndwi. Our results show that South American grey foxes living in arid landscapes adjust their home ranges, and habitat use decisions within home ranges, to topography but also to environmental conditions that vary intra annually. Extreme microclimate conditions can directly shape the habitat use patterns but also indirectly through seasonally modifying plant productivity, while terrain morphology (topography and elevation) acts as a regulator of extreme climate. We also noted that road network influences the behavioral response of foxes and its expansion is expected to exert pressure on the conservation of fox populations.</t>
  </si>
  <si>
    <t>Ciuti, Simone/KHE-4371-2024; Moreira-Arce, Dario/ABG-2898-2021; Alaniz, Alberto/MTC-1450-2025; Vergara, Pablo/F-2519-2010</t>
  </si>
  <si>
    <t>Vergara, Pablo/0000-0002-0024-1678</t>
  </si>
  <si>
    <t>2351-9894</t>
  </si>
  <si>
    <t>e03400</t>
  </si>
  <si>
    <t>10.1016/j.gecco.2025.e03400</t>
  </si>
  <si>
    <t>WOS:001398520600001</t>
  </si>
  <si>
    <t>Gavilanes, D; Cataño, FA; Quiles-Carrillo, L; Balart, R; Saavedra, M; Carbonnel, A; Murillo, HA; Loyo, C; Zapata, PA</t>
  </si>
  <si>
    <t>Gavilanes, Dayana; Catano, Francisco A.; Quiles-Carrillo, Luis; Balart, Rafael; Saavedra, Marcela; Carbonnel, Alexandre; Murillo, Herman A.; Loyo, Carlos; Zapata, Paula A.</t>
  </si>
  <si>
    <t>Incorporation of TiO2 and TiO2-Ag Nanoparticles in Recycled High-Density Polyethylene: Effect of the Type of Photocatalyst and Incorporation Method on Photocatalytic Activity for the Decomposition of NO</t>
  </si>
  <si>
    <t>JOURNAL OF POLYMERS AND THE ENVIRONMENT</t>
  </si>
  <si>
    <t>This work reported two types of photocatalysts in polymeric sheets derived from recycled high-density polyethylene (HDPEr): anatase TiO2 and Ag-decorated anatase TiO2 (TiO2-Ag). The Ag nanoparticles were deposited on the TiO2 nanoparticles via chemical reduction using formaldehyde as the reducing agent, although XPS analysis indicated that anatase was also reduced during Ag deposition. The sheets were prepared using two methods: extrusion and a plasma immersion process. In the first one, nanoparticles were introduced during extrusion, resulting in photocatalyst/HDPEr composites. On the other hand, the plasma method involved depositing photocatalyst nanoparticles into the polymer sheet surface through a two-step process of air plasma treatment followed by immersion in an aqueous photocatalyst suspension. The composites obtained through extrusion exhibited a higher Young's modulus compared to neat HDPEr, attributed to the reinforcing effect of the nanoparticles, which was more significant with the incorporation of TiO2 nanoparticles. Photocatalytic activity assessment revealed that sheets obtained by extrusion showed poor performance, whereas photocatalyst deposition on sheets significantly enhanced NOx photodegradation. Notably, TiO2-Ag nanoparticles exhibited superior photocatalytic activity, with the polymeric sheet containing TiO2-Ag nanoparticles on the surface achieving the highest activity (similar to 23.67% NOx photodegradation). The detailed methodology and robust experimental data provided offer valuable insights into optimizing nanoparticle incorporation techniques to enhance the functional properties of recycled polymeric materials for environmental applications. Overall, although the plasma treatment did not affect the mechanical properties of the sheets significantly, it allows an outstanding advance in NOX abatement. Especially for the TiO2-Ag-modified sheets. Based on this background, this research addresses a double environmental approach by developing self-cleaning building panels from HDPEr.</t>
  </si>
  <si>
    <t>Loyo, Carlos/AAZ-6777-2021; Carrillo, Luis/ABH-9217-2020</t>
  </si>
  <si>
    <t>Carbonnel, Alexandre/0000-0001-7593-6637; Catano, Francisco/0009-0008-8736-4267</t>
  </si>
  <si>
    <t>1566-2543</t>
  </si>
  <si>
    <t>1572-8919</t>
  </si>
  <si>
    <t>10.1007/s10924-024-03363-w</t>
  </si>
  <si>
    <t>WOS:001280826200004</t>
  </si>
  <si>
    <t>Ojeda, AH; Jofré-Saldía, E; Torres-Banduc, M; Maliqueo, SG; Barahona-Fuentes, G; Acevedo, CC; Romero, GL; Garduño, RD; Vera, GR; Paredes, PV; Avalos, BB; Serey, TM; Yeomans-Cabrera, MM; Jorquera-Aguilera, C</t>
  </si>
  <si>
    <t>Ojeda, Alvaro Huerta; Jofre-Saldia, Emilio; Torres-Banduc, Maximiliano; Maliqueo, Sergio Galdames; Barahona-Fuentes, Guillermo; Acevedo, Carlos Cofre; Romero, Gabriela Lizana; Garduno, Regina de Villa; Vera, Gerardo Riquelme; Paredes, Pablo Vera; Avalos, Benjamin Barrios; Serey, Tatiane Morales; Yeomans-Cabrera, Maria-Mercedes; Jorquera-Aguilera, Carlos</t>
  </si>
  <si>
    <t>Effects of a Low Dose of Orally Administered Creatine Monohydrate on Post-Fatigue Muscle Power in Young Soccer Players</t>
  </si>
  <si>
    <t>NUTRIENTS</t>
  </si>
  <si>
    <t>The use of creatine monohydrate (Cr) in professional soccer is widely documented. However, the effect of low doses of Cr on the physical performance of young soccer players is unknown. This study determined the effect of a low dose of orally administered Cr on muscle power after acute intra-session fatigue in young soccer players. Twenty-eight young soccer players (mean age = 17.1 +/- 0.9 years) were randomly assigned to either a Cr (n = 14, 0.3 g.kg(-1).day(-1) for 14 days) or placebo group (n = 14), using a two-group matched, double-blind, placebo-controlled design. Before and after supplementation, participants performed 21 repetitions of 30 m (fatigue induction), and then, to measure muscle power, they performed four repetitions in half back squat (HBS) at 65% of 1RM. Statistical analysis included a two-factor ANOVA (p &lt; 0.05). Bar velocity at HBS, time: p = 0.0006, eta(2)(p) = 0.22; group: p = 0.0431, eta(2)(p) = 0.12, time x group p = 0.0744, eta(2)(p) = 0.02. Power at HBS, time: p = 0.0006, eta(2)(p) = 0.12; group: p = 0.16, eta(2)(p) = 0.06, time x group: p = 0.17, eta(2)(p) = 0.009. At the end of the study, it was found that, after the induction of acute intra-session fatigue, a low dose of Cr administered orally increases muscle power in young soccer players.</t>
  </si>
  <si>
    <t>Barahona-Fuentes, Guillermo/ADS-1163-2022; Huerta Ojeda, Alvaro/AAE-7104-2021; Yeomans-Cabera, Maria-Mercedes/AAT-2280-2021</t>
  </si>
  <si>
    <t>Jorquera, Carlos/0000-0003-4091-1709; Torres, Maximiliano/0000-0002-0047-3399; Huerta Ojeda, Alvaro/0000-0001-6871-098X; Yeomans-Cabera, Maria-Mercedes/0000-0003-2138-3007; Barahona-Fuentes, Guillermo Daniel Felipe/0000-0003-4913-9321; Galdames Maliqueo, Sergio/0000-0002-0261-5741</t>
  </si>
  <si>
    <t>2072-6643</t>
  </si>
  <si>
    <t>10.3390/nu16091324</t>
  </si>
  <si>
    <t>WOS:001220016700001</t>
  </si>
  <si>
    <t>Rojo-González, L; Dunstan, J; Cuadrado, C; Avalos, D; Moraga-Correa, J; Troncoso, N; Vásquez, OC</t>
  </si>
  <si>
    <t>Rojo-Gonzalez, Luis; Dunstan, Jocelyn; Cuadrado, Cristobal; Avalos, Denisse; Moraga-Correa, Javier; Troncoso, Nelson; Vasquez, oscar C.</t>
  </si>
  <si>
    <t>The problem of estimation and forecasting of obesity prevalence using sparsely collected data</t>
  </si>
  <si>
    <t>ENGINEERING APPLICATIONS OF ARTIFICIAL INTELLIGENCE</t>
  </si>
  <si>
    <t>The problem of estimation and forecasting of population nutritional status has been addressed in the literature, showing successful results when the data are available and frequently collected over time. However, most low and middle -income countries collect nutritional status data sparsely, and consequently, the uncertainty/absence of information may negatively affect decisions from policymakers. In this context, the problem of estimation and forecasting of obesity prevalence using sparsely collected cross-sectional data is formally stated and a novel sequential approach to address it is proposed. Specifically, this work describes the nutritional status dynamics using a system of nonlinear difference equations, where the set of transition probabilities are unknown parameters due to the sparsely collected cross-sectional data. Then, an artificial neural network alike model is proposed through its equivalent nonlinear programming model, considering the difference equations system as constraints as well as bounds for the transition probabilities based on literature data. In addition, comprehensive data collection and information analysis processes to compute demographic parameters are defined. As the model is non -convex, an optimal solution is characterized and coined as stable; and thereafter assessed in terms of its goodness -of -fit. Computational experiments and a resolution scheme using a rollinghorizon forecasting/back-casting approach and divergence metrics is proposed. To illustrate the usefulness of this novel approach, Chile is used as a case study. Results show an accuracy up to 90%, forecasting the men and women obese population (BMI &gt;= 30.0 kg/m2) for 2024, reaching 30.6% (95% CI: 28.4-32.8%) and 32.6% (95% CI: 29.1-36.0%), respectively.</t>
  </si>
  <si>
    <t>Cuadrado, Cristobal/Q-3705-2019; Dunstan, Jocelyn/L-4000-2018</t>
  </si>
  <si>
    <t>0952-1976</t>
  </si>
  <si>
    <t>1873-6769</t>
  </si>
  <si>
    <t>10.1016/j.engappai.2024.107860</t>
  </si>
  <si>
    <t>JAN 2024</t>
  </si>
  <si>
    <t>WOS:001165139400001</t>
  </si>
  <si>
    <t>Sitthiworachart, J; Joy, M; Ponce, HR</t>
  </si>
  <si>
    <t>Sitthiworachart, Jirarat; Joy, Mike; Ponce, Hector R.</t>
  </si>
  <si>
    <t>Interactive Learning with Student Response System to Encourage Students to Provide Peer Feedback</t>
  </si>
  <si>
    <t>EDUCATION SCIENCES</t>
  </si>
  <si>
    <t>This study analyzed anonymous peer feedback among two groups of university students-a lower-performing class and a higher-performing class. Students used an audience response system to anonymously comment on each other's work. Each peer feedback or comment was categorized into one of seven types: Praise+, Praise-, Criticism+, Criticism-, Combined Praise and Criticism, Opinion, and Irrelevant. The plus (+) and minus (-) signs were used to categorize the quality of the feedback. The learning performance of the two groups of students was also analyzed. The main result showed that the lower-performing class (based on the average midterm scores) provided more substantial Criticism+ and Opinion-type comments than the higher-performing students. Contrary to expectation, no significant difference was found between the two classes on the final exam, suggesting that anonymity allowed lower-performing students to express themselves more effectively than higher-performing students, leading them to improve their learning outcomes.</t>
  </si>
  <si>
    <t>Ponce, Hector/H-9545-2019; Sitthiworachart, Jirarat/ABE-0850-2022; Joy, Mike/D-2164-2011</t>
  </si>
  <si>
    <t>Sitthiworachart, Jirarat/0000-0002-5750-6702; Ponce, Hector R./0000-0002-7984-3945</t>
  </si>
  <si>
    <t>2227-7102</t>
  </si>
  <si>
    <t>10.3390/educsci13030310</t>
  </si>
  <si>
    <t>WOS:000956540400001</t>
  </si>
  <si>
    <t>Zalaquett, E; Gunabushanam, G; Vallejos, A; Dahiya, N</t>
  </si>
  <si>
    <t>Zalaquett, Eugenio; Gunabushanam, Gowthaman; Vallejos, Antonio; Dahiya, Nirvikar</t>
  </si>
  <si>
    <t>Ultrasound Evaluation of Chronic Venous Insufficiency</t>
  </si>
  <si>
    <t>ULTRASOUND QUARTERLY</t>
  </si>
  <si>
    <t>Chronic venous insufficiency is a common condition caused by valvular incompetence and/or obstruction of the lower extremity venous system. Chronic venous insufficiency presents in a wide range of clinical presentations, ranging from mild pain or edema to the development of varicose veins and nonhealing venous ulcers. Doppler ultrasound is the preferred imaging modality in the assessment of this condition and provides both anatomical and functional information in a noninvasive, cost-effective, and radiation-free manner. Knowledge of the anatomy and nomenclature, pathophysiology, equipment requisites, scanning protocols, relevant findings, and reporting nuances is essential to the creation of an accurate and clinically actionable report. Evaluation of the superficial and deep venous system for degree and extent of reflux is necessary to establish the diagnosis and to institute appropriate treatment.</t>
  </si>
  <si>
    <t>0894-8771</t>
  </si>
  <si>
    <t>1536-0253</t>
  </si>
  <si>
    <t>10.1097/RUQ.0000000000000634</t>
  </si>
  <si>
    <t>WOS:000943240300002</t>
  </si>
  <si>
    <t>Parada, SP; Salas, CB; Burbi, S</t>
  </si>
  <si>
    <t>Peredo Parada, Santiago; Barrera Salas, Claudia; Burbi, Sara</t>
  </si>
  <si>
    <t>Responding to the Popular Demand: Itinerary for the Socio-Political Learning of Situated Agroecologies in Chile</t>
  </si>
  <si>
    <t>Agroecology has proven to be successful in responding to the demands and needs of a collective due to the relevance of its approach and proposals, which are built collaboratively between all the actors under a specific context that focuses on the actions developed. This is facilitated when spaces of horizontal interaction are generated through dialogues between different perspectives and experiences. In this perspective, agroecological training in higher education, i.e., university level, requires structural changes that go beyond the incorporation of technical content. Based on a critical documentary analysis of the records generated in the implementation of teaching innovation projects, the learning itinerary in agroecology is presented, consisting of four certifications based on transformational learning and supported by active methodologies. The potentialities, including marketing potential, of the proposed learning itinerary relate to curricular design, the articulation of the itinerary, the suitability of the learning methodologies used, the performance of the teachers, and the participation of the students. It is concluded that the implementation of flexible itineraries allows for addressing the transformation processes necessary for an agroecological transition in which we see a convergence of students' skills, the learning objectives, and the requirements of the various actors with which they interact.</t>
  </si>
  <si>
    <t>Burbi, Sara/AFM-2906-2022</t>
  </si>
  <si>
    <t>Burbi, Sara/0000-0002-9035-7374</t>
  </si>
  <si>
    <t>10.3390/su14137969</t>
  </si>
  <si>
    <t>WOS:000825630700001</t>
  </si>
  <si>
    <t>Reinoso-Guerra, E; Aristizabal, J; Arce, B; Zurob, E; Dennett, G; Fuentes, R; Suescún, AV; Cárdenas, L; da Cunha, THR; Cabezas, R; García-Herrera, C; Parra, C</t>
  </si>
  <si>
    <t>Reinoso-Guerra, Elias; Aristizabal, Juliet; Arce, Barbara; Zurob, Elsie; Dennett, Geraldine; Fuentes, Romina; Victoria Suescun, Ana; Cardenas, Leyla; Rodrigues da Cunha, Thiago Henrique; Cabezas, Rene; Garcia-Herrera, Claudio; Parra, Carolina</t>
  </si>
  <si>
    <t>Nanostructured Didymosphenia geminata-based membrane for efficient lead adsorption from aqueous solution</t>
  </si>
  <si>
    <t>JOURNAL OF ENVIRONMENTAL CHEMICAL ENGINEERING</t>
  </si>
  <si>
    <t>The need for new technologies more efficient and less expensive to remove heavy metals from aqueous environments has lead to the development of novel biosorption-based membranes, where the adsorbent agent has a biological origin. In this work we propose the use of the biopolymer from a highly invasive microalgae, Didymosphenia geminata or Didymo, as lead adsorbent in a nanostructured membrane designed to facilitate heavy metal removal applications. Nanofibrilated cellulose was used as a membrane matrix, due to its non-toxic nature and good reinforcement abilities. In addition multi-walled carbon nanotubes (CNTs) were introduced into the membrane to improve structural and antifouling performance, which are critical aspects for membrane applications. The kinetics and nature of the adsorption process of the membrane were evaluated, confirming a high lead adsorption capacity (129 mg g(-1)), when compared to other biopolymers from micro and macroalgae. According to our measurements, this adsorption is connected to the presence of sulphur-based functional groups in the Didymo biopolymer. When CNTs are added to the membrane its adsorption capacity increases, probably due to an increment of the membrane porosity and molecular diffusion. Antifouling and mechanical properties of the Didymo-based membranes were also explored. Phylogenetic studies confirmed the presence of only one genetic lineage of D. geminata found in all locations affected by this plague in Chile. The availability of biopolymer in the region with reproducible lead adsorption results increases the potential applicability of this biomaterial by adding value to a species well-known for having negative impacts on ecosystems and human activities.</t>
  </si>
  <si>
    <t>Cabezas, Rene/HAR-6189-2022; García-Herrera, Claudio/ABE-8991-2020; Cardenas, Leyla/AAY-5671-2020; Parra, Carolina/K-1140-2018</t>
  </si>
  <si>
    <t>Arce, Barbara/0000-0001-6828-5282; Parra, Carolina/0000-0003-3819-7614; Cardenas, Leyla/0000-0003-0676-6704; Cabezas, Rene/0000-0002-4162-3429; Reinoso-Guerra, Elias/0000-0002-8703-4363; Zurob, Elsie/0000-0002-5396-5960; Aristizabal Gomez, Juliet Andrea/0009-0003-8293-2812</t>
  </si>
  <si>
    <t>2213-2929</t>
  </si>
  <si>
    <t>2213-3437</t>
  </si>
  <si>
    <t>10.1016/j.jece.2021.105269</t>
  </si>
  <si>
    <t>MAR 2021</t>
  </si>
  <si>
    <t>WOS:000670383900001</t>
  </si>
  <si>
    <t>Díaz, F; Rivera, M; Chávez, H; Wheeler, P</t>
  </si>
  <si>
    <t>Diaz, Fabian; Rivera, Marco; Chavez, Hector; Wheeler, Patrick</t>
  </si>
  <si>
    <t>Present and Future of the Chilean Electrical Grid</t>
  </si>
  <si>
    <t>2020 IEEE INTERNATIONAL CONFERENCE ON INDUSTRIAL TECHNOLOGY (ICIT)</t>
  </si>
  <si>
    <t>IEEE International Conference on Industrial Technology</t>
  </si>
  <si>
    <t>IEEE International Conference on Industrial Technology (ICIT)</t>
  </si>
  <si>
    <t>FEB 26-28, 2020</t>
  </si>
  <si>
    <t>Buenos Aires, ARGENTINA</t>
  </si>
  <si>
    <t>The technological development of Chile has lead to a major energy demand. This paper presents a description of the current reality of the Chilean electricity sector and its future. The vision and its advancements in Chile are matter of observation to develop a clearer picture for maintaining and increasing the penetration of renewables towards global decarbonification and climate change mitigation.</t>
  </si>
  <si>
    <t>Diaz, Fabian/KCL-5823-2024; Rivera, Marco/E-9124-2012</t>
  </si>
  <si>
    <t>Diaz Garzon, Fabian/0000-0002-3324-4576</t>
  </si>
  <si>
    <t>2643-2978</t>
  </si>
  <si>
    <t>978-1-7281-5754-2</t>
  </si>
  <si>
    <t>10.1109/ICIT45562.2020.9067249</t>
  </si>
  <si>
    <t>WOS:000560681600096</t>
  </si>
  <si>
    <t>Parada-Bustamante, A; Molina, C; Valencia, C; Flórez, M; Lardone, MC; Argandoña, F; Piottante, A; Ebensperguer, M; Orihuela, PA; Castro, A</t>
  </si>
  <si>
    <t>Parada-Bustamante, A.; Molina, C.; Valencia, C.; Florez, M.; Lardone, M. C.; Argandona, F.; Piottante, A.; Ebensperguer, M.; Orihuela, P. A.; Castro, A.</t>
  </si>
  <si>
    <t>Disturbed testicular expression of the estrogen-metabolizing enzymes CYP1A1 and COMT in infertile men with primary spermatogenic failure: possible negative implications on Sertoli cells</t>
  </si>
  <si>
    <t>ANDROLOGY</t>
  </si>
  <si>
    <t>Estradiol (E-2) is normally metabolized to hydroxyestradiols and methoxyestradiols by CYP1A1, CYP1B1 and COMT. However, an altered production of these metabolites by a disturbed expression of these enzymes is associated with reproductive and non-reproductive pathologies. In vitro studies suggest that increased hydroxyestradiols and methoxyestradiols intratesticular generation is related to male infertility, but no studies have explored whether infertile men have a disturbed testicular expression of the enzymes that generate these E-2 metabolites. The aim of this study was to assess CYP1A1, CYP1B1 and COMT testicular expression at mRNA and protein level in men with spermatogenic impairment. Seventeen men with primary spermatogenic failure (13 with Sertoli cell-only syndrome and four with maturation arrest) and nine controls with normal spermatogenesis were subjected to testicular biopsy. mRNA was quantified using real-time RT-PCR and protein expression was evaluated using western blot and immunohistochemistry followed by integrated optic density analysis. Besides, the effects of hydroxyestradiols and methoxyestradiols on testosterone-induced transcriptional activity were evaluated in TM4 cells using a luciferase reporter assay system. Our results show that patients with Sertoli cell-only syndrome had significantly elevated COMT expression at the mRNA level, higher COMT immunoreactivity in their seminiferous tubules and increased protein expression of the soluble COMT isoform (S-COMT), whereas patients with maturation arrest had significantly elevated CYP1A1 mRNA levels and higher CYP1A1 immunoreactivity in interstitial space. Finally, 2-hydroxyestradiol decreased testosterone-induced transcriptional activity in Sertoli cells invitro. In conclusion, male infertility is related to disturbed testicular expression of the enzymes responsible for producing hydroxyestradiols and/or methoxyestradiols. If these changes are related with increased intratesticular hydroxyestradiols and methoxyestradiols concentrations, they could elicit an impaired Sertoli cell function. Our results suggest CYP1A1 and COMT as new potential targets in treating male infertility.</t>
  </si>
  <si>
    <t>Valencia, Cecilia/KDO-7792-2024; Parada-Bustamante, Alexis/I-1127-2013</t>
  </si>
  <si>
    <t>Lardone, Maria Cecilia/0000-0001-7139-2775; CASTRO, ANDREA/0000-0002-0042-0553; Valencia Robles, Cecilia/0009-0007-7190-3927</t>
  </si>
  <si>
    <t>2047-2919</t>
  </si>
  <si>
    <t>2047-2927</t>
  </si>
  <si>
    <t>10.1111/andr.12346</t>
  </si>
  <si>
    <t>WOS:000399642700015</t>
  </si>
  <si>
    <t>Urrutia-Pereira, M; Oliano, VJ; Aranda, CS; Mallol, J; Solé, D</t>
  </si>
  <si>
    <t>Urrutia-Pereira, Marilyn; Oliano, Vinicius J.; Aranda, Carolina S.; Mallol, Javier; Sole, Dirceu</t>
  </si>
  <si>
    <t>Prevalence and factors associated with smoking among adolescents</t>
  </si>
  <si>
    <t>JORNAL DE PEDIATRIA</t>
  </si>
  <si>
    <t>Objective: Despite anti-smoking prevention programs, many adolescents start smoking at school age. The main objectives of this study were to determine the prevalence and risk factors associated with smoking in adolescents living in Uruguaiana, RS, Brazil. Methods: A prospective study was conducted in adolescents (12-19 years), enrolled in municipal schools, who answered a self-administered questionnaire on smoking. Results: 798 adolescents were enrolled in the study, with equal distribution between genders. The tobacco experimentation frequency (ever tried a cigarette, even one or two puffs) was 29.3%; 14.5% started smoking before 12 years of age and 13.0% reported smoking at least one cigarette/day last month. Having a smoking friend (OR: 5.67, 95% CI: 2.06-7.09), having cigarettes offered by friends (OR: 4.21, 95% CI: 2.46-5.76) and having easy access to cigarettes (OR: 3.82, 95% CI: 1.22-5.41) was identified as factors associated with smoking. Having parental guidance on smoking (OR: 0.67, 95% CI: 0.45-0.77), having no contact with cigarettes at home in the last week (OR: 0.51, 95% CI: 0.11-0.79) and knowing about the dangers of electronic cigarettes (OR: 0.88, 95% CI: 0.21-0.92) were identified as protection factors. Conclusion: The prevalence of smoking among adolescents in Uruguaiana is high. The implementation of measures to reduce/stop tobacco use and its new forms of consumption, such as electronic cigarettes and hookah, are urgent and imperative in schools. (C) 2016 Sociedade Brasileira de Pediatria. Published by Elsevier Editora Ltda.</t>
  </si>
  <si>
    <t>Solé, Dirceu/JAO-0340-2023</t>
  </si>
  <si>
    <t>Urrutia-Pereira, Marilyn/0000-0001-6575-7897; Mallol, Javier/0000-0003-2528-8672</t>
  </si>
  <si>
    <t>0021-7557</t>
  </si>
  <si>
    <t>1678-4782</t>
  </si>
  <si>
    <t>MAY-JUN</t>
  </si>
  <si>
    <t>10.1016/j.jped.2016.07.003</t>
  </si>
  <si>
    <t>WOS:000402692700005</t>
  </si>
  <si>
    <t>Morales-Camilo, N; Salas, CO; Sanhueza, C; Espinosa-Bustos, C; Sepulveda-Boza, S; Reyes-Parada, M; Gonzalez-Nilo, F; Caroli-Rezende, M; Fierro, A</t>
  </si>
  <si>
    <t>Morales-Camilo, Nicole; Salas, Cristian O.; Sanhueza, Claudia; Espinosa-Bustos, Christian; Sepulveda-Boza, Silvia; Reyes-Parada, Miguel; Gonzalez-Nilo, Fernando; Caroli-Rezende, Marcos; Fierro, Angelica</t>
  </si>
  <si>
    <t>Synthesis, Biological Evaluation, and Molecular Simulation of Chalcones and Aurones as Selective MAO-B Inhibitors</t>
  </si>
  <si>
    <t>CHEMICAL BIOLOGY &amp; DRUG DESIGN</t>
  </si>
  <si>
    <t>A series of chalcones and aurones were synthesized and evaluated in vitro as monoamine oxidase inhibitors (MAOi). Our results show that aurones, which had not been previously reported as MAOi, are MAO-B inhibitors. Thus, both families inhibited selectively the B isoform of MAO in the micromolar range, offering novel scaffolds for the design of new and potent MAO inhibitors. The main structural requirements for their activity were characterized with the aid of 3D-QSAR and docking studies.</t>
  </si>
  <si>
    <t>Morales, Nicole/LDF-5348-2024; Salas, Cristian/IZE-2326-2023; Espinosa-Bustos, Christian/E-8127-2012; Fierro, Angelica/AAJ-2533-2020; Gonzalez Nilo, Fernando Danilo/M-5671-2016</t>
  </si>
  <si>
    <t>Espinosa-Bustos, Christian/0000-0001-6038-8439; Gonzalez Nilo, Fernando Danilo/0000-0001-6857-3575; Rezende, Marcos/0000-0003-2040-9009; Salas, Cristian/0000-0001-7620-2459; Morales Camilo, Nicole/0009-0003-3610-1460; Fierro Huerta, Angelica/0000-0002-6507-4188</t>
  </si>
  <si>
    <t>1747-0277</t>
  </si>
  <si>
    <t>1747-0285</t>
  </si>
  <si>
    <t>10.1111/cbdd.12458</t>
  </si>
  <si>
    <t>WOS:000354534300003</t>
  </si>
  <si>
    <t>Samith, VD; Mino, G; Ramos-Moore, E; Arancibia-Miranda, N</t>
  </si>
  <si>
    <t>Samith, Vicente D.; Mino, German; Ramos-Moore, E.; Arancibia-Miranda, Nicolas</t>
  </si>
  <si>
    <t>Effects of pluronic F68 micellization on the viability of neuronal cells in culture</t>
  </si>
  <si>
    <t>JOURNAL OF APPLIED POLYMER SCIENCE</t>
  </si>
  <si>
    <t>Triblock copolymers with surface-active properties, referred to as Pluronic, have shown potential medical applications such as drug delivery to selective targets in the human body. In particular, the transport of anti-inflammatory substances to the brain is required for illness treatment, thus the study of delivery agents that cross the blood-brain barrier is relevant. In this article we study the effects of the micelle formation on the morphologic and cytotoxic properties of Pluronic F68. We determinate the critical micellar concentration (CMC) by standard tensiometric and absorbance measurements, and also we analyze the morphology of polymers by atomic force microscopy. Our observations indicate that the morphological properties of F68 are drastically modified in the CMC range, as well as the ability to increase the viability of neuroblastoma cells maintained under culture conditions, as compared with nontreated cells. Our conclusions highlight the close correlation between morphological and physiochemical properties of Pluronic, which must be further understood in order to achieve highly controlled pharmacological uses. (c) 2013 Wiley Periodicals, Inc. J. Appl. Polym. Sci. 130: 2159-2164, 2013</t>
  </si>
  <si>
    <t>Arancibia-Miranda, Nicolás/I-6743-2013; Ramos-Moore, Esteban/A-7521-2012</t>
  </si>
  <si>
    <t>Ramos-Moore, Esteban/0000-0001-5521-5162</t>
  </si>
  <si>
    <t>0021-8995</t>
  </si>
  <si>
    <t>NOV 5</t>
  </si>
  <si>
    <t>10.1002/app.39426</t>
  </si>
  <si>
    <t>WOS:000322871700086</t>
  </si>
  <si>
    <t>Scherer, MA; Melo, F; Marder, M</t>
  </si>
  <si>
    <t>Sand ripples in an oscillating annular sand-water cell</t>
  </si>
  <si>
    <t>PHYSICS OF FLUIDS</t>
  </si>
  <si>
    <t>Sand ripples, familiar from ocean doors, are studied by oscillating an annular sand-water cell. Empirical rules for the onset and disappearance of ripples are uncovered and compared with simple dimensional arguments, and with prior experimental and theoretical work. In addition the dynamical behavior of sand ripples are investigated, and the existence of a secondary instability where small and large wavelengths coexist in space is shown. Finally, by visualizing the fluid flow above the sand ripples the paper describes vortices which are an integral part of the ripple formation and show that there is a strong coupling between two different types of vortices and the sand ripple pattern itself. (C) 1999 American Institute of Physics. [S1070-6631(99)00601-7].</t>
  </si>
  <si>
    <t>Melo, Francisco/M-3923-2014</t>
  </si>
  <si>
    <t>Melo, Francisco Esteban/0000-0001-6818-5476</t>
  </si>
  <si>
    <t>1070-6631</t>
  </si>
  <si>
    <t>10.1063/1.869902</t>
  </si>
  <si>
    <t>WOS:000077544700009</t>
  </si>
  <si>
    <t>URRUTIBEASKOA, I; JAUREGI, S; FERNANDEZ, F; TALACCHIA, S; PALMA, R; MARTINEZ, V; URCOLA, J</t>
  </si>
  <si>
    <t>IMPROVED SINTERING RESPONSE OF VANADIUM-RICH HIGH-SPEED STEELS</t>
  </si>
  <si>
    <t>INTERNATIONAL JOURNAL OF POWDER METALLURGY</t>
  </si>
  <si>
    <t>Sintering characteristics in vacuo and in an atmosphere of 90 v/o N2/9 v/o H-2/1 v/o CH4 of T15, T42 and Px30 water-atomised powders are reported together with the resulting microstructures, heat treatment response, hardness and toughness. As a consequence of the formation of fine MX carbonitrides, in place of coarser MC carbides in vacuo, atmosphere sintering results in full densification at lower temperatures (15-50-degrees-C) with a wider sintering gate (30-50-degrees-C). The as-sintered microstructures are also characterised by larger amounts of retained austenite (30-80 v/o) and a finer austenite grain size, which is not prone to excessive coarsening on oversintering, as in vacuum sintered high speed steels. Peak hardness (&gt; 1000 HV for T42) is reached at higher tempering temperatures (20-25-degrees-C) in the gas sintered steels. Choice of the tempering treatment makes it possible to achieve various combinations of hardness and toughness (up to 35 MPa m1/2), though always in the opposite sense. Lower gas sintering temperatures than in vacuo offer processing cost savings which are supplemented by improvements in microstructure and mechanical properties, after appropriate heat treatments; thus the prospect exists for a significant competitive advantage for the manufacturers of tools and wear resistant parts.</t>
  </si>
  <si>
    <t>Palma, Rodrigo/I-2741-2013</t>
  </si>
  <si>
    <t>Urrutibeaskoa, Idoia/0000-0003-4697-2457</t>
  </si>
  <si>
    <t>0888-7462</t>
  </si>
  <si>
    <t>WOS:A1993ME84600008</t>
  </si>
  <si>
    <t>FIRDOUS, S; FREYER, AJ; SHAMMA, M; ATRAURRAHMAN; URZUA, A</t>
  </si>
  <si>
    <t>BRIDGED PROTOBERBERINE ALKALOIDS</t>
  </si>
  <si>
    <t>JOURNAL OF THE CHEMICAL SOCIETY-CHEMICAL COMMUNICATIONS</t>
  </si>
  <si>
    <t>Urzua, Alejandro/0000-0003-2638-0921; Rahman, Atta-ur/0000-0003-0709-6116</t>
  </si>
  <si>
    <t>0022-4936</t>
  </si>
  <si>
    <t>10.1039/c39840001371</t>
  </si>
  <si>
    <t>WOS:A1984TP09800033</t>
  </si>
  <si>
    <t>Barbato, MT; Fernández, AM; Rodriguez-Sickert, C; Muñoz, JA; Polo, P; Buss, D</t>
  </si>
  <si>
    <t>Barbato, Maria Teresa; Fernandez, Ana Maria; Rodriguez-Sickert, Carlos; Munoz, Jose Antonio; Polo, Pablo; Buss, David</t>
  </si>
  <si>
    <t>Jealousy as Predicted by Allocation and Reception of Resources in an Economic Game</t>
  </si>
  <si>
    <t>EVOLUTIONARY PSYCHOLOGY</t>
  </si>
  <si>
    <t>Evidence is abundant that evolution by selection has produced sex differences in the design of adaptations to solve the problems surrounding reproduction. A prime example is the design of human jealousy, which research suggests is triggered by distinct evoking acts that are specific challenges for women and men in their exclusive reproductive bond. It follows that jealousy would be directed toward driving away interlopers who could potentially threaten the bond with the romantic partner or increase mate retention efforts in response to sex-specific threats. To explore this possibility, we use as a methodological innovation an economic game for the evocation of jealousy. With a modified dictator game, we showed men and women in a committed relationship, conditions in which the partner or an intrasexual rival allocates money to (investing condition), or obtains money from (receiving condition), the partner or an opposite sex third party that they recently met. A sample of 56 heterosexual couples (n = 112) participated in a laboratory setting. Our results show the different scenarios of this dictator game exerted the expected evocation of jealousy (controlling individual differences), with women being more jealous by the partner's allocation of resources to a rival, and men reporting slightly more jealousy by their partner receiving money from a rival. We discuss the implications of this method to advance the comprehension of the adaptive function of sex differences in jealousy, the use of economic games, and possible modifications to improve the similarity of the game to a real assessment of actual male jealousy.</t>
  </si>
  <si>
    <t>Rodriguez-Sickert, Carlos/AAM-8128-2021; Muñoz Sánchez, Jose Antonio/LXW-7094-2024; Polo, Pablo/E-6878-2016; Fernandez, Ana Maria/E-6429-2011</t>
  </si>
  <si>
    <t>Fernandez, Ana Maria/0000-0003-4132-5891; Barbato, Maria Teresa/0000-0002-0905-2021; Buss, David/0000-0002-4467-7019</t>
  </si>
  <si>
    <t>1474-7049</t>
  </si>
  <si>
    <t>10.1177/14747049241289232</t>
  </si>
  <si>
    <t>WOS:001345760100001</t>
  </si>
  <si>
    <t>Rubio-Sepúlveda, F; Huechucura, S; Cruz, C; Reyes, AM; Reyes-Lillo, SE; Campo, J; Venegas-Yazigi, D; Paredes-Garcia, V</t>
  </si>
  <si>
    <t>Rubio-Sepulveda, Francisco; Huechucura, Sofia; Cruz, Carlos; Reyes, Abdul M.; Reyes-Lillo, Sebastian E.; Campo, Javier; Venegas-Yazigi, Diego; Paredes-Garcia, Veronica</t>
  </si>
  <si>
    <t>From Achiral Precursors to Copper Helical Coordination Polymers: Magnetic Properties and Electronic Structure</t>
  </si>
  <si>
    <t>CRYSTAL GROWTH &amp; DESIGN</t>
  </si>
  <si>
    <t>We introduce two novel one-dimensional coordination polymers (CPs) with helical arrangements based on copper(II) and an achiral Schiff base ligand, [Cu(L)(DMF)(X)](n) (X = NO3- (1) and Cl- (2)), where L = 2-{[(pyridin-3-yl)imino]methyl}phenol. Both structures crystallize in an orthorhombic unit cell with a P2(1)2(1)2(1) space group. In both compounds, unconventional noncovalent interactions are fundamental for the structural features, modulating the dihedral angle ca. 70 degrees between the two aromatic rings that are part of the organic ligand. Magnetic measurements indicate that weak antiferromagnetic interactions predominate in both CPs, with a J value of -3.34 cm(-1) for 1 and -4.95 cm(-1) for 2, corroborated by ab initio first-principles calculations. Furthermore, electronic structure analyses reveal a semiconductor behavior for both CPs. First-principles calculations predict small polaron localization around the Cu sites, with a higher formation of electron polarons in compound 1 than in 2.</t>
  </si>
  <si>
    <t>Cruz, Carlos/KIG-8993-2024; Reyes-Lillo, Sebastian/T-1708-2018; Paredes-Garcia, Veronica/C-4415-2011; Venegas-Yazigi, Diego/C-5022-2009</t>
  </si>
  <si>
    <t>Reyes, Abdul Mauricio/0000-0001-6997-0054; Cruz Herrera, Carlos/0000-0002-2644-4297; Rubio Sepulveda, Francisco/0000-0002-6093-3465; Venegas-Yazigi, Diego/0000-0001-7816-2841</t>
  </si>
  <si>
    <t>1528-7483</t>
  </si>
  <si>
    <t>1528-7505</t>
  </si>
  <si>
    <t>AUG 21</t>
  </si>
  <si>
    <t>10.1021/acs.cgd.4c00642</t>
  </si>
  <si>
    <t>WOS:001296696700001</t>
  </si>
  <si>
    <t>Miguel, B; Rubione, J; Fiore, E; Mengelle, D; Guerri-Guttenberg, RA; Montaner, A; Villar, MJ; Constandil-Cordova, L; Romero-Sandoval, AE; Brumovsky, PR</t>
  </si>
  <si>
    <t>Miguel, Bernardo; Rubione, Julia; Fiore, Esteban; Mengelle, Diego; Guerri-Guttenberg, Roberto A.; Montaner, Alejandro; Villar, Marcelo J.; Constandil-Cordova, Luis; Romero-Sandoval, Alfonso E.; Brumovsky, Pablo R.</t>
  </si>
  <si>
    <t>Mesenchymal Stem Cell Engagement Modulates Neuroma Microenviroment in Rats and Humans and Prevents Postamputation Pain</t>
  </si>
  <si>
    <t>JOURNAL OF PAIN</t>
  </si>
  <si>
    <t>Postamputation pain is currently managed unsatisfactorily with neuron-targeted pharmacological and interventional therapies. Non-neuronal pain mechanisms have emerged as crucial factors in the development and persistence of postamputation pain. Consequently, these mechanisms offer exciting prospects as innovative therapeutic targets. We examined the hypothesis that engaging mesenchymal stem cells (MSCs) would foster local neuroimmune interactions, leading to a potential reduction in postamputation pain. We utilized an ex vivo neuroma model from a phantom limb pain patient to uncover that the oligodeoxynucleotide IMT504 engaged human primary MSCs to promote an anti-inflammatory microenvironment. Reverse translation experiments recapitulated these effects. Thus, in an in vivo rat model, IMT504 exhibited strong efficacy in preventing autotomy (self-mutilation) behaviors. This effect was linked to a substantial accumulation of MSCs in the neuroma and associated dorsal root ganglia and the establishment of an anti-inflammatory phenotype in these compartments. Centrally, this intervention reduced glial reactivity in the dorsal horn spinal cord, demonstrating diminished nociceptive activity. Accordingly, the exogenous systemic administration of MSCs phenocopied the behavioral effects of IMT504. Our findings underscore the mechanistic relevance of MSCs and the translational therapeutic potential of IMT504 to engage nonneuronal cells for the prevention of postamputation pain. Perspective: The present study suggests that IMT504-dependent recruitment of endogenous MSCs within severely injured nerves may prevent post-amputation pain by modifying the inflammatory scenario at relevant sites in the pain pathway. Reinforcing data in rat and human tissues supports the potential therapeutic value of IMT504 in patients suffering postamputation pain. (c) 2024 Published by Elsevier Inc. on behalf of United States Association for the Study of Pain, Inc All</t>
  </si>
  <si>
    <t>Villar, Marcelo/H-6596-2017; Guerri-Guttenberg, Roberto/G-4362-2012; Brumovsky, Pablo/AAH-6903-2019</t>
  </si>
  <si>
    <t>Fiore, Esteban/0000-0003-1059-1695; Rubione, Julia/0000-0002-7119-8216; Miguel, Bernardo/0009-0004-0549-1264</t>
  </si>
  <si>
    <t>1526-5900</t>
  </si>
  <si>
    <t>1528-8447</t>
  </si>
  <si>
    <t>10.1016/j.jpain.2024.03.004</t>
  </si>
  <si>
    <t>WOS:001282784400001</t>
  </si>
  <si>
    <t>Rodríguez, F; Pulgar-Painemal, H; Lefort, P</t>
  </si>
  <si>
    <t>Garrido Rodriguez, Franco; Pulgar-Painemal, Hector; Valdivia Lefort, Patricio</t>
  </si>
  <si>
    <t>Inertia distribution and location of damping controllers in the Chilean Interconnected System</t>
  </si>
  <si>
    <t>2024 56TH NORTH AMERICAN POWER SYMPOSIUM, NAPS 2024</t>
  </si>
  <si>
    <t>North American Power Symposium</t>
  </si>
  <si>
    <t>56th North American Power Symposium</t>
  </si>
  <si>
    <t>OCT 13-15, 2024</t>
  </si>
  <si>
    <t>El Paso, TX</t>
  </si>
  <si>
    <t>University of Texas at San Antonio,National Science Foundation</t>
  </si>
  <si>
    <t>This article analyzes the inertia distribution in the north area of the Chilean Electric System (CES) and discusses how it can be used to address the current stability challenges of the system due to the sustained adoption of renewable sources such as wind farms and solar plants. Two system operational cases are used to obtain metrics that resemble the system inertia distribution. These metrics are tested by deploying damping controllers in those buses identified as with low inertia, as this can have the best enhancement in the system dynamic performance. The results show that the inertia distribution varies depending on the scenario, highlighting the importance of defining multiple indices for a comprehensive view of the system. In conclusion, the need to evaluate and improve the inertia distribution to ensure the stability of the CES with greater penetration of renewable energy is emphasized. Additionally, the effectiveness of the indices in identifying vulnerable and robust areas is validated, providing a crucial tool for future studies and improvements to the grid.</t>
  </si>
  <si>
    <t>2163-4939</t>
  </si>
  <si>
    <t>979-8-3315-2104-2; 979-8-3315-2103-5</t>
  </si>
  <si>
    <t>WOS:001423279900095</t>
  </si>
  <si>
    <t>Gamboa, J; Lopez-Sarrión, J; Méndez, F; Tapia-Arellano, N</t>
  </si>
  <si>
    <t>Gamboa, J.; Lopez-Sarrion, J.; Mendez, F.; Tapia-Arellano, N.</t>
  </si>
  <si>
    <t>Spontaneous symmetry breaking and the cosmological constant</t>
  </si>
  <si>
    <t>An approach that allows studying the relationship between the neutralization of the cosmological constant and instantons for cosmology coupled to antisymmetric fields is proposed. Using suitable variables, the Lagrangian leading to the FRW equations can be written analogously to a Ginzburg-Landau theory, and we show how spontaneous symmetry breaking appears.</t>
  </si>
  <si>
    <t>Tapia Arellano, Natalia/0000-0002-1138-1975</t>
  </si>
  <si>
    <t>36N37</t>
  </si>
  <si>
    <t>10.1142/S0217732323501614</t>
  </si>
  <si>
    <t>WOS:001138715700004</t>
  </si>
  <si>
    <t>Olea, F; Valenzuela, M; Zurob, E; Parraguez, B; Abejón, R; Cabezas, R; Merlet, G; Tapia, R; Romero, J; Quijada-Maldonado, E</t>
  </si>
  <si>
    <t>Olea, Felipe; Valenzuela, Matias; Zurob, Elsie; Parraguez, Benjamin; Abejon, Ricardo; Cabezas, Rene; Merlet, Gaston; Tapia, Ricardo; Romero, Julio; Quijada-Maldonado, Esteban</t>
  </si>
  <si>
    <t>Hydrophobic eutectic solvents for the selective solvent extraction of molybdenum (VI) and rhenium (VII) from a synthetic pregnant leach solution</t>
  </si>
  <si>
    <t>JOURNAL OF MOLECULAR LIQUIDS</t>
  </si>
  <si>
    <t>In this work, a study on the selective solvent extraction (SX) of molybdenum (Mo) and rhenium (Re) from a synthetic pregnant leach solution (PLS) has been carried out using nine different hydrophobic eutectic solvents (HES). Experiments were carried out using pure HES to evaluate the selective extraction and the subsequent stripping of these metal ions; then, the best HES was dissolved in kerosene to study the SX stoichiometry. Results indicated that only TOPO-based and N8881-Cl-based HES did not form emulsions, third phases or precipitates. These HES achieved a selective extraction because these obtained almost a 100% extraction towards Mo and Re from the PLS and very low extractions for Copper (Cu) and Iron (Fe) in one equilibrium stage. The stripping experiments showed that 95% of Mo and 22% of Re were stripped out from the loaded TOPO-based HDES, respectively, opening the possibility for the selective stripping of the metal species for further purification. Finally, the extraction stoichiometry was proposed based on an experimental slope analysis and the measurement of cations and anions transferred into the aqueous phase in which HES acts as a neutral extractant in the complexation of the Mo and Re salts. These promising results suggest that HES could be attractive for more sustainable mining industry.</t>
  </si>
  <si>
    <t>olea, felipe/IAN-5687-2023; Cabezas, Rene/HAR-6189-2022; Merlet, Gastón/B-4109-2019; Abejon, Ricardo/I-7171-2019; Romero, Julio/I-6705-2013</t>
  </si>
  <si>
    <t>Quijada-Maldonado, Esteban/0000-0003-1411-4327; Cabezas, Rene/0000-0002-4162-3429; Romero, Julio/0000-0002-1229-1592; ABEJON, Ricardo/0000-0002-8030-7752; Zurob, Elsie/0000-0002-5396-5960</t>
  </si>
  <si>
    <t>0167-7322</t>
  </si>
  <si>
    <t>1873-3166</t>
  </si>
  <si>
    <t>10.1016/j.molliq.2023.122415</t>
  </si>
  <si>
    <t>WOS:001056539500001</t>
  </si>
  <si>
    <t>Pradeep, DJ; Kumar, YVP; Siddharth, BR; Reddy, CP; Amir, M; Khalid, HM</t>
  </si>
  <si>
    <t>Pradeep, Darsy John; Kumar, Yellapragada Venkata Pavan; Siddharth, Bollineni Raja; Reddy, Challa Pradeep; Amir, Mohammad; Khalid, Haris M.</t>
  </si>
  <si>
    <t>Critical Performance Analysis of Four-Wheel Drive Hybrid Electric Vehicles Subjected to Dynamic Operating Conditions</t>
  </si>
  <si>
    <t>WORLD ELECTRIC VEHICLE JOURNAL</t>
  </si>
  <si>
    <t>Hybrid electric vehicle technology (HEVT) is emerging as a reliable alternative to reduce the constraints of battery-only driven pure electric vehicles (EVs). HVET utilizes an electric motor as well as an internal combustion engine for its operation. These components would work on battery power and fossil fuels, respectively, as a source of energy for vehicle mobility. The power is delivered either from battery or fuel or both sources based on user requirements, road conditions, etc. HEVT uses three major propelling systems, namely, front-wheel drive (FWD), rear-wheel drive (RWD), and four-wheel drive (4WD). In these propelling systems, the 4WD model provides torque to all four wheels at the same time. It uses all four wheels to propel thereby offering better driving capability, better traction, and a strong grip on the surface. The 4WD-based HEVs comprise four architectures, namely, series, parallel, series-parallel, and complex. The literature focuses primarily on any one type of architecture for analysis in the context of component optimization, fuel reduction, and energy management. However, a focus on dynamic analysis that gives a real performance insight was not conducted, which is the main motivation for this paper. The proposed work provides an extensive critical performance analysis of all four 4WD architectures subjected to various dynamic operating conditions (continuous, pulse, and step-up accelerations). Under these conditions, various performance parameters such as speed (of vehicle, engine, and motor), power (of engine and battery), battery electrical losses, charge patterns, and fuel consumption are measured and compared. Further, the 4WD architecture performance is validated with FWD and RWD architectures. From MATLAB/Simulink-based evaluation, 4WD HEV architectures have shown superior performance in most of the cases when compared to FWD type and RWD type HEVs. Moreover, 4WD parallel HEV architecture has shown superior performance compared to 4WD series, 4WD series-parallel, and 4WD complex architectures.</t>
  </si>
  <si>
    <t>CH, Pradeep Reddy/AFM-8766-2022; Khalid, Haris M./T-5118-2017; , Dr. Y. V. Pavan Kumar/AHD-6564-2022; Amir, Mohammad/AAI-6798-2020</t>
  </si>
  <si>
    <t>Khalid, Haris M./0000-0002-1136-6433; , Dr. Y. V. Pavan Kumar/0000-0002-9048-5157; Amir, Mohammad/0000-0003-3432-4217; CH, Pradeep Reddy/0000-0002-6446-0298</t>
  </si>
  <si>
    <t>2032-6653</t>
  </si>
  <si>
    <t>10.3390/wevj14060138</t>
  </si>
  <si>
    <t>WOS:001017720600001</t>
  </si>
  <si>
    <t>Ferrarez, RPF; do Valle, CGB; Alvarenga, JC; Dias, FD; Vasco, DA; Guedes, ALA; Chinelli, CK; Haddad, AN; Soares, CAP</t>
  </si>
  <si>
    <t>Ferrarez, Ricardo P. F.; do Valle, Claudia G. B.; Alvarenga, Jeferson C.; Dias, Fabricio da C.; Vasco, Diego A.; Guedes, Andre L. A.; Chinelli, Christine K.; Haddad, Assed N.; Soares, Carlos A. P.</t>
  </si>
  <si>
    <t>Key Practices for Incorporating Sustainability in Project Management from the Perspective of Brazilian Professionals</t>
  </si>
  <si>
    <t>Project management has incorporated sustainability concepts, but their relationship is still widely discussed. In this article, we research key practices for incorporating sustainability in project management from the perspective of 919 Brazilian professionals with experience in the field. We used factor analysis to explore the relationship between 37 sustainability practices. The results showed that these sustainability practices can be grouped into five key practices: environmental efficiency, compliance, social responsibility, continuous improvement and lessons learned, and project success. We also used word clouds to highlight the main themes in the practices encompassed by each key practice. The results contribute to project leaders and other project management professionals directing their efforts toward improving sustainability actions related to these practices in project management processes.</t>
  </si>
  <si>
    <t>Chinelli, Christine/ABB-6000-2021; da Costa Dias, Fabricio/AAT-7177-2020; Soares, Carlos/Q-1507-2019; Vasco, Diego/AAA-4480-2020; Pereira Soares, Carlos Alberto/K-2583-2013; Azevedo Guedes, Andre Luis/V-4683-2018; Haddad, Assed/C-9206-2014</t>
  </si>
  <si>
    <t>Pereira Soares, Carlos Alberto/0000-0002-1332-5854; Azevedo Guedes, Andre Luis/0000-0002-6584-9983; da Costa Dias, Fabricio/0000-0002-2949-226X; Alvarenga, Jeferson Carvalho/0000-0002-5338-8438; Vasco, Diego Andres/0000-0001-7456-4683; Haddad, Assed/0000-0002-4793-0905</t>
  </si>
  <si>
    <t>MAY 23</t>
  </si>
  <si>
    <t>10.3390/su15118477</t>
  </si>
  <si>
    <t>WOS:001005347000001</t>
  </si>
  <si>
    <t>Cisternas, C; González-Bustamante, B</t>
  </si>
  <si>
    <t>Cisternas, Carla; Gonzalez-Bustamante, Bastian</t>
  </si>
  <si>
    <t>Social Sciences in Repression Contexts: Bibliometric Analysis of the historical production of the Corporacion de Estudios para Latinoamerica, Chile (1979-1989)</t>
  </si>
  <si>
    <t>E-CIENCIAS DE LA INFORMACION</t>
  </si>
  <si>
    <t>This paper presents a bibliometric analysis of the Corporacion de Estudios para Latinoamerica (CIEPLAN in Spanish) scientific production. This was the most important think tank during the dictatorship and democratisation in Chile. The analysis is carried out based on bibliographic entries (n = 145), references (n = 4,055), and biographical information of the authors from 1979 to 1989. Three dimensions are analysed: scientific production and topics, collaboration and co-authorship, and references or information consumption. We use descriptive statistics, unsupervised topic modelling, and Social Network Analysis (SNA). The results reveal a constant trend in the scientific production and classic topics of the economy associated with inequality and political issues. Moreover, the collaboration and citation analyses show the existence of a community composed of recognised academics and members of the Chilean political elite who were central in the intellectual production and the references' network. These findings allow us to name CIEPLAN as one of the central epistemic communities during Chile's democratic recovery and transition, specifically during the first democratic governments, where a number of members were recruited to assume important positions in the executive. To this day, these actors continue influencing the policy-making process in Chile.</t>
  </si>
  <si>
    <t>González-Bustamante, Bastián/HLQ-1514-2023</t>
  </si>
  <si>
    <t>1659-4142</t>
  </si>
  <si>
    <t>10.15517/eci.v12i2.50078</t>
  </si>
  <si>
    <t>WOS:000822495600008</t>
  </si>
  <si>
    <t>Cabezas, R; Duran, S; Zurob, E; Plaza, A; Merlet, G; Araya-Lopez, C; Romero, J; Quijada-Maldonado, E</t>
  </si>
  <si>
    <t>Cabezas, R.; Duran, S.; Zurob, E.; Plaza, A.; Merlet, G.; Araya-Lopez, C.; Romero, J.; Quijada-Maldonado, E.</t>
  </si>
  <si>
    <t>Development of silicone-coated hydrophobic deep eutectic solvent-based membranes for pervaporation of biobutanol</t>
  </si>
  <si>
    <t>JOURNAL OF MEMBRANE SCIENCE</t>
  </si>
  <si>
    <t>Hydrophobic Deep Eutectic Solvents (HDES) are considered a relatively novel class of solvents, which show perfect features to incorporate them in pervaporation membranes. Composite HDES membranes offer a separation media, which shows a faster molecular diffusion than polymeric membranes, combining the best properties of liquid and polymer membranes, such a high selectivity with high burst pressure and durability. In this work, the separation of acetone-butanol-ethanol mixtures (ABE) from aqueous solutions, is carried out by pervaporation using membranes prepared with HDES lidocaine-thymol (Lidol) and CH3(CH2)(8)COOH-Thymol (Decadol), coated with two polydimethylsiloxane (PDMS) flat sheet membranes. The composite membranes showed improved results for the butanol/water selectivity compared to the single PDMS layer membrane used as a control. The total flux of butanol obtained with the Lidol-based membrane was 2.93 x 10(-3) [kg m(-2) hr(-1)]. The total flux of water was 1.22 x 10(-4) [kg m(-2) hr(-1)], showing a selectivity value for butanol/water of 1932, while the control membrane had a selectivity value of 6. The results obtained with the composite membranes exhibited a higher and more stable performance in separating butanol from the ABE solution. The improvement in the selectivity can be explained by the synergic effect of the PDMS coating with the HDES layer.</t>
  </si>
  <si>
    <t>Araya Lopez, Claudio/KXR-0295-2024; Cabezas, Rene/HAR-6189-2022; Romero, Julio/I-6705-2013; Merlet Venturelli, Gaston/B-4109-2019</t>
  </si>
  <si>
    <t>Zurob, Elsie/0000-0002-5396-5960; Romero, Julio/0000-0002-1229-1592; Plaza, Andrea/0000-0001-9475-007X; Merlet Venturelli, Gaston/0000-0003-2602-6471; Araya Lopez, Claudio/0000-0001-6262-2903; Quijada-Maldonado, Esteban/0000-0003-1411-4327; Cabezas, Rene/0000-0002-4162-3429</t>
  </si>
  <si>
    <t>0376-7388</t>
  </si>
  <si>
    <t>1873-3123</t>
  </si>
  <si>
    <t>10.1016/j.memsci.2021.119617</t>
  </si>
  <si>
    <t>WOS:000686040200005</t>
  </si>
  <si>
    <t>Verdiere, A; Cerda, FC; Llanes, AB; Wu, J; Crebolder, L; Petrov, RH</t>
  </si>
  <si>
    <t>Verdiere, A.; Castro Cerda, F.; Bejar Llanes, A.; Wu, J.; Crebolder, L.; Petrov, R. H.</t>
  </si>
  <si>
    <t>Effect of the austenitizing parameters on the microstructure and mechanical properties of 75Cr1 tool steel</t>
  </si>
  <si>
    <t>The austenitizing heat treatment of the 75Cr1 tool steel was optimized in order to obtain high yield strength and toughness. Samples were austenitized at different temperatures and soaking times, and subsequently quenched and tempered. The phase transformation characteristics during heating and quenching were studied by dilatometry. Optical microscopy, electron backscatter diffraction, x-ray diffraction and transmission electron microscopy were used to characterize the microstructure, while tensile tests and toughness tests were employed to determine the mechanical properties after various heat treatments. It was found that both yield strength and toughness decrease with increasing austenitizing temperature. Thermodynamic and kinetic calculations with Thermocalc and Dictra software were used to study the movement of the austenite-carbide interface and the compositional gradients in the microstructure at different austenitizing conditions. Based on the calculations it was found that the rate of dissolution of carbides into austenite is mainly controlled by the partitioning of chromium and manganese between carbides and austenite. The compositional gradients in the microstructure from the Dictra calculations were confirmed by energy dispersive spectrum (EDS) measurements in transmission electron microscope. No significant changes in mechanical properties and microstructure (carbide fraction) could be observed after more than 15 min soaking. However a significant prior austenite grain size growth and as a consequence a larger martensite grain (block) size is observed for long soaking times.</t>
  </si>
  <si>
    <t>Wu, Jun/AAO-6130-2020; Petrov, Roumen/A-5066-2008; Verdiere, An/KOC-7710-2024; Castro Cerda, Felipe Manuel/Q-2714-2016</t>
  </si>
  <si>
    <t>MAY 21</t>
  </si>
  <si>
    <t>10.1016/j.msea.2020.139331</t>
  </si>
  <si>
    <t>WOS:000536129700016</t>
  </si>
  <si>
    <t>Kaufmann, U; Quoirin, HR; Umezu, K</t>
  </si>
  <si>
    <t>Kaufmann, Uriel; Ramos Quoirin, Humberto; Umezu, Kenichiro</t>
  </si>
  <si>
    <t>A CURVE OF POSITIVE SOLUTIONS FOR AN INDEFINITE SUBLINEAR DIRICHLET PROBLEM</t>
  </si>
  <si>
    <t>We investigate the existence of a curve q bar right arrow u(q) , with q is an element of (0, 1), of positive solutions for the problem (P-a,P-q) {-Delta u = a(x)u(q )in Omega, u = 0 on partial derivative Omega, where Omega is a bounded and smooth domain of R-N and a : Omega -&gt; R is a sign-changing function (in which case the strong maximum principle does not hold). In addition, we analyze the asymptotic behavior of u(q) as q -&gt; 0(+) and q -&gt; 1(-). We also show that in some cases u(q) is the ground state solution of (P-a,P-q). As a byproduct, we obtain existence results for a singular and indefinite Dirichlet problem. Our results are mainly based on bifurcation and sub-supersolutions methods.</t>
  </si>
  <si>
    <t>Kaufmann, Uriel/AAH-8635-2020</t>
  </si>
  <si>
    <t>10.3934/dcds.2020063</t>
  </si>
  <si>
    <t>WOS:000502707100007</t>
  </si>
  <si>
    <t>Seguel, F; Azurdia-Meza, C; Krommenacker, N; Charpentier, P; Bombardier, V; Carreño, C</t>
  </si>
  <si>
    <t>Seguel, Fabian; Azurdia-Meza, Cesar; Krommenacker, Nicolas; Charpentier, Patrick; Bombardier, Vincent; Carreno, Cristobal</t>
  </si>
  <si>
    <t>Miner Video Tracking and Identification Using Optical Camera Communications in a Wireless Multimedia Sensor Network</t>
  </si>
  <si>
    <t>Following several underground mine disasters, the U.S. government changed its safety policies for underground mines. These new regulations state mandatory wireless communications and tracking of personnel. In this context, wireless multimedia sensor networks have been implemented to provide position information and mine surveillance. The recent development of optical camera communications has enable these networks to provide not only multimedia transmission, but also wireless data communications. In this manuscript, we proposed a novel miner video tracking and identification system using wireless multimedia sensor networks and optical camera communication to overcome the problems of video tracking and identifying personnel inside a challenging scenario such as underground mines.</t>
  </si>
  <si>
    <t>Meza, Cesar/D-6948-2014; Krommenacker, Nicolas/IAR-4851-2023; Seguel, Fabian/ABC-4765-2020</t>
  </si>
  <si>
    <t>WOS:001331796100076</t>
  </si>
  <si>
    <t>Espinosa, J; Hennig, C</t>
  </si>
  <si>
    <t>Espinosa, Javier; Hennig, Christian</t>
  </si>
  <si>
    <t>A constrained regression model for an ordinal response with ordinal predictors</t>
  </si>
  <si>
    <t>STATISTICS AND COMPUTING</t>
  </si>
  <si>
    <t>A regression model is proposed for the analysis of an ordinal response variable depending on a set of multiple covariates containing ordinal and potentially other variables. The proportional odds model (McCullagh in J R Stat Soc Ser B (Methodol) 109-142, 1980) is used for the ordinal response, and constrained maximum likelihood estimation is used to account for the ordinality of covariates. Ordinal predictors are coded by dummy variables. The parameters associated with the categories of the ordinal predictor(s) are constrained, enforcing them to be monotonic (isotonic or antitonic). A decision rule is introduced for classifying the ordinal predictors' monotonicity directions, also providing information whether observations are compatible with both or no monotonicity direction. In addition, a monotonicity test for the parameters of any ordinal predictor is proposed. The monotonicity constrained model is proposed together with five estimation methods and compared to the unconstrained one based on simulations. The model is applied to real data explaining a 10-points Likert scale quality of life self-assessment variable by ordinal and other predictors.</t>
  </si>
  <si>
    <t>Hennig, Christian/GXG-8354-2022</t>
  </si>
  <si>
    <t>Espinosa, Javier/0000-0003-0341-2708</t>
  </si>
  <si>
    <t>0960-3174</t>
  </si>
  <si>
    <t>1573-1375</t>
  </si>
  <si>
    <t>10.1007/s11222-018-9842-2</t>
  </si>
  <si>
    <t>WOS:000482225200002</t>
  </si>
  <si>
    <t>Pérez-Stuardo, D; Morales-Reyes, J; Tapia, S; Ahumada, DE; Espinoza, A; Soto-Herrera, V; Brianson, B; Ibaceta, V; Sandino, AM; Spencer, E; Vallejos-Vidal, E; Reyes-López, FE; Valdés, J; Reyes-Cerpa, S</t>
  </si>
  <si>
    <t>Perez-Stuardo, Diego; Morales-Reyes, Jonathan; Tapia, Sebastian; Ahumada, Diego E.; Espinoza, Allison; Soto-Herrera, Valentina; Brianson, Bernardo; Ibaceta, Valentina; Sandino, Ana M.; Spencer, Eugenio; Vallejos-Vidal, Eva; Reyes-Lopez, Felipe E.; Valdes, Jorge; Reyes-Cerpa, Sebastian</t>
  </si>
  <si>
    <t>Non-lysosomal Activation in Macrophages of Atlantic Salmon (Salmo salar) After Infection With Piscirickettsia salmonis</t>
  </si>
  <si>
    <t>FRONTIERS IN IMMUNOLOGY</t>
  </si>
  <si>
    <t>Piscirickettsia salmonis is a facultative intracellular pathogen and etiological agent of the systemic disease salmonid rickettsial septicemia. It has been suggested that P salmonis is able to survive in host macrophages, localized within a vacuole like-compartment which prevents lysosomal degradation. However, the relevant aspects of the pathogenesis of P salmonis as the host modulation that allow its intracellular survival have been poorly characterized. In this study, we evaluated the role of lysosomes in the response to P salmonis infection in macrophage-enriched cell cultures established from Atlantic salmon head kidneys. Bacterial infection was confirmed using confocal microscopy. A gentamicin protection assay was performed to recover intracellular bacteria and the 16S rDNA copy number was quantified through quantitative polymerase chain reaction in order to determine the replication of P salmonis within macrophages. Lysosomal activity in Atlantic salmon macrophage-enriched cell cultures infected with P salmonis was evaluated by analyzing the lysosomal pH and proteolytic ability through confocal microscopy. The results showed that P salmonis can survive &gt;= 120 h in Atlantic salmon macrophage-enriched cell cultures, accompanied by an increase in the detection of the 16S rDNA copy number/cell. The latter finding suggests that P salmonis also replicates in Atlantic salmon macrophage-enriched cell cultures. Moreover, this bacterial survival and replication appears to be favored by a perturbation of the lysosomal degradation system. We observed a modulation in the total number of lysosomes and lysosomal acidification following infection with P salmonis. Collectively, the results of this study showed that infection of Atlantic salmon macrophages with P salmonis induced limited lysosomal response which may be associated with host immune evasion mechanisms of P salmonis that have not been previously reported.</t>
  </si>
  <si>
    <t>Reyes-López, Felipe/S-1760-2018; Tapia, Sebastian/ABB-6644-2021; Valdes, Jorge/AAL-2779-2021; Vallejos-Vidal, Eva/R-9606-2019</t>
  </si>
  <si>
    <t>SANDINO, ANA MARIA/0000-0002-3862-3743; Vallejos-Vidal, Eva/0000-0002-3091-2700; Reyes, Jonathan/0000-0002-2155-8797; Reyes, Sebastian/0000-0002-7676-1266; Perez Stuardo, Diego Emilio/0009-0003-0944-4716; Reyes-Lopez, Felipe E./0000-0002-5001-457X</t>
  </si>
  <si>
    <t>1664-3224</t>
  </si>
  <si>
    <t>MAR 19</t>
  </si>
  <si>
    <t>10.3389/fimmu.2019.00434</t>
  </si>
  <si>
    <t>WOS:000461590500001</t>
  </si>
  <si>
    <t>Brandao, J; Dugato, DA; Seeger, RL; Denardin, JC; Mori, TJA; Cezar, JC</t>
  </si>
  <si>
    <t>Brandao, J.; Dugato, D. A.; Seeger, R. L.; Denardin, J. C.; Mori, T. J. A.; Cezar, J. C.</t>
  </si>
  <si>
    <t>Observation of magnetic skyrmions in unpatterned symmetric multilayers at room temperature and zero magnetic field</t>
  </si>
  <si>
    <t>Magnetic skyrmions are promising candidates for the next generation of spintronic devices due to their small size and topologically protected structure. One challenge for using these magnetic states in applications lies on controlling the nucleation process and stabilization that usually requires an external force. Here, we report on the evidence of skyrmions in unpatterned symmetric Pd/Co/Pd multilayers at room temperature without prior application of neither electric current nor magnetic field. Decreasing the ferromagnetic interlayer thickness, the tuning of the physical properties across the ferromagnetic/non-magnetic interface gives rise to a transition from worm like domains patterns to isolated skyrmions as demonstrated by magnetic force microscopy. On the direct comparison of the measured and simulated skyrmions size, the interfacial Dzyaloshinskii-Moriya interaction (iDMI) was estimated, reveling that isolated skyrmions are just stabilized at zero magnetic field taking into account non-null values of iDMI. Our findings provide new insights towards the use of stabilized skyrmions for room temperature devices in nominally symmetric multilayers.</t>
  </si>
  <si>
    <t>Brandao, Jeovani/C-7167-2018; Cezar, Julio/B-2731-2008; Denardin, Juliano/S-6407-2019; Mori, Thiago/G-9210-2014; Criginski Cezar, Julio/D-5039-2012</t>
  </si>
  <si>
    <t>Dugato, Danian/0000-0003-3732-1097; Brandao, Jeovani/0000-0002-3467-4818; Brandao, Jeovani/0000-0003-2072-9686; Lopes Seeger, Rafael/0000-0001-9683-9553; Mori, Thiago/0000-0001-5340-3282; Criginski Cezar, Julio/0000-0002-7904-6874</t>
  </si>
  <si>
    <t>MAR 11</t>
  </si>
  <si>
    <t>10.1038/s41598-019-40705-4</t>
  </si>
  <si>
    <t>WOS:000460754600035</t>
  </si>
  <si>
    <t>Torres, GM; Behrens, S; Michalik, D; Selent, D; Spannenberg, A; Lühr, S; Dyballa, KM; Franke, R; Börner, A</t>
  </si>
  <si>
    <t>Torres, Galina Morales; Behrens, Stephan; Michalik, Dirk; Selent, Detlef; Spannenberg, Anke; Luhr, Susan; Dyballa, Katrin Marie; Franke, Robert; Boerner, Armin</t>
  </si>
  <si>
    <t>Synthesis of C2-Symmetric Diphosphormonoamidites and Their Use as Ligands in Rh-Catalyzed Hydroformylation: Relationships between Activity and Hydrolysis Stability</t>
  </si>
  <si>
    <t>CHEMISTRYOPEN</t>
  </si>
  <si>
    <t>A series of diphosphoramidites has been synthetized with a piperazine, homopiperazine, and an acyclic 1,2-diamine unit in the backbone. New compounds were tested alongside related N-acyl phosphoramidites as ligands in the Rh-catalyzed hydroformylation of n-octenes to investigate their influence on the activity and regioselectivity. A subsequent study of their hydrolysis stability revealed that the most stable ligands induced the highest activity in the catalytic reaction.</t>
  </si>
  <si>
    <t>Morales, Galina/J-1816-2012</t>
  </si>
  <si>
    <t>Luhr, Susan/0000-0003-0449-0601</t>
  </si>
  <si>
    <t>2191-1363</t>
  </si>
  <si>
    <t>10.1002/open.201600152</t>
  </si>
  <si>
    <t>WOS:000399452900014</t>
  </si>
  <si>
    <t>Baeza, P; Bassi, R; Villarroel, M; Ojeda, J; Araya, P; Aguila, G</t>
  </si>
  <si>
    <t>Baeza, P.; Bassi, R.; Villarroel, M.; Ojeda, J.; Araya, P.; Aguila, G.</t>
  </si>
  <si>
    <t>ADSORPTION OF 4,6-DIMETHYLDIBENZOTHIOPHENE OVER Cu/ZrO2</t>
  </si>
  <si>
    <t>The adsorption of refractory sulfur molecule 4,6-Dimethyldibenzothiophene (4,6-DMDBT) over copper supported on zirconia, using different copper loadings (2-10% w/w) and a zirconia support with a high specific surface area, was studied. The results showed that the adsorption capacity of 4,6-DMDBT over Cu/ZrO2 increased with copper content, reaching a maximum at around 8% Cu (0.58 mmol 4,6-DMDBT per gram of adsorbent). The results of characterizations with H2TPR, Electrophoretic Migration, and XRD demonstrated that this Cu loading (8%) also corresponds to a maximum copper dispersion capacity for ZrO2 support. Also, these absorbents showed considerable selectivity toward the adsorption of 4,6-DMDBT in a feed stream also containing Quinoline, decreasing adsorption capacity of 4,6-DMDBT by only 35%, despite both molecules being present in the same concentrations. The results of this work showed that desulfurization adsorption using Cu/ZrO2 adsorbents can be an effective method to remove this type of refractory sulfur molecules, and an excellent alternative as a complementary process for deep desulfurization in the fuel industry.</t>
  </si>
  <si>
    <t>Aguila, Gonzalo/M-6404-2019; Araya, Paulo/I-6286-2016</t>
  </si>
  <si>
    <t>Ojeda, Juan/0000-0002-9484-5017; Araya, Paulo/0000-0002-8784-8869; Baeza Chandia, Patricio/0000-0003-1613-2860; Aguila, Gonzalo/0000-0003-3441-4175</t>
  </si>
  <si>
    <t>10.4067/S0717-97072015000100009</t>
  </si>
  <si>
    <t>WOS:000356004100009</t>
  </si>
  <si>
    <t>Stepanova, M; Antonova, EE</t>
  </si>
  <si>
    <t>Stepanova, M.; Antonova, E. E.</t>
  </si>
  <si>
    <t>Modeling of the turbulent plasma sheet during quiet geomagnetic conditions</t>
  </si>
  <si>
    <t>Recent studies have shown the importance of turbulent processes in the Earth magnetosphere dynamics, including the plasma sheet stability. In this study, turbulent eddy-diffusion coefficients were derived using the Cluster satellite data. The corresponding values of dawn-dusk electric field potential were obtained from the SuperDarn measurements. These results confirm the theory of the turbulent plasma sheet formation proposed by Antonova and Ovchinnikov (1996, 1999, 2001). According to this theory, a compact and comparatively stable turbulent plasma sheet is formed when the regular plasma transport related to the dawn-dusk electric field across the plasma sheet is compensated by the eddy-diffusion turbulent transport. Our results have shown that this theory reproduces the dynamics of the turbulent plasma sheet, including its thickness. (C) 2011 Elsevier Ltd. All rights reserved.</t>
  </si>
  <si>
    <t>Antonova, Elizaveta/A-2716-2012; Stepanova, Marina/D-6329-2011</t>
  </si>
  <si>
    <t>Antonova, Elizaveta/0000-0001-6980-3993; Stepanova, Marina/0000-0002-1053-3375</t>
  </si>
  <si>
    <t>10.1016/j.jastp.2011.02.009</t>
  </si>
  <si>
    <t>WOS:000294591800004</t>
  </si>
  <si>
    <t>Coddou, C; Codocedo, JF; Li, S; Lillo, JG; Acuña-Castillo, C; Bull, P; Stojilkovic, SS; Huidobro-Toro, JP</t>
  </si>
  <si>
    <t>Coddou, Claudio; Codocedo, Juan F.; Li, Shuo; Lillo, Juan G.; Acuna-Castillo, Claudio; Bull, Paulina; Stojilkovic, Stanko S.; Huidobro-Toro, J. Pablo</t>
  </si>
  <si>
    <t>Reactive Oxygen Species Potentiate the P2X2 Receptor Activity through Intracellular Cys430</t>
  </si>
  <si>
    <t>JOURNAL OF NEUROSCIENCE</t>
  </si>
  <si>
    <t>P2X receptor channels (P2XRs) are allosterically modulated by several compounds, mainly acting at the ectodomain of the receptor. Like copper, mercury, a metal that induces oxidative stress in cells, also stimulates the activity of P2X(2)R and inhibits the activity of P2X(4)R. However, the mercury modulation is not related to the extracellular residues critical for copper modulation. To identify the site(s) for mercury action, we generated two chimeras using the full size P2X(2) subunit, termed P2X(2a), and a splice variant lacking a 69 residue segment in the C terminal, termed P2X(2b), as the donors for intracellular and transmembrane segments and the P2X(4) subunit as the donor for ectodomain segment of chimeras. The potentiating effect of mercury on ATP-induced current was preserved in Xenopus oocytes expressing P2X(4/2a) chimera but was absent in oocytes expressing P2X(4/2b) chimera. Site-directed mutagenesis experiments revealed that the Cys(430) residue mediates effects of mercury on the P2X(2a)R activity. Because mercury could act as an oxidative stress inducer, we also tested whether hydrogen peroxide (H2O2) and mitochondrial stress inducers myxothiazol and rotenone mimicked mercury effects. These experiments, done in both oocytes and human embryonic kidney HEK293 cells, revealed that these compounds potentiated the ATP-evoked P2X(2a)R and P2X(4/2a)R currents but not P2X(2b)R and P2X(2a)-C430A and P2X(2a)-C430S mutant currents, whereas antioxidants dithiothreitrol and N-acetylcysteine prevented the H2O2 potentiation. Alkylation of Cys(430) residue with methylmethane-thiosulfonate also abolished the mercury and H2O2 potentiation. Altogether, these results are consistent with the hypothesis that the Cys(430) residue is an intracellular P2X(2a)R redox sensor.</t>
  </si>
  <si>
    <t>Acuña-Castillo, Claudio/AAI-7090-2021</t>
  </si>
  <si>
    <t>Acuna-Castillo, Claudio/0000-0003-3607-6077; Coddou, Claudio/0000-0002-5297-3694; Codocedo Henriquez, Juan Francisco/0000-0002-9683-2156</t>
  </si>
  <si>
    <t>0270-6474</t>
  </si>
  <si>
    <t>10.1523/JNEUROSCI.2096-09.2009</t>
  </si>
  <si>
    <t>WOS:000270363300028</t>
  </si>
  <si>
    <t>Lavín, R; Denardin, JC; Escrig, J; Altbir, D; Cortés, A; Gómez, H</t>
  </si>
  <si>
    <t>Lavin, R.; Denardin, J. C.; Escrig, J.; Altbir, D.; Cortes, A.; Gomez, H.</t>
  </si>
  <si>
    <t>Magnetic Characterization of Nanowire Arrays Using First Order Reversal Curves</t>
  </si>
  <si>
    <t>IEEE TRANSACTIONS ON MAGNETICS</t>
  </si>
  <si>
    <t>IEEE International Magnetics Conference (INTERMAG)</t>
  </si>
  <si>
    <t>MAY 04-08, 2008</t>
  </si>
  <si>
    <t>Arrays of Ni nanowires have been studied by means of first order reversal curves (FORC) diagrams. The dependence of the coercivity of the arrays as a function of the length of the nanowires has been experimentally investigated. We have shown that the FORC diagrams provide detailed information about the distribution of interactions and coercivities and allowed us to observe the reversible component of magnetization. Our results are in good agreement with analytical calculations obtained by means of a simple model.</t>
  </si>
  <si>
    <t>Denardin, Juliano/S-6407-2019; Escrig, Juan/N-4304-2015; Altbir, Dora/R-6781-2018</t>
  </si>
  <si>
    <t>Escrig, Juan/0000-0002-3958-8185; Gomez Meier, Carlos Humberto/0000-0002-9659-4215; Altbir, Dora/0000-0002-2945-4909; Denardin, Juliano/0000-0002-1373-6207</t>
  </si>
  <si>
    <t>0018-9464</t>
  </si>
  <si>
    <t>1941-0069</t>
  </si>
  <si>
    <t>10.1109/TMAG.2008.2001814</t>
  </si>
  <si>
    <t>WOS:000262221200092</t>
  </si>
  <si>
    <t>Diaz, GF; Campos-Vallette, MM; Saavedra, MS; Clavijo, RE; Canales, JC; Costamagna, J; Vargas, J</t>
  </si>
  <si>
    <t>Surface vibrational study of macrocycle complexes: Co(H), Ni(II), Cu(II) and Zn(II) bis(phenylhydrazine)-1,10-phenanthroline</t>
  </si>
  <si>
    <t>VIBRATIONAL SPECTROSCOPY</t>
  </si>
  <si>
    <t>A complete assignment of the infrared spectra of the title macrocycles was carried out on the basis of well-documented references and a normal coordinate analysis based on a simplified molecular model. The structure of the complexes has been inferred from IR and UV-VIS data. Infrared reflection-absorption (IRRAS) spectra using a smooth copper surface and surface enhanced Raman spectra of samples dissolved in colloidal silver were registered. The non-planar structure of the coordination site and the sterical hindrance imposed by phenyl substituent fragments avoid any adsorbate-substrate interaction. (C) 2002 Elsevier Science B.V. All rights reserved.</t>
  </si>
  <si>
    <t>Vallette, Marcelo/I-2860-2013</t>
  </si>
  <si>
    <t>Canales Villalobos, Juan Carlos/0009-0006-3215-4997</t>
  </si>
  <si>
    <t>0924-2031</t>
  </si>
  <si>
    <t>1873-3697</t>
  </si>
  <si>
    <t>APR 26</t>
  </si>
  <si>
    <t>PII S0924-2031(01)00140-0</t>
  </si>
  <si>
    <t>10.1016/S0924-2031(01)00140-0</t>
  </si>
  <si>
    <t>WOS:000175852000002</t>
  </si>
  <si>
    <t>Mejias, L; Rezende, MC; Sepulveda-Boza, S; Araya-Maturana, R; Boys, D; Cassels, BK; Manriquez, V</t>
  </si>
  <si>
    <t>Crystal structure of 7-bromo-5,8-dihydroxy-4,4-dimethyl-4H-naphthalen-1-one</t>
  </si>
  <si>
    <t>An X-ray diffraction study of the 7-bromo-5,8-dihydroxy-4,4-dimethyl-4H-naphthalen--1-one (1), obtained by bromination of 5,8-dihydroxy-4.4-dimethyl-4H-naphthalen-1-one with molecular bromine, gave unambiguous proof of its regiochemistry. Crystal is monoclinic, space group P2(1)/c, and the unit cell parameters are a = 8.300(1), b = 14.101(1), c = 19.239(2) Angstrom, beta = 93.91(1)degrees, Z = 8. The final R factor at room temperature was 0.036 for 1717 observed reflections. The molecular structure is essentially planar, with the exception of the geminal methyl groups, and no unusual bond lengths or angles were found.</t>
  </si>
  <si>
    <t>Manríquez, Víctor/H-7101-2013; Cassels, Bruce/H-6937-2013; Araya-Maturana, Ramiro/N-8747-2015</t>
  </si>
  <si>
    <t>Araya-Maturana, Ramiro/0000-0002-5082-9146; Rezende, Marcos/0000-0003-2040-9009</t>
  </si>
  <si>
    <t>WOS:000078428600013</t>
  </si>
  <si>
    <t>Niemeyer, MI; Lummis, SCR</t>
  </si>
  <si>
    <t>Ca2+-inhibition of agonist-evoked currents in the 5-HT3 receptor</t>
  </si>
  <si>
    <t>421P</t>
  </si>
  <si>
    <t>U132</t>
  </si>
  <si>
    <t>WOS:000071204500229</t>
  </si>
  <si>
    <t>Shah, SP; Jansen, SA; Lawrence, SP; Chong, PLG; Pereira, J; Correa-Llantén, DN; Blamey, JM</t>
  </si>
  <si>
    <t>Shah, S. P.; Jansen, S. A.; Lawrence, S. P.; Chong, P. Lee-Gau; Pereira, J.; Correa-Llanten, D. N.; Blamey, J. M.</t>
  </si>
  <si>
    <t>Qualitative Analysis of Lipid Composition of Psychrotolerant Serratia sp. Strain I1P, Isolated from Antarctica</t>
  </si>
  <si>
    <t>MICROBIOLOGY</t>
  </si>
  <si>
    <t>Serratia sp. strain I1P, a facultative anaerobe of the family Enterobacteriaceae, was recently isolated from Elephant Island, Antarctica. The primary goal of this article was to identify the fatty acid composition and polar lipid profile in the cell membrane as these lipids are known to adapt to the colder temperatures. We extracted total polar lipids from strain I1P cell membrane and characterized the lipid structures of certain isolated fractions by GC-FID chromatography and Tandem Mass spectrometry. We identified several lipid classes, including phosphatidylglycerol, phosphatidylethanolamine, phosphatidic acid, and acyl phosphatidylglycerol. These lipids contained about 46% monounsaturated fatty acids and around 80% short-chain fatty acids (C14-C16). This composition helps the organism maintain the membrane fluidity, especially in colder temperatures, enhancing its ability to survive in such environments.</t>
  </si>
  <si>
    <t>Blamey, Jenny/M-2637-2014; Shah, Siddharth/JXY-9174-2024; Chong, Parkson/I-3297-2019</t>
  </si>
  <si>
    <t>0026-2617</t>
  </si>
  <si>
    <t>1608-3237</t>
  </si>
  <si>
    <t>10.1134/S0026261724604962</t>
  </si>
  <si>
    <t>WOS:001434417300014</t>
  </si>
  <si>
    <t>Gamboa, J; López-Sarrión, J; Méndez, F; Tapia-Arellano, N</t>
  </si>
  <si>
    <t>Gamboa, Jorge; Lopez-Sarrion, Justo; Mendez, Fernando; Tapia-Arellano, Natalia</t>
  </si>
  <si>
    <t>Corrections of Z' to the magnetic moment of the muon</t>
  </si>
  <si>
    <t>We study several previous corrections and contributions to the muon g - 2, starting from the dark photon hypothesis to the dark Z. We explore the inputs from a dark Z boson virtual mediator in a first order loop. We consider not only the QED-like contributions in the theory but also weak interactions. We obtain a new factor that adds corrections to the form factor associated with the anomalous magnetic moment. We show that our result is favorable in new, unexplored windows in the mass-coupling parameter space.</t>
  </si>
  <si>
    <t>Lopez Sarrion, Justo Javier/0000-0002-2868-194X; Gamboa, Jorge/0000-0001-7992-7199; Tapia Arellano, Natalia/0000-0002-1138-1975; Mendez, Fernando/0000-0002-9257-9552</t>
  </si>
  <si>
    <t>NOV 27</t>
  </si>
  <si>
    <t>10.1103/PhysRevD.108.095042</t>
  </si>
  <si>
    <t>WOS:001119009700009</t>
  </si>
  <si>
    <t>Rezende, LFM; Malhao, TA; Barbosa, RD; Schilithz, AOC; da Silva, RCF; Moreira, LGM; Ferrari, G; Machado, PAN; Diogenes, MEL</t>
  </si>
  <si>
    <t>Rezende, Leandro F. M.; Malhao, Thaina Alves; Barbosa, Rafael da Silva; Schilithz, Arthur Orlando Correa; da Silva, Ronaldo Correa Ferreira; Moreira, Luciana Grucci Maya; Ferrari, Gerson; Machado, Paula Aballo Nunes; Diogenes, Maria Eduarda Leao</t>
  </si>
  <si>
    <t>The current and future costs of colorectal cancer attributable to red and processed meat consumption in Brazil</t>
  </si>
  <si>
    <t>BMC HEALTH SERVICES RESEARCH</t>
  </si>
  <si>
    <t>BackgroundCompelling evidence supports the association between red and processed meat consumption and increased risk of colorectal cancer. Herein, we estimated the current (2018) and future (2030) federal direct healthcare costs of colorectal cancer in the Brazilian Unified Health System attributable to red and processed meat consumption. Considering reduced red and processed meat consumption, we also projected attributable costs of colorectal cancer in 2040.MethodsWe retrieved information on red and processed meat consumption from two nationally representative dietary surveys, the Household Budget Survey 2008-2009 and 2017-2018; relative risks for colorectal cancer from a meta-analysis; direct healthcare costs of inpatient and outpatient procedures in adults &gt;= 30 years with colorectal cancer (C18-C20) from 2008-2019 by sex.ResultsAttributable costs of colorectal cancer were calculated via comparative risk assessment, assuming a 10-year lag. In 2018, US$ 20.6 million (8.4%) of direct healthcare costs of colorectal cancer were attributable to red and processed meat consumption. In 2030, attributable costs will increase to US$ 86.6 million (19.3%). Counterfactual scenarios of reducing red and processed meat consumption in 2030 suggested that US$ 2.2 to 11.9 million and US$ 13 to 74 million could be saved in 2040, respectively.ConclusionRed and processed meat consumption has an escalating economic impact on the Brazilian Unified Health System. Our findings support interventions and policies focused on primary prevention and cancer.</t>
  </si>
  <si>
    <t>Ferrari, Gerson/HHM-6173-2022; Diogenes, Maria/AFU-9813-2022; Celerino da Silva, Ronaldo/AAD-2869-2022; Malhão, Thainá/AFT-9923-2022; Barbosa, Rafael/AAA-8846-2022; Ferrari, Gerson/P-1152-2014; Rezende, Leandro/C-1724-2012</t>
  </si>
  <si>
    <t>Schilithz, Arthur Orlando Correa/0000-0003-2457-3965; Ferrari, Gerson/0000-0003-3177-6576; da Silva Barbosa, Rafael/0000-0002-9253-1487; Rezende, Leandro/0000-0003-3332-7571; Correa Ferreira da Silva, Ronaldo/0000-0002-1017-2426; Aballo Nunes Machado, Paula/0000-0003-1693-5962; Rezende, Leandro/0000-0002-7469-1399; Malhao, Thaina/0000-0002-5644-1089</t>
  </si>
  <si>
    <t>1472-6963</t>
  </si>
  <si>
    <t>OCT 31</t>
  </si>
  <si>
    <t>10.1186/s12913-023-10169-4</t>
  </si>
  <si>
    <t>WOS:001089806900001</t>
  </si>
  <si>
    <t>Medina, FM; Bohle, SAL; Van Beurden, J; Chambel, MJ; Ugarte, SM</t>
  </si>
  <si>
    <t>Medina, Felipe Munoz; Bohle, Sergio Andres Lopez; Van Beurden, Jeske; Chambel, Maria Jose; Ugarte, Sebastian M. M.</t>
  </si>
  <si>
    <t>The relationship between job insecurity and employee performance: a systematic literature review and research agenda</t>
  </si>
  <si>
    <t>CAREER DEVELOPMENT INTERNATIONAL</t>
  </si>
  <si>
    <t>Purpose - Although research on job insecurity (JI) and its relationship with employee performance has increased in recent years, results are mixed and inconclusive. The objectives of this paper are to explore 1) the conceptualizations of JI, 2) the relationship between JI and different performance dimensions, 3) the theoretical perspectives used to explain the JI-performance relationship and 4) the mechanisms and contextual boundaries that affect the JI-performance relationship. Design/methodology/approach - Following the PRISMA guidelines, the authors systematically searched for peer-reviewed empirical studies published before July 2021 in Web of Science and Scopus. The authors analyzed 81 empirical studies published on the conceptualization of job insecurity, its relationship with employee performance, and what mechanisms and contingency factors are studied. The authors used thematic analysis to analyze the articles. Findings - Results of this review show that the quantitative cognitive dimension is dominant in extant JI literature. Furthermore, in-role performance and OCB were most often investigated in relation to the four dimensions of job insecurity, drawing from a range of theoretical perspectives to explain this relationship. Moreover, a variety of mechanisms and contextual factors on individual, individual work-related, individual-level attitudes and job-level characteristics have found to play a role in this relationship. Research limitations/implications - This study has a number of limitations. The first pertains to the exclusion of articles in languages other than English and non-peer reviewed papers. It is possible that the search strategy used may not have identified other studies that may have met the established criteria in order to be included in our research. However, this method was chosen to guarantee the quality of the included articles in this study and in line with previous meta-analyses and literature reviews (De Witte et al., 2016; Sverke et al., 2019). Second, one selection criteria focused on how performance was assessed in the studies incorporated in this literature review. The authors excluded studies that addressed performance from the perspective of the organization (i.e. studies that measured performance at the organizational level). The authors herewith might have excluded studies that focused on one or multiple job insecurity constructs, but the authors herewith included studies that were comparable in terms of performance indicator outcomes. Future studies could expand the search by investigating, as a next step, the impact on organizational performance. Finally, since the focus of this literature review was on the relationship between job insecurity and performance indicators, including the mechanisms and boundary conditions that affect this relationship, the authors did not include focus on how job insecurity can be influenced (Shoss, 2017), and herewith lack information on the predictors side of job insecurity. However, by narrowing the authors focus to mediators and moderators, the authors were able to come up with an extensive list of factors that impact the job insecurity-performance relationship and herewith provide fruitful areas for future research. Future studies could expand these findings by providing an overview of predictors of different job insecurity constructs, to see whether there are potential different predictors of job insecurity conceptualizations (Jiang and Lavaysse, 2018). Practical implications - The study review contributes to the systematization of the current empirical evidence on this area of research. This is especially important and enables room to take an additional step toward understanding the consequences of job insecurity on performance. Specifically, it is important for organizations and policymakers to be aware of the different conceptualizations of job insecurity that exist and how they impact employee performance. In addition, an overview of potential mechanisms and boundary conditions that affect this relationship provides insights as to how organizations can intervene to affect reactions to job insecurity. Social implications - The study findings are relevant and may be of interest to decision makers in organizations and national authorities that must have information on quality concerning the effects of job insecurity on performance. Originality/value - Based on these findings the authors show the impact of the different conceptualizations of job insecurity and how they affect job performance. In addition, the authors provide recommendations for future studies how to better handle the integration of different conceptualizations and measures of job insecurity and its different approaches.</t>
  </si>
  <si>
    <t>Bohle, Sergio/P-7698-2014; Medina, Felipe/AAN-4304-2021; Chambel, Maria Jose/F-3366-2016; Ugarte, Sebastian M./A-5052-2015</t>
  </si>
  <si>
    <t>Munoz Medina, Felipe/0000-0002-0425-2067; Chambel, Maria Jose/0000-0001-6588-7034; Lopez Bohle, Sergio/0000-0002-6202-4089; Ugarte, Sebastian M./0000-0002-9679-4866</t>
  </si>
  <si>
    <t>1362-0436</t>
  </si>
  <si>
    <t>1758-6003</t>
  </si>
  <si>
    <t>DEC 6</t>
  </si>
  <si>
    <t>6/7</t>
  </si>
  <si>
    <t>10.1108/CDI-06-2022-0164</t>
  </si>
  <si>
    <t>WOS:001052679100001</t>
  </si>
  <si>
    <t>Villalobos, MB; Ibarra, J; Gidi, L; Cavieres, V; Aguirre, MJ; Ramírez, G; Arce, R</t>
  </si>
  <si>
    <t>Bustos Villalobos, Maicol; Ibarra, Jose; Gidi, Leyla; Cavieres, Valentina; Jesus Aguirre, Maria; Ramirez, Galo; Arce, Roxana</t>
  </si>
  <si>
    <t>Electrochemical Detection of Sulfite by Electroreduction Using a Carbon Paste Electrode Binder with N-octylpyridinium Hexafluorophosphate Ionic Liquid</t>
  </si>
  <si>
    <t>CATALYSTS</t>
  </si>
  <si>
    <t>Sulfite is a widely used additive in food and beverages, and its maximum content is limited by food regulations. For this reason, determining the sulfite concentration using fast, low-cost techniques is a current challenge. This work describes the behavior of a sensor based on an electrode formed by carbon nanotubes an ionic liquid as binder, which by electrochemical reduction, allows detecting sulfite with a detection limit of 1.6 +/- 0.05 mmol L-1 and presents adequate sensitivity. The advantage of detecting sulfite by reduction and not by oxidation is that the presence of antioxidants such as ascorbic acid does not affect the measurement. The electrode shown here is low-cost and easy to manufacture, robust, and stable.</t>
  </si>
  <si>
    <t>Arce, Roxana/V-8140-2019; Aguirre, Maria/A-3935-2013</t>
  </si>
  <si>
    <t>ARCE, ROXANA/0000-0002-1387-9232; , Jose Fernando Ibarra Ibarra/0009-0001-7426-1815; Aguirre, Maria/0000-0003-1134-4469; Ramirez, Galo/0000-0002-6217-4730</t>
  </si>
  <si>
    <t>2073-4344</t>
  </si>
  <si>
    <t>10.3390/catal12121675</t>
  </si>
  <si>
    <t>WOS:000902246200001</t>
  </si>
  <si>
    <t>Valdés-Badilla, P; Herrera-Valenzuela, T; Guzmán-Muñoz, E; Branco, BHM; Zapata-Bastias, J; Lucero, B; Castillo-Retamal, F</t>
  </si>
  <si>
    <t>Valdes-Badilla, Pablo; Herrera-Valenzuela, Tomas; Guzman-Munoz, Eduardo; Magnani Branco, Braulio Henrique; Zapata-Bastias, Jose; Lucero, Boris; Castillo-Retamal, Franklin</t>
  </si>
  <si>
    <t>Effectiveness of Adapted Taekwondo, Multi-Component Training and Walking Exercise on Health Status in Independent Older Women: Study Protocol for a Randomized Controlled Trial (TKD &amp; Aging Project)</t>
  </si>
  <si>
    <t>BIOLOGY-BASEL</t>
  </si>
  <si>
    <t>Simple Summary The benefits of regular physical activity on various health variables in older people have been extensively reported in scientific evidence. Resistance training, multi-component training, and walking exercise are the most commonly used physical activity interventions in older people, while interventions with adapted taekwondo are less common but have similar results to the strategies mentioned above. As a result, this study protocol aims to analyze and compare the effects of an adapted taekwondo program with respect to multi-component training and walking exercise on health status in independent older women. Secondarily, we analyze the variability of the inter-individual response and compare it according to the designated training system. According to the current scientific evidence we expect that adapted taekwondo will produce more significant effects and greater inter-individual responses in cognitive status, brain activity, health-related quality of life, and postural balance than the other training methods. If this intervention proves effective, it could be an alternative for older women. This study protocol aims to analyze and compare the effects of an adapted taekwondo program with respect to multi-component training and walking exercise on health status in independent older women. Secondarily, we analyze the variability of the inter-individual response and compare it according to the designated training system. The sample will consist of 64 women between 60 and 65 years, randomly assigned to experimental group 1 (n = 16; adapted taekwondo), experimental group 2 (n = 16; multi-component training), experimental group 3 (n = 16, walking exercise) or control group (n = 16; no intervention). The experimental groups will perform the designated training for three sessions (60 min per session) per week over 16-weeks, while the control group will not receive any treatment. The main outcome will provide information about (i) blood pressure, (ii) lipid profile, (iii) frequency of food consumption, (iv) body composition, (v) cognitive status, (vi) brain activity, (vii) health-related quality of life (HRQoL) and (viii) physical-functional fitness. Our hypothesis indicates that adapted taekwondo produces more significant effects and greater inter-individual responses in cognitive status, brain activity, HRQoL, and postural balance than the others training methods. If this intervention proves effective, it could be an alternative for older women.</t>
  </si>
  <si>
    <t>Branco, Braulio/AAA-1747-2019; Herrera-Valenzuela, Tomas/L-1819-2019; Magnani Branco, Braulio Henrique/B-8178-2017; Castillo-Retamal, Franklin/GLQ-8635-2022; Lucero, Boris/IAM-7288-2023</t>
  </si>
  <si>
    <t>Herrera-Valenzuela, Tomas/0000-0002-5219-5896; Magnani Branco, Braulio Henrique/0000-0002-4625-9128; Guzman-Munoz, Eduardo/0000-0001-7001-9004; Castillo-Retamal, Franklin/0000-0001-9118-4340; Lucero, Boris/0000-0002-7081-3344</t>
  </si>
  <si>
    <t>2079-7737</t>
  </si>
  <si>
    <t>10.3390/biology11060816</t>
  </si>
  <si>
    <t>WOS:000818283500001</t>
  </si>
  <si>
    <t>Paez-Nova, M; Andaur, K; Campos, G; Garcia-Ballestas, E; Moscote-Salazar, LR; Koller, O; Valenzuela, S</t>
  </si>
  <si>
    <t>Paez-Nova, Maximiliano; Andaur, Karem; Campos, Gabriel; Garcia-Ballestas, Ezequiel; Moscote-Salazar, Luis Rafael; Koller, Osvaldo; Valenzuela, Sergio</t>
  </si>
  <si>
    <t>Bilateral hyperplasia of choroid plexus with severe CSF production: a case report and review of the glymphatic system</t>
  </si>
  <si>
    <t>CHILDS NERVOUS SYSTEM</t>
  </si>
  <si>
    <t>Background An important feature of hydrocephalus is the alteration of the cerebral spinal fluid (CSF) homeostasis. New insights in the understanding of production, secretion, and absorption of CSF, along with the discovery of the glymphatic system (GS), can be useful for a better understanding and treatment of hydrocephalus in disorders with CSF overproduction. Case description A 1-year-old patient was diagnosed with communicating hydrocephalus; ventricle peritoneal shunt (VPS) is installed and ascites developed. VPS is exposed, yielding volumes of 1000-1200ml/day CSF per day. MRI is performed showing generalized choroidal plexus hyperplasia. Bilateral endoscopic coagulation of thechoroid plexus was performed in 2 stages (CPC) however the high rate of CSF production persisted, needing a bilateral plexectomy through septostomy, which finally decreased the CSF outflow. Discussion New knowledge about the CSF physiology will help to propose better treatment depending on the cause of the hydrocephalus. The GS is becoming an additional reason to better study and develop new therapies focused of the modulation of alternative CSF reabsorption. Conclusion Despite the current knowledge about hydrocephalus, we remain without a complete understanding of the pathophysiology of this condition. GS could be more important than conventional concept of reabsorption of CSF in the arachnoid villi, therefore GS could be a new key point, which will guide future investigations.</t>
  </si>
  <si>
    <t>García-Ballestas, Ezequiel/AAC-9808-2020; Moscote-Salazar, Luis Rafael/K-6307-2012</t>
  </si>
  <si>
    <t>Paez-Nova, Maximiliano/0000-0001-5315-292X; Garcia-Ballestas, Ezequiel/0000-0002-7075-8007; Moscote-Salazar, Luis Rafael/0000-0002-4180-6962</t>
  </si>
  <si>
    <t>0256-7040</t>
  </si>
  <si>
    <t>1433-0350</t>
  </si>
  <si>
    <t>10.1007/s00381-021-05325-2</t>
  </si>
  <si>
    <t>WOS:000686484900002</t>
  </si>
  <si>
    <t>Sánchez-Velasco, OA; Saavedra-Olavarría, J; Araya-Santelices, DAA; Hermosilla-Ibáñez, P; Cassels, BK; Pérez, EG</t>
  </si>
  <si>
    <t>Sanchez-Velasco, Oriel A.; Saavedra-Olavarria, Jorge; Araya-Santelices, Daniel A. A.; Hermosilla-Ibanez, Patricio; Cassels, Bruce K.; Perez, Edwin G.</t>
  </si>
  <si>
    <t>Synthesis of N-Arylcytisine Derivatives Using the Copper-Catalyzed Chan-Lam Coupling</t>
  </si>
  <si>
    <t>JOURNAL OF NATURAL PRODUCTS</t>
  </si>
  <si>
    <t>N-Arylcytisine derivatives are quite rare. We report here a practical methodology to obtain these compounds. Using the copper-catalyzed Chan-Lam coupling, we synthesized new N-arylcytisine derivatives at room temperature, in air and using inexpensive phenylboronic acids. Cytisine and 3,5-dihalocytisines can act as substrates, and among the products, the p-Br-derivative 2r was used as a substrate to obtain biaryl derivatives under Pd-coupling conditions; ester 2j was converted into its acid and amide derivatives using classical carbodiimide conditions. This shows that the Chan-Lam cross-coupling reaction can be included as a versatile synthetic tool in the derivatization of natural products.</t>
  </si>
  <si>
    <t>Sanchez-Velasco, Oriel A/ITV-7977-2023; Perez, Edwin/KVY-5791-2024; Cassels Niven, Bruce Kennedy/H-6937-2013; Hermosilla-Ibanez, Patricio/Y-7454-2018</t>
  </si>
  <si>
    <t>sanchez, oriel/0000-0003-3460-6177; Cassels Niven, Bruce Kennedy/0000-0002-0082-0661; Perez, Edwin/0000-0002-3777-6297; Hermosilla-Ibanez, Patricio/0000-0002-2272-9690</t>
  </si>
  <si>
    <t>0163-3864</t>
  </si>
  <si>
    <t>1520-6025</t>
  </si>
  <si>
    <t>10.1021/acs.jnatprod.1c00275</t>
  </si>
  <si>
    <t>WOS:000677582700013</t>
  </si>
  <si>
    <t>Castro, J; Fernández, F; Olivares, F; Berríos, C; Garrido-Ramírez, E; Blanco, E; Escalona, N; Aspée, A; Barrías, P; Ureta-Zañartu, MS</t>
  </si>
  <si>
    <t>Castro, Jorge; Fernandez, Francisco; Olivares, Felipe; Berrios, Cristhian; Garrido-Ramirez, Elizabeth; Blanco, Elodie; Escalona, Nestor; Aspee, Alexis; Barrias, Pablo; Soledad Ureta-Zanartu, M.</t>
  </si>
  <si>
    <t>Electrodes based on zeolites modified with cobalt and/or molybdenum for pesticide degradation: part II-2,4,6-trichlorophenol degradation</t>
  </si>
  <si>
    <t>2,4,6-trichlorophenol (TCP) is a persistent pollutant introduced in water by industrial processes and pesticides. We have studied the electrooxidation of TCP on glassy carbon (GC) electrodes drop-coated with a suspension containing Mo- and/or Co-modified zeolite, graphite, and Nafion (R) perfluorinated ion-exchange resin in distilled water. Three zeolites, Linde type A (ZA), Faujasite (ZY) and MFI (ZSM-5), of different hydrophilic/hydrophobic character, were modified with molybdenum and/or cobalt by the wet impregnation method and characterized by Fourier-transform infrared spectroscopy with attenuated total reflection and temperature programmed reduction. The electrochemical study included cyclic voltammetry, electrochemical impedance spectroscopy, and electrolysis at controlled potential. High performance liquid chromatography and mass spectrometry allowed detecting the following reaction products: 2,6-dichloro-1,4-benzoquinone, 2,6-dichloro-1,4-hydroquinone, 3,5-dichloro-2-hydroxy-1,4-benzoquinone, and malic, maleic, picric, and acetic acids. A maximum degradation of about 90% was reached after 4 h of electrolysis at 0.83 V vs Ag/AgCl/KCl 3 M, using a GC/graphite-ZSM5(Mo) electrode. The electrodes modified with Mo, and especially that with ZSM5, the most hydrophobic zeolite, were active for the degradation of TCP. We conclude that the main role of the Mo species is to catalyze the hydrogen peroxide decomposition yielding reactive singlet oxygen, as evidenced by the pink color of 3,5-dichloro-2-hydroxy-1,4-benzoquinoneand confirmed by mass spectrometry. Graphical abstract</t>
  </si>
  <si>
    <t>Escalona, Nestor/F-3593-2016; Olivares, Felipe/MCI-9571-2025; Ureta-Zañartu, Maria/G-5239-2019; Fernandez, Francisco/K-5532-2014; Blanco, Elodie/AAI-9600-2020; Barrias, Pablo/V-7218-2018</t>
  </si>
  <si>
    <t>Escalona Burgos, Nestor/0000-0002-2628-4609; Blanco, Elodie/0000-0001-9955-8394; Castro-Rojas, Jorge/0000-0002-5191-4991; Barrias, Pablo/0000-0003-4072-4436; Garrido-Ramirez, Elizabeth/0000-0002-1685-7979</t>
  </si>
  <si>
    <t>10.1007/s10008-020-04590-6</t>
  </si>
  <si>
    <t>WOS:000534870600001</t>
  </si>
  <si>
    <t>Edjossan-Sossou, AM; Galvez, D; Deck, O; Al Heib, M; Verdel, T; Dupont, L; Chery, O; Camargo, M; Morel, L</t>
  </si>
  <si>
    <t>Edjossan-Sossou, Abla Mimi; Galvez, Daniel; Deck, Olivier; Al Heib, Marwan; Verdel, Thierry; Dupont, Laurent; Chery, Olivier; Camargo, Mauricio; Morel, Laure</t>
  </si>
  <si>
    <t>Sustainable risk management strategy selection using a fuzzy multi-criteria decision approach</t>
  </si>
  <si>
    <t>INTERNATIONAL JOURNAL OF DISASTER RISK REDUCTION</t>
  </si>
  <si>
    <t>While several studies focused on the evaluation of risk management strategies to select the sustainable ones using multi-criteria analysis, most of these studies did not necessarily dealt with the integration of uncertainties. In a context where uncertainties are inherent to natural hazards management decision-making process, the challenge is to systematically take uncertainties into account throughout the assessment process in order to avoid biased decisions. This paper attempts to tackle this challenge by suggesting a methodological approach based on the application of fuzzy multi-criteria decision-making methods. Uncertainties are addressed in two main ways. First, fuzzy AHP is used to estimate the importance of each of the evaluation criteria. Then, fuzzy weighted arithmetic mean method or fuzzy PROMETHEE are used to prioritize the strategies regarding the set of criteria, considering a compensatory or non-compensatory reasoning in order to derive final ranking. This approach is tested in a case study proposing sensitivity analysis in order to study the impact of the compensation phenomenon and the integration of uncertainty in the choice of a sustainable risk management strategy. This hybrid fuzzy multicriteria decision approach provides a structured framework for identifying the most sustainable strategy under uncertainty.</t>
  </si>
  <si>
    <t>DUPONT, Laurent/L-9239-2019; ALHEIB, Marwan/T-3125-2018; CAMARGO, Mauricio/HJP-7111-2023</t>
  </si>
  <si>
    <t>DUPONT, Laurent/0000-0002-8279-9690; Camargo, Mauricio/0000-0003-3867-2438; Galvez, Daniel/0000-0001-6119-4310</t>
  </si>
  <si>
    <t>2212-4209</t>
  </si>
  <si>
    <t>10.1016/j.ijdrr.2020.101474</t>
  </si>
  <si>
    <t>WOS:000546981000019</t>
  </si>
  <si>
    <t>Casassus, S; Pérez, S; Osses, A; Marino, S</t>
  </si>
  <si>
    <t>Casassus, Simon; Perez, Sebastian; Osses, Axel; Marino, Sebastian</t>
  </si>
  <si>
    <t>Cooling in the shade of warped transition discs</t>
  </si>
  <si>
    <t>The mass of the gaseous reservoir in young circumstellar discs is a crucial initial condition for the formation of planetary systems, but estimates vary by orders of magnitude. In some discs with resolvable cavities, sharp inner disc warps cast two-sided shadows on the outer rings; can the cooling of the gas as it crosses the shadows bring constraints on its mass? The finite cooling time-scale should result in dust temperature decrements shifted ahead of the optical/IR shadows in the direction of rotation. However, some systems show temperature drops, while others do not. The depth of the drops and the amplitude of the shift depend on the outer disc surface density Sigma through the extent of cooling during the shadow crossing time, and also on the efficiency of radiative diffusion. These phenomena may bear observational counterparts, which we describe with a simple D model. An application to the HD 142527 disc suggests an asymmetry in its shadows, and predicts a greater than or similar to 10 deg shift for a massive gaseous disc, with peak Sigma &gt; 8.3 g cm(-) (2). Another application to the DoAr 44 disc limits the peak surface density to Sigma &lt; 13 g cm(-2).</t>
  </si>
  <si>
    <t>Marino, Sebastian/AFP-2400-2022; Casassus, Simon/I-8609-2016; Pérez, Sebastián/AAS-5857-2020; Osses, Axel/AAG-4825-2019; Osses, Axel/I-6366-2016</t>
  </si>
  <si>
    <t>Marino, Sebastian/0000-0002-5352-2924; Perez, Sebastian/0000-0003-2953-755X; Osses, Axel/0000-0001-6833-4064; Casassus, Simon/0000-0002-0433-9840</t>
  </si>
  <si>
    <t>L58</t>
  </si>
  <si>
    <t>L62</t>
  </si>
  <si>
    <t>10.1093/mnrasl/slz059</t>
  </si>
  <si>
    <t>WOS:000482696100015</t>
  </si>
  <si>
    <t>Carreño, A; Gacitúa, M; Molins, E; Arratia-Pérez, R</t>
  </si>
  <si>
    <t>Carreno, Alexander; Gacitua, Manuel; Molins, Elies; Arratia-Perez, Ramiro</t>
  </si>
  <si>
    <t>X-ray diffraction and relativistic DFT studies on the molecular biomarker fac-Re(CO)3(4,4'-dimethyl-2,2'-bpy)(E-2-((3-amino-pyridin-4-ylimino)-methyl)-4,6-di-tert-butylphenol)(PF6)</t>
  </si>
  <si>
    <t>CHEMICAL PAPERS</t>
  </si>
  <si>
    <t>The fac-[Re(CO)(3)(4,4'-dimethyl-2,2'-bpy)L]PF6 (C2) complex have been recently reported as a useful fluorophore for walled cells (yeasts and bacteria) without the need of antibodies. In the present work, we report the structural parameters of the C2 complex, where L is an ancillary ligand E-2-((3-amino-pyridin-4-ylimino)-methyl)-4,6-di-tert-butylphenol, which presents an intramolecular hydrogen bond (IHB). The C2 crystals were obtained by slow evaporation of a dichloromethane solution, yielding yellow blocks. The crystal structure solution of the complex C2 showed a monoclinic crystal system and discrete organometallic cations and PF6 (-) as the counter ion, with partially occupation of solvent molecules (CH2Cl2). The complex C2 having a fac-geometry of the three carbonyl ligands, possesses the following bond distances Re-C(CO): Re1-C24, 1.87(8) ; Re1-C25, 1.58(12) and Re1-C26, 1.90(8) . The distorted octahedral geometry observed in the C2 structure is due to the C(CO)-Re1-N1(imine) angle for the three carbonyls that are significantly different. The Re-N1 bond distance of 2.16(4) corresponds to the nitrogen coordination of the pyridine fragment of the ancillary ligand L, completing the octahedral geometry. Here we complement the C2 descriptions due to the considerable biological interest of its use as d(6) metal fluorophore in walled cells (i.e., yeast and bacteria). DFT calculations were performed including scalar and spin-orbit (SO) relativistic effects with agree often reasonably well with experimental X-ray data. Through frequency calculations we estimated the strength of the intramolecular hydrogen bond (with a OH center dot center dot center dot N distance of 2.621 ) accounting for near 40 kcal/mol, indicating that is a strong hydrogen bond which contributes to the molecular stability. In addition, we observed the L electron-withdrawing effect on the rhenium core. The agreement between the observed and computed bond distances and angles brings confidence on the choice of the computed models and level of theory. These kind of Rhenium (I) complexes designed to develop novel fluorophores suitable for biological applications.</t>
  </si>
  <si>
    <t>Gacitua, Manuel/R-8868-2019; Carreno, Alexander/I-6374-2019; Molins, Elies/C-5074-2008; Arratia-Perez, Ramiro/AAG-2648-2019</t>
  </si>
  <si>
    <t>Molins, Elies/0000-0003-1012-0551; Carreno, Alexander/0000-0001-9733-8224; Gacitua, Manuel/0000-0003-0807-2677</t>
  </si>
  <si>
    <t>0366-6352</t>
  </si>
  <si>
    <t>1336-9075</t>
  </si>
  <si>
    <t>10.1007/s11696-017-0196-6</t>
  </si>
  <si>
    <t>WOS:000412975400021</t>
  </si>
  <si>
    <t>García-Hermoso, A; Esteban-Cornejo, I; Olloquequi, J; Ramírez-Vélez, R</t>
  </si>
  <si>
    <t>Garcia-Hermoso, Antonio; Esteban-Cornejo, Irene; Olloquequi, Jordi; Ramirez-Velez, Robinson</t>
  </si>
  <si>
    <t>Cardiorespiratory Fitness and Muscular Strength as Mediators of the Influence of Fatness on Academic Achievement</t>
  </si>
  <si>
    <t>Objective To examine the combined association of fatness and physical fitness components (cardiorespiratory fitness [CRF] and muscular strength) with academic achievement, and to determine whether CRF and muscular strength are mediators of the association between fatness and academic achievement in a nationally representative sample of adolescents from Chile. Study design Data were obtained for a sample of 36 870 adolescents (mean age, 13.8 years; 55.2% boys) from the Chilean System for the Assessment of Educational Quality test for eighth grade in 2011, 2013, and 2014. Physical fitness tests included CRF (20-m shuttle run) and muscular strength (standing long jump). Weight, height, and waist circumference were assessed, and body mass index and waist circumference-to-height ratio were calculated. Academic achievement in language and mathematics was assessed using standardized tests. The PROCESS script developed by Hayes was used for mediation analysis. Results Compared with unfit and high-fatness adolescents, fit and low-fatness adolescents had significantly higher odds for attaining high academic achievement in language and mathematics. However, in language, unfit and lowfatness adolescents did not have significantly higher odds for obtaining high academic achievement. Those with high fatness had higher academic achievement (both language and mathematics) if they were fit. Linear regression models suggest a partial or full mediation of physical fitness in the association of fatness variables with academic achievement. Conclusions CRF and muscular strength may attenuate or even counteract the adverse influence of fatness on academic achievement in adolescents.</t>
  </si>
  <si>
    <t>Olloquequi, Jordi/ITR-9680-2023; Esteban-Cornejo, Irene/AGR-6997-2022; García-Hermoso, Antonio/ADU-2591-2022; Garcia-Hermoso, Antonio/P-1857-2017; Ramirez-Velez, Robinson/D-5311-2016</t>
  </si>
  <si>
    <t>Garcia-Hermoso, Antonio/0000-0002-1397-7182; Ramirez-Velez, Robinson/0000-0003-3075-6960; Olloquequi, Jordi/0000-0002-6492-2739</t>
  </si>
  <si>
    <t>10.1016/j.jpeds.2017.04.037</t>
  </si>
  <si>
    <t>WOS:000408221700025</t>
  </si>
  <si>
    <t>Calderon, R; Palma, P; Godoy, F; Escudey, M</t>
  </si>
  <si>
    <t>Calderon, Raul; Palma, Paulina; Godoy, Felix; Escudey, Mauricio</t>
  </si>
  <si>
    <t>Sorption and fate of perchlorate in arid soils</t>
  </si>
  <si>
    <t>ARCHIVES OF AGRONOMY AND SOIL SCIENCE</t>
  </si>
  <si>
    <t>The mobility of perchlorate in soils depends on several factors, including soil mineralogy and the presence of other oxyanions that compete with perchlorate for the retention sites. Currently, there are no studies that evaluate the mobility of perchlorate in arid soils. The present study evaluated the mobility of ClO4- in three arid soils, Canchones, Humberstone and Pica, exposed to two ClO4- concentration ranges and different ionic strengths. In Humberstone (non-agricultural) and Pica (agricultural) soils, the sorption processes were not important for both concentration ranges, while Canchones soil (agricultural) showed a decrease in perchlorate concentration associated with microbial degradation processes. The increase of medium ionic strength by addition of Ca(NO3)(2) only had an important effect on Humberstone soil, associated with the presence of kaolinite and muscovite (variable charge). A competition effect was observed between perchlorate, nitrate and other anions presents in solution by absorption sites generated from variable charge mineral and calcium. Considering the quite low sorption capacity of the soils and the high solubility, perchlorate can be absorbed by fruit and vegetables of export in concentrations over the healthy levels established by international organization.</t>
  </si>
  <si>
    <t>Godoy, Felix./D-8185-2013; Calderon, Raul/AAP-5930-2020; Godoy, Felix/B-7272-2018</t>
  </si>
  <si>
    <t>Calderon Araya, Raul Alexis/0000-0002-1094-9661; Godoy, Felix/0000-0002-7614-8023</t>
  </si>
  <si>
    <t>0365-0340</t>
  </si>
  <si>
    <t>1476-3567</t>
  </si>
  <si>
    <t>10.1080/03650340.2016.1145793</t>
  </si>
  <si>
    <t>WOS:000381016500008</t>
  </si>
  <si>
    <t>Enrione, J; Díaz-Calderón, P; Weinstein-Oppenheimer, CR; Sánchez, E; Fuentes, MA; Brown, DI; Herrera, H; Acevedo, CA</t>
  </si>
  <si>
    <t>Enrione, Javier; Diaz-Calderon, Paulo; Weinstein-Oppenheimer, Caroline R.; Sanchez, Elizabeth; Fuentes, Miguel A.; Brown, Donald I.; Herrera, Hugo; Acevedo, Cristian A.</t>
  </si>
  <si>
    <t>Designing a gelatin/chitosan/hyaluronic acid biopolymer using a thermophysical approach for use in tissue engineering</t>
  </si>
  <si>
    <t>BIOPROCESS AND BIOSYSTEMS ENGINEERING</t>
  </si>
  <si>
    <t>Cell culture on biopolymeric scaffolds has provided treatments for tissue engineering. Biopolymeric mixtures based on gelatin (Ge), chitosan (Ch) and hyaluronic acid (Ha) have been used to make scaffolds for wound healing. Thermal and physical properties of scaffolds prepared with Ge, Ch and Ha were characterized. Thermal characterization was made by using differential scanning calorimetry (DSC), and physical characterization by gas pycnometry and scanning electron microscopy. The effects of Ge content and cross-linking on thermophysical properties were evaluated by means of a factorial experiment design (central composite face centered). Gelatin content was the main factor that affects the thermophysical properties (microstructure and thermal transitions) of the scaffold. The effect of Ge content of the scaffolds for tissue engineering was studied by seeding skin cells on the biopolymers. The cell attachment was not significantly modified at different Ge contents; however, the cell growth rate increased linearly with the decrease of the Ge content. This relationship together with the thermophysical characterization may be used to design scaffolds for tissue engineering.</t>
  </si>
  <si>
    <t>Weinstein-Oppenheimer, Caroline/ADV-2270-2022; Fuentes, Miguel/AAN-7676-2020; Enrione, Javier/I-9225-2014; Acevedo, Cristian/D-5133-2011</t>
  </si>
  <si>
    <t>Diaz-Calderon, Paulo/0000-0002-8375-2210; Enrione, Javier/0000-0002-3916-6775; Weinstein-Oppenheimer, Caroline Ruth/0000-0001-5435-2587</t>
  </si>
  <si>
    <t>1615-7591</t>
  </si>
  <si>
    <t>1615-7605</t>
  </si>
  <si>
    <t>10.1007/s00449-013-0971-x</t>
  </si>
  <si>
    <t>WOS:000326942400016</t>
  </si>
  <si>
    <t>Ah-Hen, K; Zambra, CE; Aguëro, JE; Vega-Gálvez, A; Lemus-Mondaca, R</t>
  </si>
  <si>
    <t>Ah-Hen, Kong; Zambra, Carlos E.; Aguero, Juan E.; Vega-Galvez, Antonio; Lemus-Mondaca, Roberto</t>
  </si>
  <si>
    <t>Moisture Diffusivity Coefficient and Convective Drying Modelling of Murta (Ugni molinae Turcz): Influence of Temperature and Vacuum on Drying Kinetics</t>
  </si>
  <si>
    <t>FOOD AND BIOPROCESS TECHNOLOGY</t>
  </si>
  <si>
    <t>In this study, murta (Ugni molinae Turcz) or murtilla berries were dried in single layer at air temperatures of 50, 60 and 70 A degrees C under vacuum and atmospheric pressure conditions. The effect of drying air temperature and vacuum on the basic dehydration characteristics of murta was determined. For the kinetic modelling, ten mathematical expressions were fitted to the experimental data. Kinetic parameters and diffusion coefficients as evaluated by an Arrhenius-type equation, showed temperature dependency. Fick's second law was used to calculate the effective moisture diffusivity that varied from 3.10 to 11.27 x 10(-10) m(2)/s and from 5.50 to 11.30 x 10(-10) m(2)/s with activation energy values of 59.27 and 34.30 kJ/mol for atmospheric pressure and vacuum drying, respectively. According to the statistical tests applied, the Midilli-KuO &lt;&lt; uk model obtained the best-fit quality on experimental data, followed closely by the Weibull distribution model, the Page and the modified Page models.</t>
  </si>
  <si>
    <t>Vega-Galvez, Antonio/F-1089-2015; Ah-Hen, Kong/D-2591-2011; Lemus-Mondaca, Roberto/E-8348-2017</t>
  </si>
  <si>
    <t>Ah-Hen, Kong Shun/0000-0003-4595-0707; Lemus-Mondaca, Roberto/0000-0002-1252-2573; Vega-Galvez, Antonio/0000-0001-9991-6139</t>
  </si>
  <si>
    <t>1935-5130</t>
  </si>
  <si>
    <t>1935-5149</t>
  </si>
  <si>
    <t>10.1007/s11947-011-0758-5</t>
  </si>
  <si>
    <t>WOS:000315486400006</t>
  </si>
  <si>
    <t>Singh, DP; Sirota, B; Talpatra, S; Kohli, P; Rebholz, C; Aouadi, SM</t>
  </si>
  <si>
    <t>Singh, D. P.; Sirota, B.; Talpatra, S.; Kohli, P.; Rebholz, C.; Aouadi, S. M.</t>
  </si>
  <si>
    <t>Broom-like and flower-like heterostructures of silver molybdate through pH controlled self assembly</t>
  </si>
  <si>
    <t>Silver molybdate microrods are self-assembled into micron sized, broom-like and flower-like structures. Our investigations indicate that through a simple hydrothermal process, large scale production of such structure is possible. Using ammonium molybdate and silver nitrate solutions as precursors, we were able to show that the self assembled architectures were dependent on the pH of the starting precursor material. To understand the formation and destructions of the flower-like morphology, a systematic broad range (from acidic to basic) of pH-controlled experiments were performed and its influence on the structure/microstructure of synthesized materials was investigated. Scanning electron microscopy studies revealed that the morphology and microstructure of the products varied significantly by changing pH values from 3 to 8 during mixing of the reactants. pH = 3 and 4 resulted in the self assembly of monoclinic Ag-2(Mo2O7) microrods into broom-like structures, whereas pH = 5 resulted into the flower-like morphology of mixed phase of monoclinic and triclinic Ag2Mo2O7. We also found that increasing the pH after a certain threshold value (for example pH &gt; 6) resulted in total collapse of the flower-like morphology. Further increase of the pH to 7 and 8 resulted, the formation of microparticles of Ag2MoO4. A tentative scheme based on the pH-driven evolution of the self-assembly has been given to explain the formation of the observed heterostructures. Preliminary electrical characterization of thin films of the flower-like structures rendered non-linear current-voltage (I-V) responses. We also observed a strong hysteresis in the I-V responses of the flower-like structures developed under high bias conditions.</t>
  </si>
  <si>
    <t>S., S/AAC-8093-2020; Rebholz, Claus/AAF-4970-2020; SINGH, DINESH/A-2509-2011</t>
  </si>
  <si>
    <t>Rebholz, Claus/0000-0001-5124-2948; SINGH, DINESH/0000-0002-2893-7749</t>
  </si>
  <si>
    <t>10.1007/s11051-012-0781-0</t>
  </si>
  <si>
    <t>WOS:000302641000023</t>
  </si>
  <si>
    <t>Rojas, P; Akrouh, A; Eisenman, LN; Mennerick, S</t>
  </si>
  <si>
    <t>Rojas, Patricio; Akrouh, Alejandro; Eisenman, Lawrence N.; Mennerick, Steven</t>
  </si>
  <si>
    <t>Differential Effects of Axon Initial Segment and Somatodendritic GABAA Receptors on Excitability Measures in Rat Dentate Granule Neurons</t>
  </si>
  <si>
    <t>JOURNAL OF NEUROPHYSIOLOGY</t>
  </si>
  <si>
    <t>Rojas P, Akrouh A, Eisenman LN, Mennerick S. Differential effects of axon initial segment and somatodendritic GABA(A) receptors on excitability measures in rat dentate granule neurons. J Neurophysiol 105: 366-379, 2011. First published November 10, 2010; doi:10.1152/jn.00165.2010. GABA(A) receptors are found on the somatodendritic compartment and on the axon initial segment of many principal neurons. The function of axonal receptors remains obscure, although it is widely assumed that axonal receptors must have a strong effect on excitability. We found that activation of GABA(A) receptors on the dentate granule neuron axon initial segment altered excitability by depolarizing the voltage threshold for action potential initiation under conditions that minimally affected overall cell input resistance. In contrast, activation of somatic GABA(A) receptors strongly depressed the input resistance of granule neurons without affecting the voltage threshold of action potential initiation. Although these effects were observed over a range of intracellular chloride concentrations, average voltage threshold was unaffected when E-C1 rendered GABA(A) axon initial segment responses explicitly excitatory. A compartment model of a granule neuron confirmed these experimental observations. Low ambient agonist concentrations designed to activate granule neuron tonic currents did not stimulate axonal receptors sufficiently to raise voltage threshold. Using excitatory postsynaptic current (EPSC)-like depolarizations, we show physiological consequences of axonal versus somatic GABA(A) receptor activation. With axonal inhibition, individual excitatory postsynaptic potentials (EPSPs) largely retained their amplitude and time course, but EPSPs that were suprathreshold under basal conditions failed to reach threshold with GABA(A) activation. By contrast, somatic inhibition depressed individual EPSPs because of strong shunting. Our results suggest that axonal GABA(A) receptors have a privileged effect on voltage threshold and that two major measures of neuronal excitability, voltage threshold and rheobase, are differentially affected by axonal and somatic GABA(A) receptor activation.</t>
  </si>
  <si>
    <t>Rojas, Patricio/ISS-1091-2023; Mennerick, Steven/O-2806-2017</t>
  </si>
  <si>
    <t>Mennerick, Steven/0000-0003-0868-0664</t>
  </si>
  <si>
    <t>0022-3077</t>
  </si>
  <si>
    <t>1522-1598</t>
  </si>
  <si>
    <t>10.1152/jn.00165.2010</t>
  </si>
  <si>
    <t>WOS:000286139900031</t>
  </si>
  <si>
    <t>Teillier, S; Urzúa, A; Niemeyer, HM</t>
  </si>
  <si>
    <t>Teillier, Sebastian; Urzua, Alejandro; Niemeyer, Hermann M.</t>
  </si>
  <si>
    <t>Chemical and morphological study of a putative hybrid between Luzuriaga radicans and L. polyphylla (Monocotyledoneae: Luzuriagaceae)</t>
  </si>
  <si>
    <t>NEW ZEALAND JOURNAL OF BOTANY</t>
  </si>
  <si>
    <t>Patterns of headspace volatiles and flavonoids extracts from flowers of sympatric populations of Luzuriaga radicans Ruiz et Pav. (Monocotyledoneae: Luzuriagaceae), L. polyphylla (Hook.) J.F.Macbr., and a Luzuriaga taxon which presented some morphological characters of one of the species and other characters of the other species, suggest that this latter taxon is a hybrid between the two accepted species.</t>
  </si>
  <si>
    <t>; Niemeyer, Hermann/I-1100-2013</t>
  </si>
  <si>
    <t>Urzua, Alejandro/0000-0003-2638-0921; Niemeyer, Hermann/0000-0003-2273-1608</t>
  </si>
  <si>
    <t>0028-825X</t>
  </si>
  <si>
    <t>1175-8643</t>
  </si>
  <si>
    <t>10.1080/00288250809509770</t>
  </si>
  <si>
    <t>WOS:000261136400004</t>
  </si>
  <si>
    <t>Günther, B; Morgado, E</t>
  </si>
  <si>
    <t>Body mass and body weight:: a dual reference system in biology</t>
  </si>
  <si>
    <t>The aim of the present study was to compare two different biological similarity criteria, one was based on body mass (M) as a theoretical reference system in accordance with the MLT-system of physics, while the other utilized the body weight (W) for the same purpose. The mass-dependent allometry should be applied during space flights as well as during fetal and newborn conditions of life, whereas the weight-dependence should prevail in earth-bound physiology. The above mentioned distinctions are relevant not only for the specific metabolic rates but also for numerous biological time functions, as for instance for the heart and respiratory rates of all mammals, whose allometric exponent is b = - 0.09 during fetal life, and b = - 0.25 in all adult specimens.</t>
  </si>
  <si>
    <t>WOS:000182074100006</t>
  </si>
  <si>
    <t>CamposVallette, MM; Diaz, G; Costamagna, JA; Vargas, JA; Poblete, VH</t>
  </si>
  <si>
    <t>Vibrational study and structure of N-(substituted 5-bromo hydroxyphenylaldiminate) Co(II) complexes</t>
  </si>
  <si>
    <t>SPECTROCHIMICA ACTA PART A-MOLECULAR AND BIOMOLECULAR SPECTROSCOPY</t>
  </si>
  <si>
    <t>The medium and far IR spectra of the title compounds are discussed and related to the molecular structure. The spectral analysis is supported by a normal coordinate treatment based on a simplified molecular model. Bands near 375 and 290 cm(-1) are assigned to the Co-O and Co-N stretching vibrations, respectively; the corresponding force constants are estimated to be 1.11 and 0.72 mdyn Angstrom(-1). The influence of the N-substitution in the Schiff base ligand on the structure of the bis[(N-R-1-hydroxy-2-phenylaldiminate)5Br]Co(II) complexes, where substituents R are hydrogen, ethyl, butyl, isopropyl, terbutyl, and phenyl, has been studied. Vibrational results indicate a different electronic distribution on the chelate ring for all the complexes. On the basis of these data and that obtained from magnetic susceptibilities and electronic spectroscopy a different geometrical distortion of the coordination sites in the series is inferred.</t>
  </si>
  <si>
    <t>0584-8539</t>
  </si>
  <si>
    <t>10.1016/0584-8539(95)01529-9</t>
  </si>
  <si>
    <t>WOS:A1996UH49100003</t>
  </si>
  <si>
    <t>Lee, DH; Rezende, LFM; Ferrari, G; Jeon, JY; Giovannucci, EL</t>
  </si>
  <si>
    <t>Lee, Dong Hoon; Rezende, Leandro F. M.; Ferrari, Gerson; Jeon, Justin Y.; Giovannucci, Edward L.</t>
  </si>
  <si>
    <t>Physical Activity, Dietary Inflammatory And Insulinemic Potential And Survival In Men With Prostate Cancer</t>
  </si>
  <si>
    <t>MAY 28-31, 2024</t>
  </si>
  <si>
    <t>Giovannucci, Edward/ADE-8028-2022; Ferrari, Gerson/HHM-6173-2022; Rezende, Leandro/C-1724-2012; Lee, Dong-Hoon/G-4959-2016</t>
  </si>
  <si>
    <t>WOS:001315123203306</t>
  </si>
  <si>
    <t>Sáez, BD; Contreras, PE</t>
  </si>
  <si>
    <t>Saez, Bastian Diaz; Contreras, Patricio Escalona</t>
  </si>
  <si>
    <t>Bouncing pNGB dark matter via a fermion dark matter</t>
  </si>
  <si>
    <t>JOURNAL OF COSMOLOGY AND ASTROPARTICLE PHYSICS</t>
  </si>
  <si>
    <t>In addition to the Standard Model, the introduction of a singlet complex scalar field that acquires vacuum expectation value may give rise to a cosmologically stable pseudoNambu-Goldstone boson (pNGB), a suitable dark matter (DM) candidate. This work extends this scenario by including a second cosmologically stable particle: a fermion singlet. The pNGB and the new fermion can be regarded as DM candidates simultaneously, both interacting with the Standard Model through Higgs portals via two non -degenerate Higgs bosons. We explore the thermal freeze -out of this scenario, with particular emphasis on the increasing yield of the pNGB before it completely decouples (recently called Bouncing DM ). We test the model under collider bounds, relic abundance, and direct detection, and we explore some indirect detection observables today.</t>
  </si>
  <si>
    <t>Diaz, Bastian/IAQ-2272-2023</t>
  </si>
  <si>
    <t>Escalona Contreras, Patricio/0000-0002-4476-0365</t>
  </si>
  <si>
    <t>1475-7516</t>
  </si>
  <si>
    <t>10.1088/1475-7516/2024/03/010</t>
  </si>
  <si>
    <t>WOS:001196381300007</t>
  </si>
  <si>
    <t>Mariño, C; Serafini, D; Basbus, J; Alonso, JA; Troncoso, L</t>
  </si>
  <si>
    <t>Marino, Carlos; Serafini, Daniel; Basbus, Juan; Alonso, Jose Antonio; Troncoso, Loreto</t>
  </si>
  <si>
    <t>Structural and Electrical Characterization of LaSrAl1-xMgxO4-δ Layered Perovskites Obtained by Mechanical Synthesis</t>
  </si>
  <si>
    <t>This work presents the structural and electrical characterization of K2NiF4-type layered perovskites of LaSrAl1-xMgxO4-delta composition to be used as oxide-ion electrolytes for a solid-oxide fuel cell (SOFC). These perovskites were prepared by mechano-chemical synthesis (ball milling), an alternative to traditional synthesis methods such as citrate-nitrates and solid-state reaction. With these methods, two things are avoided: first, the use of nitrate salts, which are more environmentally harmful than oxide precursors, and second, it saves the series of long thermal treatments associated with solid-state reactions. After grinding the precursors, nanometric particles were obtained with a combination of crystalline regions and amorphous regions; this effect was determined by XRD and TEM, showing that Mg has a positive effect on the phase formation by only mechanical synthesis. R2C4: After sintering, it was found by XRD that the sample x = 0.1 only presents the diffraction peaks corresponding to the desired phase, which shows a phase purity greater than 97%, even higher than that of the standard undoped sample. For x = 0.2 and 0.3, there was a segregation of impurities, possibly by the local migration of La and Sr heavy cations; this was determined by SEM and EDS. The electrical characterization of the sintered pellets was carried out by electrochemical impedance spectroscopy, which determined that the incorporation of Mg in the structure improves the ionic conductivity by three orders of magnitude, obtaining conductivities of 1.6 mS/cm at 900 degrees C for x = 0.2. Although the improvement in conductivity is considerable, many challenges such as densification, the segregation of impurities, and the study of mechanical and thermal properties must be carried out on these materials to endorse them as solid electrolytes in SOFC.</t>
  </si>
  <si>
    <t>Velasquez, Carlos/AAK-8579-2021; Alonso, Jose Antonio/A-5245-2011</t>
  </si>
  <si>
    <t>Alonso, Jose Antonio/0000-0001-5329-1225</t>
  </si>
  <si>
    <t>10.3390/ma16247564</t>
  </si>
  <si>
    <t>WOS:001132220300001</t>
  </si>
  <si>
    <t>Sarapuu, A; Lilloja, J; Akula, S; Zagal, JH; Specchia, S; Tammeveski, K</t>
  </si>
  <si>
    <t>Sarapuu, Ave; Lilloja, Jaana; Akula, Srinu; Zagal, Jose H.; Specchia, Stefania; Tammeveski, Kaido</t>
  </si>
  <si>
    <t>Recent Advances in Non-Precious Metal Single-Atom Electrocatalysts for Oxygen Reduction Reaction in Low-Temperature Polymer-Electrolyte Fuel Cells</t>
  </si>
  <si>
    <t>CHEMCATCHEM</t>
  </si>
  <si>
    <t>Fuel cells have emerged as a promising clean electrochemical energy technology with a great potential in various sectors, including transportation and power generation. However, the high cost and scarcity of the noble metals currently used to synthesise electrocatalysts for low-temperature fuel cells has hindered their widespread commercialisation. In recent decades, the development of non-precious metal electrocatalysts for the cathodic oxygen reduction reaction (ORR) have gained significant attention. Among those, electrocatalysts with atomically dispersed active sites, referred to as single-atom catalysts (SACs), are gaining more interest. Nanocarbon materials containing single transition metal atoms coordinated to nitrogen atoms are active electrocatalysts for the ORR in both acidic and alkaline conditions and thus have a great promise to be utilised as non-precious metal cathode electrocatalysts in low-temperature fuel cells. This review article provides an overview of the recent advancements in the utilisation of transition metal-based SACs in proton exchange membrane fuel cells (PEMFCs) and anion exchange membrane fuel cells (AEMFCs). We highlight the main strategies and synthetic approaches for tailoring the properties of SACs to enhance their ORR activity and durability. Based on the already achieved results, it is evident that SACs indeed could be suitable for the cathode of the low-temperature fuel cells. Single-Atom Electrocatalysts for low-temperature fuel cells: This review summarises the recent advancements in the utilisation of transition metal-based single-atom catalysts in proton exchange membrane fuel cells (PEMFCs) and anion exchange membrane fuel cells (AEMFCs). The main strategies for tailoring the properties of the M-N-C electrocatalysts to enhance their performance and durability are highlighted.image</t>
  </si>
  <si>
    <t>Tammeveski, Kaido/H-7789-2015; Specchia, Stefania/I-4487-2013; Lilloja, Jaana/JDW-2171-2023; zagal, jose/L-9648-2014; Sarapuu, Ave/I-3332-2015; AKULA, Dr. SRINU/AAS-7116-2020</t>
  </si>
  <si>
    <t>Sarapuu, Ave/0000-0001-9638-5192; Lilloja, Jaana/0009-0000-3225-4476; AKULA, Dr. SRINU/0000-0002-2569-8703; Tammeveski, Kaido/0000-0002-4144-4471</t>
  </si>
  <si>
    <t>1867-3880</t>
  </si>
  <si>
    <t>1867-3899</t>
  </si>
  <si>
    <t>NOV 22</t>
  </si>
  <si>
    <t>10.1002/cctc.202300849</t>
  </si>
  <si>
    <t>NOV 2023</t>
  </si>
  <si>
    <t>WOS:001091890600001</t>
  </si>
  <si>
    <t>Farías, C; Bayona-Roa, C; Castillo, E; Cabrales, RC; Reyes, R</t>
  </si>
  <si>
    <t>Farias, Catalina; Bayona-Roa, Camilo; Castillo, Ernesto; Cabrales, Roberto C.; Reyes, Ricardo</t>
  </si>
  <si>
    <t>Reduced order modeling of parametrized pulsatile blood flows: Hematocrit percentage and heart rate</t>
  </si>
  <si>
    <t>INTERNATIONAL JOURNAL OF ENGINEERING SCIENCE</t>
  </si>
  <si>
    <t>This paper numerically evaluates the accuracy and performance of a stabilized finite element Reduced Order Modelling (ROM) approach that is designed to simulate pulsatile blood flows. The method is able to estimate fluid flow parametric solutions of interest in hemodynamics by considering the hematocrit percentage (Hct%) and the heart rate (f(c)) as parameters. The method estimates off-trained parametric scenarios which have not been included in the training data set composing the ROM basis and that can adopt arbitrary values from specific patient conditions. The hematocrit percentages modifies the viscous properties of blood, which are incorporated into the problem physics through a power-law model. The hematocrit percentages are 5 = Hct% = 50, ranging from severe anemia to physiological values. The pulsatile flow condition is modeled via a Womersley function, with f(c)bpm (beats per minute) ranging between 60bpm = f(c) = 120bpm. These frequencies comprise physiological conditions of patients at rest and tachycardia or moderate exercise. Two-and-three-dimensional flows are simulated inside a representative geometry of a carotid artery, where the accuracy is tested by studying the effect of the number of components of the ROM approximating basis and the number of sampling points composing the training data set. The parametric calculation verifies that the proposed approach constitutes a valuable computational tool for simulating complex fluid flow hemodynamics and can be applied to clinical decision-making.</t>
  </si>
  <si>
    <t>farias, catalina/KEJ-6858-2024; Reyes, Ricardo/AAM-8497-2020; Castillo, Ernesto/D-1612-2015</t>
  </si>
  <si>
    <t>Reyes Sotomayor, Ricardo/0000-0003-0140-9564; Bayona Roa, Camilo/0000-0001-9508-1779; Cabrales, Roberto Carlos/0000-0003-4090-5413; Castillo, Ernesto/0000-0001-7013-6008</t>
  </si>
  <si>
    <t>0020-7225</t>
  </si>
  <si>
    <t>1879-2197</t>
  </si>
  <si>
    <t>10.1016/j.ijengsci.2023.103943</t>
  </si>
  <si>
    <t>WOS:001070449000001</t>
  </si>
  <si>
    <t>Oróstica, ML; Reuquen, P; Guajardo-Correa, E; Parada-Bustamante, A; Cardenas, H; Orihuela, PA</t>
  </si>
  <si>
    <t>Orostica, Maria L.; Reuquen, Patricia; Guajardo-Correa, Emanuel; Parada-Bustamante, Alexis; Cardenas, Hugo; Orihuela, Pedro A.</t>
  </si>
  <si>
    <t>Sperm utilize tumor necrosis factor alpha to shut down a 2-methoxyestradiol nongenomic pathway that accelerates oviductal egg transport in the rat</t>
  </si>
  <si>
    <t>REPRODUCTION</t>
  </si>
  <si>
    <t>In brief Mating shuts down the 2-methoxyestradiol (2ME) nongenomic pathway that accelerates oviductal egg transport in the rat. This study shows that sperm cells, but not vaginocervical stimulation, utilize TNF-alpha to shut down this 2ME nongenomic pathway. Abstract The transport of oocytes or embryos throughout the oviduct to the implantation site in the uterus is defined as egg transport. In the rat, 2-methoxyestradiol (2ME) accelerates egg transport through the oviduct via a nongenomic pathway. Mating is known to shut down this 2ME pathway and then trigger an estradiol genomic pathway that accelerates egg transport. Here, we tested whether intrauterine insemination (IUI) or vaginocervical stimulation (VCS) shuts down the 2ME nongenomic pathway that accelerates egg transport, and if these mating components require tumor necrosis factor alpha (TNF-alpha). Levels of TNF-alpha and the mRNA for TNF-alpha receptors were measured in the oviduct of IUI or VCS rats. The tissue distribution of TNF-alpha receptor proteins and the concentration of the mRNA for catechol-O-methyl transferase (Comt) and 2ME were also analyzed in the oviduct. Finally, we assessed whether 2ME accelerates egg transport in IUI or VCS rats previously treated with the TNF-alpha antagonist W9P9QY. Results show that IUI, but not VCS, increased TNF-alpha and their receptors in the oviduct. IUI and VCS did not change the tissue distribution of TNF-alpha receptors; however, both decreased the oviductal concentration of Comt and 2ME. IUI and VCS each blocked the 2ME-induced egg transport acceleration; however, only the IUI was antagonized by the TNF-alpha antagonist. We concluded that IUI and VCS inhibit the 2ME nongenomic pathway that accelerates egg transport; however, the vias of action are distinct, with a TNF-alpha increase on spermatozoa presence being required for the shutdown of the 2ME pathway.</t>
  </si>
  <si>
    <t>Parada-Bustamante, Alexis/I-1127-2013; Guajardo, Emanuel/LKL-0134-2024</t>
  </si>
  <si>
    <t>Guajardo-Correa, Emanuel/0000-0002-6091-6745; Orihuela, Pedro/0000-0002-4238-0932</t>
  </si>
  <si>
    <t>1470-1626</t>
  </si>
  <si>
    <t>1741-7899</t>
  </si>
  <si>
    <t>10.1530/REP-22-0289</t>
  </si>
  <si>
    <t>WOS:001031619300006</t>
  </si>
  <si>
    <t>Sun, TP; Alvarez-Novoa, F; Andrade, K; Gutiérrez, P; Gordillo, L; Cheng, X</t>
  </si>
  <si>
    <t>Sun, Ting-Pi; Alvarez-Novoa, Franco; Andrade, Klebbert; Gutierrez, Pablo; Gordillo, Leonardo; Cheng, Xiang</t>
  </si>
  <si>
    <t>Stress distribution and surface shock wave of drop impact</t>
  </si>
  <si>
    <t>NATURE COMMUNICATIONS</t>
  </si>
  <si>
    <t>Drop impact causes severe surface erosion, dictating many important natural, environmental and engineering processes and calling for substantial prevention and preservation efforts. Nevertheless, despite extensive studies on the kinematic features of impacting drops over the last two decades, the dynamic process that leads to the drop-impact erosion is still far from clear. Here, we develop a method of high-speed stress microscopy, which measures the key dynamic properties of drop impact responsible for erosion, i.e., the shear stress and pressure distributions of impacting drops, with unprecedented spatiotemporal resolutions. Our experiments reveal the fast propagation of self-similar noncentral stress maxima underneath impacting drops and quantify the shear force on impacted substrates. Moreover, we examine the deformation of elastic substrates under impact and uncover impact-induced surface shock waves. Our study opens the door for quantitative measurements of the impact stress of liquid drops and sheds light on the origin of low-speed drop-impact erosion. The dynamic process behind the low-speed drop-impact erosion remains challenging to understand. Cheng et al. develop a method of high-speed microscopy, revealing the fast propagation of self-similar stress maxima underneath impacting drops and the formation of surface waves on impacted substrates.</t>
  </si>
  <si>
    <t>Cheng, Xiang/G-5704-2017; Gutierrez, Pablo/F-7447-2016; GORDILLO, Leonardo/I-8215-2014</t>
  </si>
  <si>
    <t>Gutierrez, Pablo/0000-0002-4673-1656; Cheng, Xiang/0000-0002-2759-764X; GORDILLO, Leonardo/0000-0002-9516-1346; Andrade Corbalan, Klebbert/0009-0003-2503-1639</t>
  </si>
  <si>
    <t>2041-1723</t>
  </si>
  <si>
    <t>MAR 31</t>
  </si>
  <si>
    <t>10.1038/s41467-022-29345-x</t>
  </si>
  <si>
    <t>WOS:000777008300018</t>
  </si>
  <si>
    <t>Eyelade, AV; Espinoza, CM; Stepanova, M; Antonova, EE; Ovchinnikov, IL; Kirpichev, IP</t>
  </si>
  <si>
    <t>Eyelade, A. V.; Espinoza, C. M.; Stepanova, M.; Antonova, E. E.; Ovchinnikov, I. L.; Kirpichev, I. P.</t>
  </si>
  <si>
    <t>Influence of MHD Turbulence on Ion Kappa Distributions in the Earth's Plasma Sheet as a Function of Plasma β Parameter</t>
  </si>
  <si>
    <t>FRONTIERS IN ASTRONOMY AND SPACE SCIENCES</t>
  </si>
  <si>
    <t>The possible influence of MHD turbulence on the energy distributions of ions in the Earth's plasma sheet was studied using data taken by the THEMIS satellites. Turbulence levels were traced using eddy diffusion coefficients (D), of which we measured one for each Geocentric Solar Magnetospheric (GSM) coordinates every 12 min. Ion fluxes between 1.75 and 210.5 keV during the same time windows that correspond to mainly suprathermal populations were fitted to Kappa distribution functions, which approximate a Maxwellian distribution when the kappa-index (kappa) is large. We found that the distribution of the eddy diffusion coefficients is bimodal, independently of both the eddy diffusion component and the plasma beta (beta) parameter, which is defined as the ratio between plasma and magnetic pressures. The main peak corresponds to turbulent plasma flows with D &gt; 10(3) km(2) s(-1). In such cases, the impact of turbulence on the kappa index depends on the value of beta and also on the direction of the turbulent transport. For eddy diffusion perpendicular to the neutral sheet, the values of kappa decrease as D-zz increases for beta &lt; 2; while for higher values of beta, kappa increases with D-zz. For the other two directions, the values of kappa decrease as D increases. This last tendency is stronger for beta similar to 1 but almost null for beta similar to 10. The secondary peak in the distribution of D values might represent quasi-laminar flows forming part of very large vortices, correct detection and description of which is beyond the scope of this study.</t>
  </si>
  <si>
    <t>Eyelade, Adetayo/AAD-9716-2020; Kirpichev, Igor/HHM-2487-2022; Antonova, Elizaveta/A-2716-2012; Ovchinnikov, Ilya/B-1467-2014; Stepanova, Marina/D-6329-2011; Espinoza, Cristobal/U-4428-2017</t>
  </si>
  <si>
    <t>Antonova, Elizaveta/0000-0001-6980-3993; Ovchinnikov, Ilya/0000-0003-2509-8166; Stepanova, Marina/0000-0002-1053-3375; EYELADE, ADETAYO/0000-0002-2301-307X; Espinoza, Cristobal/0000-0003-2481-2348</t>
  </si>
  <si>
    <t>2296-987X</t>
  </si>
  <si>
    <t>MAR 23</t>
  </si>
  <si>
    <t>10.3389/fspas.2021.647121</t>
  </si>
  <si>
    <t>WOS:000637000500001</t>
  </si>
  <si>
    <t>García-Muñoz, F; Díaz-González, F; Corchero, C</t>
  </si>
  <si>
    <t>Garcia-Munoz, Fernando; Diaz-Gonzalez, Francisco; Corchero, Cristina</t>
  </si>
  <si>
    <t>A Mathematical Model for the Scheduling of Virtual Microgrids Topology into an Active Distribution Network</t>
  </si>
  <si>
    <t>This article presents a method based on a mathematical optimization model for the scheduling operation of a distribution network (DN). The contribution of the proposed method is that it permits the configuration and operation of a DN as a set of virtual microgrids with a high penetration level of distributed generation (DG) and battery energy storage systems (BESS). The topology of such virtual microgrids are modulated in time in response to grid failures, thus minimizing load curtailment, and maximizing local renewable resource and storage utilization as well. The formulation provides the load reduced by bus to balance the system at every hour and the global probability to present energy not supplied (ENS). Furthermore, for every bus, a flexibility load response range is considered to avoid its total load curtailment for small load reductions. The model has been constructed considering a linear version of the AC optimal power flow (OPF) constraints extended for multiple periods, and it has been tested in a modified version of the IEEE 33-bus radial distribution system considering four different scenarios of 72 h, where the global energy curtailment has been 27.9% without demand-side response (DSR) and 10.4% considering a 30% of flexibility load response. Every scenario execution takes less than a minute, making it appropriate for distribution system operational planning.</t>
  </si>
  <si>
    <t>García-Muñoz, Fernando/AAX-9963-2020; Corchero, Cristina/G-5229-2013</t>
  </si>
  <si>
    <t>Garcia-Munoz, Fernando/0000-0001-9376-4357; Diaz-Gonzalez, Francisco/0000-0002-1912-3014</t>
  </si>
  <si>
    <t>10.3390/app10207199</t>
  </si>
  <si>
    <t>WOS:000585361900001</t>
  </si>
  <si>
    <t>Peralta, FA; Huidobro-Toro, JP</t>
  </si>
  <si>
    <t>Peralta, Francisco Andres; Huidobro-Toro, J. Pablo</t>
  </si>
  <si>
    <t>New Insights of the Zn(II)-Induced P2 x 4R Positive Allosteric Modulation: Role of Head Receptor Domain SS2/SS3, E160 and D170</t>
  </si>
  <si>
    <t>P2 x 4R is allosterically modulated by Zn(II), and despite the efforts to understand the mechanism, there is not a consensus proposal; C132 is a critical amino acid for the Zn(II) modulation, and this residue is located in the receptor head domain, forming disulfide SS3. To ascertain the role of the SS2/SS3 microenvironment on the rP2 x 4R Zn(II)-induced allosteric modulation, we investigated the contribution of each individual SS2/SS3 cysteine plus carboxylic acid residues E118, E160, and D170, located in the immediate vicinity of the SS2/SS3 disulfide bonds. To this aim, we combined electrophysiological recordings with protein chemical alkylation using thiol reagents such as N-ethylmaleimide or iodoacetamide, and a mutation of key amino acid residues together with P2 x 4 receptor bioinformatics. P2 x 4R alkylation in the presence of the metal obliterated the allosteric modulation, a finding supported by the site-directed mutagenesis of C132 and C149 by a corresponding alanine. In addition, while E118Q was sensitive to Zn(II) modulation, the wild type receptor, mutants E160Q and D170N, were not, suggesting that these acid residues participate in the modulatory mechanism. Poisson-Boltzmann analysis indicated that the E160Q and D170N mutants showed a shift towards more positive electrostatic potential in the SS2/SS3 microenvironment. Present results highlight the role of C132 and C149 as putative Zn(II) ligands; in addition, we infer that acid residues E160 and D170 play a role attracting Zn(II) to the head receptor domain.</t>
  </si>
  <si>
    <t>Peralta, Francisco/0000-0002-0727-1706</t>
  </si>
  <si>
    <t>10.3390/ijms21186940</t>
  </si>
  <si>
    <t>WOS:000580204400001</t>
  </si>
  <si>
    <t>Aedo-Muñoz, E; Contreras, VT; Reyes, CR; Wimmer, CH; Brito, C; Miarka, B; Bucheli, RA; Dal Bello, F; Valenzuela, TH</t>
  </si>
  <si>
    <t>Aedo-Munoz, Esteban; Tamayo Contreras, Valentin; Rojas Reyes, Cristian; Hernandez Wimmer, Cristian; Brito, Ciro; Miarka, Bianca; Arghoty Bucheli, Rodrigo; Dal Bello, Fabio; Herrera Valenzuela, Tomas</t>
  </si>
  <si>
    <t>POWER AND ELECTROMYOGRAPHIC ACTIVITY IN COLLEGE VOLLEYBALL PLAYERS</t>
  </si>
  <si>
    <t>PENSAR EN MOVIMIENTO-REVISTA DE CIENCIAS DEL EJERCICIO Y LA SALUD</t>
  </si>
  <si>
    <t>The purpose of this study was to determine the relative power of lower limbs and the surface electromyographic activity (EMG) of the gluteus maximus (GM), vastus medialis (VM), vastus lateralis (VL), and lateral gastrocnemius (GASLAT) during a countermovement jump (CMJ) and an Abalakov jump (ABK). Twenty-four college volleyball players were divided into two equal groups assigned by division: Group 1 (G1), comprised of volleyball players from the 1st university division, and Group 2 (G2), comprised of volleyball players from the 2nd university division. Both groups took two simultaneous EMG and power assessments. For the power assessment, a 2D recording system was used to track the greater trochanter with a 250fps camera. The video was analyzed with the Tracker 4.96 software to obtain absolute power values. The EMG activity was measured using a Delsys Trigno (R) electromyograph in the GM, VM, VL, and GASLAT muscles. Significant differences were found in %Peak(RMS) of VL (G(1)=65.2 square 10.2; G(2)=54.0 +/- 11.7 %Peak(RMS); p&lt;0.05) for CMJ, as well as in VL (G(1)=69.6 +/- 17.3; G(2)=55.1 +/- 12.3 %Peak(RMS); p&lt;0.05) for ABK and GASLAT (G(1)=61.4 +/- 13.4; G(2)=50.6 +/- 7.2 %Peak(RMS); p&lt;0.05). Regarding relative power, no significant differences were present between CMJ (p&gt; 0.05) and ABK (p&gt;0.05).</t>
  </si>
  <si>
    <t>HERRERA, TOMAS/AAH-3739-2019; Brito, Ciro/ABH-2245-2020; Aedo-Muñoz, Esteban/R-5623-2019</t>
  </si>
  <si>
    <t>1409-0724</t>
  </si>
  <si>
    <t>1659-4436</t>
  </si>
  <si>
    <t>e37753</t>
  </si>
  <si>
    <t>10.15517/pensarmov.v18i1.37753</t>
  </si>
  <si>
    <t>WOS:000577319700005</t>
  </si>
  <si>
    <t>Cárdenas-López, FA; Sanz, M; Retamal, JC; Solano, E</t>
  </si>
  <si>
    <t>Cardenas-Lopez, Francisco A.; Sanz, Mikel; Retamal, Juan Carlos; Solano, Enrique</t>
  </si>
  <si>
    <t>Enhanced Quantum Synchronization via Quantum Machine Learning</t>
  </si>
  <si>
    <t>ADVANCED QUANTUM TECHNOLOGIES</t>
  </si>
  <si>
    <t>The quantum synchronization between a pair of two-level systems inside two coupled cavities is studied. By using a digital-analog decomposition of the master equation that rules the system dynamics, it is shown that this approach leads to quantum synchronization between both two-level systems. Moreover, in this digital-analog block decomposition, the fundamental elements of a quantum machine learning protocol can be identified, in which the agent and the environment (learning units) interact through a mediating system, namely, the register. If the algorithm can be additionally equipped with a classical feedback mechanism, which consists of projective measurements in the register, reinitialization of the register state, and local conditional operations on the agent and environment subspace, a powerful and flexible quantum machine learning protocol emerges. Indeed, numerical simulations show that this protocol enhances the synchronization process, even when every subsystem experiences different loss/decoherence mechanisms, and gives the flexibility to choose the synchronization state. Finally, an implementation is proposed, based on current technologies in superconducting circuits.</t>
  </si>
  <si>
    <t>Retamal, Juan/G-6425-2010; Solano, Enrique/C-2895-2017; Sanz, Mikel/W-8637-2019; Cárdenas López, Francisco/IXN-4622-2023; Sanz, Mikel/A-8731-2019</t>
  </si>
  <si>
    <t>Sanz, Mikel/0000-0003-1615-9035</t>
  </si>
  <si>
    <t>2511-9044</t>
  </si>
  <si>
    <t>7-8</t>
  </si>
  <si>
    <t>UNSP 1800076</t>
  </si>
  <si>
    <t>10.1002/qute.201800076</t>
  </si>
  <si>
    <t>WOS:000548079200003</t>
  </si>
  <si>
    <t>Navarro-Lisboa, R; Herrera, C; Zúñiga, RN; Enrione, J; Guzmán, F; Matiacevich, S; Astudillo-Castro, C</t>
  </si>
  <si>
    <t>Navarro-Lisboa, Rosa; Herrera, Camila; Zuniga, Rommy N.; Enrione, Javier; Guzman, Fanny; Matiacevich, Silvia; Astudillo-Castro, Carolina</t>
  </si>
  <si>
    <t>Quinoa proteins (Chenopodium quinoa Willd.) fractionated by ultrafiltmtion using ceramic membranes: The role of pH on physicochemical and conformational properties</t>
  </si>
  <si>
    <t>FOOD AND BIOPRODUCTS PROCESSING</t>
  </si>
  <si>
    <t>Ultrafiltration is a technique used for the separation and recovery of proteins according to their molecular weight. The efficiency of the process can be controlled by control of the operational parameters, which can affect the structure and functionality of proteins in the final product. The aim of this study was to evaluate how the ultrafiltration process using ceramic membranes affects the physicochemical and conformational characteristics of quinoa protein fractions at two pHs above the isoelectric point of quinoa protein extracts. The results showed differences in permeate flux, reaching a volume concentration factor of three at 600 min at pH 7.0 and 300 min at pH 9.5. Thus, pH was a very important factor to control flux and membrane fouling. Higher protein concentration in the concentrate were detected at pH 9.5 (10.4 +/- 0.2 mg/mL), whereas at pH 7.0, only 7.7 +/- 0.1 mg/mL of recovered protein was obtained. In addition, differences in quinoa zeta potential and amino acid composition were found for the two pHs. The ultrafiltration process considerably affected the spatial configuration of the protein at pH 7.0, with a structured a-helix for the concentrate. The concentrates showed lower denaturation enthalpy values than the initial and permeate fractions at both pHs, indicating greater structural modification as result of ultrafiltration. In conclusion, pH is a critical variable affecting the physicochemical and conformational characteristics of ultrafiltrated quinoa proteins. It is important to evaluate the impact of the changes from ultrafiltration on functional properties for the development of novel food ingredients. (C) 2016 Institution of Chemical Engineers. Published by Elsevier B.V. All rights reserved.</t>
  </si>
  <si>
    <t>Enrione, Javier/I-9225-2014; Guzman, Fanny/K-5592-2013</t>
  </si>
  <si>
    <t>Astudillo-Castro, Carolina/0000-0001-8568-8809; Zuniga, Rommy/0000-0002-4195-8085; Enrione, Javier/0000-0002-3916-6775</t>
  </si>
  <si>
    <t>0960-3085</t>
  </si>
  <si>
    <t>1744-3571</t>
  </si>
  <si>
    <t>10.1016/j.fbp.2016.11.005</t>
  </si>
  <si>
    <t>WOS:000397371500002</t>
  </si>
  <si>
    <t>Curilem, M; Huenupan, F; Beltrán, D; Martin, CS; Fuentealba, G; Franco, L; Cardona, C; Acuña, G; Chacón, M; Khan, MS; Yoma, NB</t>
  </si>
  <si>
    <t>Curilem, Millaray; Huenupan, Fernando; Beltran, Daniel; San Martin, Cesar; Fuentealba, Gustavo; Franco, Luis; Cardona, Carlos; Acuna, Gonzalo; Chacon, Max; Khan, M. Salman; Becerra Yoma, Nestor</t>
  </si>
  <si>
    <t>Pattern recognition applied to seismic signals of Llaima volcano (Chile): An evaluation of station-dependent classifiers</t>
  </si>
  <si>
    <t>JOURNAL OF VOLCANOLOGY AND GEOTHERMAL RESEARCH</t>
  </si>
  <si>
    <t>Automatic pattern recognition applied to seismic signals from volcanoes may assist seismic monitoring by reducing the workload of analysts, allowing them to focus on more challenging activities, such as producing reports, implementing models, and understanding volcanic behaviour. In a previous work, we proposed a structure for automatic classification of seismic events in Llaima volcano, one of the most active volcanoes in the Southern Andes, located in the Araucania Region of Chile. A database of events taken from three monitoring stations on the volcano was used to create a classification structure, independent of which station provided the signal. The database included three types of volcanic events: tremor, long period, and volcano-tectonic and a contrast group which contains other types of seismic signals. In the present work, we maintain the same classification scheme, but we consider separately the stations information in order to assess whether the complementary information provided by different stations improves the performance of the classifier in recognising seismic patterns. This paper proposes two strategies for combining the information from the stations: i) combining the features extracted from the signals from each station and ii) combining the classifiers of each station. In the first case, the features extracted from the signals from each station are combined forming the input for a single classification structure. In the second, a decision stage combines the results of the classifiers for each station to give a unique output. The results confirm that the station-dependent strategies that combine the features and the classifiers from several stations improves the classification performance, and that the combination of the features provides the best performance. The results show an average improvement of 9% in the classification accuracy when compared with the station-independent method. (C) 2016 Elsevier B.V. All rights reserved.</t>
  </si>
  <si>
    <t>Yoma, Nestor/I-8230-2015; san martin, cesar/AAB-2987-2020; Khan, Muhammad Salman/HLQ-7467-2023</t>
  </si>
  <si>
    <t>Franco-Marin, Luis/0000-0001-7112-7277; Curilem, Millaray/0000-0001-8685-221X; Khan, Muhammad Salman/0000-0001-9709-8179; Acuna Leiva, Gonzalo Pedro/0000-0002-0519-7792; Huenupan, Fernando/0000-0002-8145-0251; cardona, carlos/0000-0002-6698-647X</t>
  </si>
  <si>
    <t>0377-0273</t>
  </si>
  <si>
    <t>1872-6097</t>
  </si>
  <si>
    <t>APR 1</t>
  </si>
  <si>
    <t>10.1016/j.jvolgeores.2016.02.006</t>
  </si>
  <si>
    <t>WOS:000375813800002</t>
  </si>
  <si>
    <t>Garrido-Ramirez, EG; Sivaiah, MV; Barrault, J; Valange, S; Theng, BKG; Ureta-Zañartu, MS; Mora, MD</t>
  </si>
  <si>
    <t>Garrido-Ramirez, Elizabeth G.; Sivaiah, Matte V.; Barrault, Joel; Valange, Sabine; Theng, Benny K. G.; Soledad Ureta-Zanartu, Maria; de la Luz Mora, Maria</t>
  </si>
  <si>
    <t>Catalytic wet peroxide oxidation of phenol over iron or copper oxide-supported allophane clay materials: Influence of catalyst SiO2/Al2O3 ratio</t>
  </si>
  <si>
    <t>MICROPOROUS AND MESOPOROUS MATERIALS</t>
  </si>
  <si>
    <t>Allophane clay materials with SiO2/Al2O3 ratios of 1.0 (AlSi1) and 2.2 (AlSi2) were synthesized by a coprecipitation route and further impregnated with iron or copper species. The structure of the parent AlSi1 sample is similar to that of a typical Al-rich soil allophane, while the parent AlSi2 material resembles the structure of a hydrous feldspathoid with a large interspherule surface, thereby exhibiting a high surface area. The ability of the various iron or copper-based allophane samples to behave as efficient and stable catalysts in phenol oxidation using H2O2 was investigated in ambient conditions for the first time. Their structural and textural properties were determined by X-ray diffractometry, N-2 adsorption-desorption at 77 K, electrophoretic mobility measurements, infrared spectroscopy, transmission and scanning electron microscopy, as well as by thermo-gravimetric analysis. The catalytic activity of the iron or copper oxide-supported allophanes was markedly influenced by their SiO2/Al2O3 ratio and by their respective structure. The iron-based AlSi2 catalysts with tail-like structure and high surface area proved to be far more active than their corresponding AlSi1 counterparts. The highest catalytic efficiency in terms of total organic carbon abatement was obtained at 40 degrees C for the calcined iron oxide-supported AlSi2 allophane sample, for which very low leaching level of iron species was noticed (0.37 mg L-1). By contrast, large differences in terms of catalytic efficiency (conversion rates) and stability were observed for the copper-based counterparts, thereby indicating that the iron oxide-supported allophanes with a hydrous feldspathoid structure are highly active and stable in the catalytic wet peroxide oxidation of phenol. (c) 2012 Elsevier Inc. All rights reserved.</t>
  </si>
  <si>
    <t>Ureta-Zañartu, Maria/G-5239-2019; Sivaiah, Matte/F-1674-2011; Mora Gil, Maria Luz/AAT-4081-2021</t>
  </si>
  <si>
    <t>Valange, Sabine/0000-0002-6383-8930; Garrido-Ramirez, Elizabeth/0000-0002-1685-7979</t>
  </si>
  <si>
    <t>1387-1811</t>
  </si>
  <si>
    <t>1873-3093</t>
  </si>
  <si>
    <t>10.1016/j.micromeso.2012.06.038</t>
  </si>
  <si>
    <t>WOS:000308284800026</t>
  </si>
  <si>
    <t>Vega-Gálvez, A; Lara, E; Flores, V; Di Scala, K; Lemus-Mondaca, R</t>
  </si>
  <si>
    <t>Vega-Galvez, Antonio; Lara, Elena; Flores, Veronica; Di Scala, Karina; Lemus-Mondaca, Roberto</t>
  </si>
  <si>
    <t>Effect of Selected Pretreatments on Convective Drying Process of Blueberries (var. O'neil)</t>
  </si>
  <si>
    <t>The effects of different pretreatments on the convective drying kinetics of blueberries (var. O'Neil) at 70 A degrees C were investigated. The sodium hydroxide, enzymatic, microwaves, and high hydrostatic pressure pretreatments were applied and compared with control samples (non-pretreated). In order to simulate experimental drying data, the following mathematical models were selected: logarithmic, two terms, modified Henderson-Pabis, Midilli-Kucuk, and Weibull. Fick's second law of diffusion was applied to determine the water diffusion coefficient for all the treatments. All pretreatments decreased significantly the drying time of the control samples. High hydrostatic pressures together with microwave pretreatments presented lower drying times than non-pretreated samples. Moreover, based on statistical test results, Weibull and modified Henderson-Pabis models presented the best fit for the experimental drying curves. Thus, both models can be satisfactorily applied to estimate the drying time of blueberries as well as to evaluate the effects of different pretreatments on fruit drying rates.</t>
  </si>
  <si>
    <t>Vega-Galvez, Antonio/F-1089-2015; Lemus-Mondaca, Roberto/E-8348-2017</t>
  </si>
  <si>
    <t>Vega-Galvez, Antonio/0000-0001-9991-6139; Lemus-Mondaca, Roberto/0000-0002-1252-2573</t>
  </si>
  <si>
    <t>10.1007/s11947-011-0656-x</t>
  </si>
  <si>
    <t>WOS:000309869900017</t>
  </si>
  <si>
    <t>Hahn, IJ; Römer, U; Vergara, PM</t>
  </si>
  <si>
    <t>Hahn, Ingo J.; Roemer, Uwe; Vergara, Pablo M.</t>
  </si>
  <si>
    <t>Conserving Chile's most critically endangered bird species: First data on foraging, feeding, and food items of the Masafuera Rayadito (Aves: Furnariidae)</t>
  </si>
  <si>
    <t>VERTEBRATE ZOOLOGY</t>
  </si>
  <si>
    <t>First data of foraging, feeding, and food items of Aphrastura masafuerae from Alejandro Selkirk Island, Chile are presented. Brood-caring Masafuera Rayaditos 1) forage mostly inside dense vegetation below the protective cover, 2) leave the vegetation only for a short duration to fly from the nest site to the foraging destination and to stop on a rock before entering the nest hole to control surroundings, 3) minimize energetic costs by foraging mainly hill-parallel, 4) use a 3-4 ha home range by visiting distance zone in different frequency, 5) transport nestling faeces off the nest hole but do not hide them from predators, and 6) feed their nestlings with arthropod prey, mainly small butterfly larvae, in which there are nice-differentiated from sympatric Masafuera Cinclodes. More detailed studies on the breeding ecology and foraging are needed implement management plans and avoid extinction of this badly known island endemic.</t>
  </si>
  <si>
    <t>Vergara, Pablo/F-2519-2010</t>
  </si>
  <si>
    <t>1864-5755</t>
  </si>
  <si>
    <t>WOS:000286084400007</t>
  </si>
  <si>
    <t>Tapia, E; Sequeida, A; Castro, A; Montes, C; Zamora, P; López, R; Acevedo, F; Prieto, H</t>
  </si>
  <si>
    <t>Tapia, Eduardo; Sequeida, Alvaro; Castro, Alvaro; Montes, Christian; Zamora, Pablo; Lopez, Reinaldo; Acevedo, Fernando; Prieto, Humberto</t>
  </si>
  <si>
    <t>Development of grapevine somatic embryogenesis using an air-lift bioreactor as an efficient tool in the generation of transgenic plants</t>
  </si>
  <si>
    <t>JOURNAL OF BIOTECHNOLOGY</t>
  </si>
  <si>
    <t>The grapevine genetic transformation programs have relayed on the use of solid media-based somatic embryogenesis. To reach a high throughput of candidate gene evaluation in 'Thompson Seedless', a semi-automatic system allowing Viable transformation of explants was designed. An intermediate procedure using liquid media and agitated flasks was first characterized, leading to reduction in the biomass duplication time of pro-embryogenic (PE) cells from 30 d in dishes to 14 d. The oxygen transfer coefficient value in this system was 213 h(-1) at 120 rpm and 25 degrees C with a 16/8-h (light/darkness) photoperiod. The scaling-up to the air-lift bioreactor decreased the biomass duplication time of PE cells up to 5.3 d post-inoculation (pi) and an average volumetric productivity of 1.6 g/(d x L). Although slight browning was seen in the explants during the phase of 8-14 d pi. no losses in their viability and regenerative capability were observed. Cultured cells showed normal elongation in the transition from heart- to the torpedo-shape and finally to advanced developmental stages, with radicle emergence and whole plant generation. Agrobacterium-mediated transformation of cells was efficiently incorporated after this Multiplication process by use of conventional procedures in dishes, allowing the generation of transgenic plantlets confirmed by PCR. (c) 2008 Elsevier B.V. All rights reserved.</t>
  </si>
  <si>
    <t>Zamora, Pablo/D-1612-2012; Montes, Christian/M-2398-2014; Tapia, Eduardo/AAA-4295-2022; Acevedo, Fernando/B-3357-2011; Prieto, H./B-4400-2008</t>
  </si>
  <si>
    <t>Montes, Christian/0000-0003-1249-2308; Tapia, Eduardo/0000-0001-5705-098X; Prieto, Humberto/0000-0002-9013-1906</t>
  </si>
  <si>
    <t>0168-1656</t>
  </si>
  <si>
    <t>1873-4863</t>
  </si>
  <si>
    <t>10.1016/j.jbiotec.2008.09.009</t>
  </si>
  <si>
    <t>WOS:000262795600015</t>
  </si>
  <si>
    <t>Sax, SN; Koutrakis, P; Rudolph, PAR; Cereceda-Balic, F; Grarnsch, E; Oyola, P</t>
  </si>
  <si>
    <t>Sax, Sonja N.; Koutrakis, Petros; Rudolph, Pablo A. Ruiz; Cereceda-Balic, Francisco; Grarnsch, Ernesto; Oyola, Pedro</t>
  </si>
  <si>
    <t>Trends in the elemental composition of fine particulate matter in Santiago, Chile, from 1998 to 2003</t>
  </si>
  <si>
    <t>Santiago, Chile, is one of the most polluted cities in South America. As a response, over the past 15 yr, numerous pollution reduction programs have been implemented by the environmental authority, Comision Nacional del Medio Ambiente. This paper assesses the effectiveness of these interventions by examining the trends of fine particulate matter (PM2.5) and its associated elements. Daily fine particle filter samples were collected in Santiago at a downtown location from April 1998 through March 2003. Additionally, meteorological variables were measured continuously. Annual average concentrations of PM2.5, decreased only marginally, from 41.8 mu g/m(3) for the 1998-1999 period to 35.4 mu g/m(3) for the 2002-2003 period. PM2.5 concentrations exceeded the annual U.S. Environmental Protection Agency standard of 15 mu g/m(3). Also, approximately 20% of the daily samples exceeded the old standard of 65 mu g/m(3), whereas approximately half of the samples exceeded the new standard of 35 mu g/m(3) (effective in 2006). Mean PM2.5 levels measured during the cold season (April through September) were three times higher than those measured in the warm season (October through March). Particulate mass and elemental concentration trends were investigated using regression models, controlling for year, month, weekday, wind speed, temperature, and relative humidity. The results showed significant decreases for Pb, Br, and S concentrations and minor but still significant decreases for Ni, Al, Si, Ca, and Fe. The larger decreases were associated with specific remediation policies implemented, including the removal of lead from gasoline, the reduction of sulfur levels in diesel fuel, and the introduction of natural gas. These results suggest that the pollution reduction programs, especially the ones related to transport, have been effective in reducing various important components of PM2.5. However, particle mass and other associated element levels remain high, and it is thus imperative to continue the efforts to improve air quality, particularly focusing on industrial sources.</t>
  </si>
  <si>
    <t>Gramsch, Ernesto/M-5507-2017; Cereceda-Balic, Francisco/N-4479-2017; Ruiz-Rudolph, Pablo/K-8289-2012</t>
  </si>
  <si>
    <t>Gramsch, Ernesto/0000-0002-6787-7355; Cereceda-Balic, Francisco/0000-0001-7761-1051; Ruiz-Rudolph, Pablo/0000-0001-7872-2546</t>
  </si>
  <si>
    <t>1096-2247</t>
  </si>
  <si>
    <t>2162-2906</t>
  </si>
  <si>
    <t>10.3155/1047-3289.57.7.845</t>
  </si>
  <si>
    <t>WOS:000247766200009</t>
  </si>
  <si>
    <t>Pedreschi, F; Bustos, O; Mery, D; Moyano, P; Kaack, K; Granby, K</t>
  </si>
  <si>
    <t>Pedreschi, Franco; Bustos, Oscar; Mery, Domingo; Moyano, Pedro; Kaack, Karl; Granby, Kit</t>
  </si>
  <si>
    <t>Color kinetics and acrylamide formation in NaCl soaked potato chips</t>
  </si>
  <si>
    <t>The objective of this work was to study the kinetics of color development in blanched and blanched-NaCl impregnated potato slices during frying by using the dynamic method and also to evaluate the effect of NaCl in reducing acrylamide formation in potato chips. The measurement of color was done by using an inexpensive computer vision technique which allowed quantifying in a more precise and representative way the color in L*a*b* units of complex surfaces such as those of potato slices during frying. The effect of potato slice soaking in NaCl was evaluated not only for color change but also for acrylamide formation. Prior to frying, potato slices (Desiree variety, diameter: 37 mm, width: 2.2 min) were blanched in hot water at 85 degrees C for 3.5 min; these slices were considered as the control. Slices of the same dimensions were blanched as in the previous step, and soaked at 25 degrees C in a NaCl solution of 0.02 g/l 5 min at 200 rpm of agitation. These samples were considered as NaCl soaked potato chips. Blanched and soaked slices were fried at 120, 140, 160 and 180 degrees C until reaching moisture contents of similar to 1.8% (total basis) for color evaluation. Acrylamide content was evaluated only in final samples fried from 120 degrees C to 160 degrees C. Color values in L*a*b* units were recorded at different sampling times during frying at the four mentioned temperatures using the total color change parameter (Delta E). Experimental data of surface temperature, moisture content and color change in potato chips during frying were fitted to empirical relationships, with correlation coefficients greater than 90%. A first-order rate equation was used to model the kinetics of color change. In all cases, the Arrhenius activation energy decreases alongside with decreasing chip moisture content. Soaking in NaCl solution of potato slices before frying reduced dramatically acrylamide formation in potato chips in similar to 90% (average value) in comparison with control chips. (c) 2006 Elsevier Ltd. All rights reserved.</t>
  </si>
  <si>
    <t>pedreschi, franco/F-8844-2013; Mery, Domingo/D-1385-2014; Granby, Kit/J-7271-2016</t>
  </si>
  <si>
    <t>Mery, Domingo/0000-0003-4748-3882; Granby, Kit/0000-0002-5264-1577</t>
  </si>
  <si>
    <t>10.1016/j.jfoodeng.2006.03.020</t>
  </si>
  <si>
    <t>WOS:000242281200033</t>
  </si>
  <si>
    <t>Escalona, N; Llambias, FJG; Vrinat, M; Nguyen, TS; Laurenti, D; Agudo, AL</t>
  </si>
  <si>
    <t>Escalona, N.; Llambias, F. J. Gil; Vrinat, M.; Nguyen, T. S.; Laurenti, D.; Agudo, A. Lopez</t>
  </si>
  <si>
    <t>Highly active ReS2/γ-Al2O3 catalysts:: Effect of calcination and activation over thiophene hydrodesulfurization</t>
  </si>
  <si>
    <t>CATALYSIS COMMUNICATIONS</t>
  </si>
  <si>
    <t>The effect of activation conditions on alumina-supported rhenium sulfide catalysts on their activity for thiophene hydrodesulfurization has been studied. The results showed that activation using H2S/N-2 leads to ReS2/gamma-Al2O3 catalysts with a higher activity than an industrial NiMo catalyst. Characterization by temperature-programmed reduction and X-ray photoelectron spectroscopy revealed that the higher activity of the catalysts activated by H2S/N-2 is associated with a higher sulfur content and probably related to different ReSx phases. (c) 2006 Published by Elsevier B.V.</t>
  </si>
  <si>
    <t>Escalona, Nestor/F-3593-2016; Laurenti, Dorothée/AAT-7589-2020</t>
  </si>
  <si>
    <t>Escalona Burgos, Nestor/0000-0002-2628-4609; NGUYEN, Thanh-Son/0000-0002-7161-9412; Laurenti Savoure, Dorothee/0000-0001-6645-6789</t>
  </si>
  <si>
    <t>1566-7367</t>
  </si>
  <si>
    <t>1873-3905</t>
  </si>
  <si>
    <t>10.1016/j.catcom.2006.05.053</t>
  </si>
  <si>
    <t>WOS:000243163000014</t>
  </si>
  <si>
    <t>de Figueiredo, DG; Gossez, JP; Ubilla, P</t>
  </si>
  <si>
    <t>Multiplicity results for a family of semilinear elliptic problems under local superlinearity and sublinearity</t>
  </si>
  <si>
    <t>We study the existence, nonexistence and multiplicity of positive solutions for the family of problems - Delta u = f(lambda)(x, u), u is an element of H-0(1) (Omega), where Omega is a bounded domain in R-N, N &gt;= 3 and lambda &gt; 0 is a parameter. The results include the well-known nonlinearities of the Ambrosetti - Brezis - Cerami type in a more general form, namely lambda a( x) u(q) + b( x) u(p), where 0 &lt;= q &lt; 1 &lt; p &lt;= 2* - 1. The coefficient a( x) is assumed to be nonnegative but b( x) is allowed to change sign, even in the critical case. The notions of local superlinearity and local sublinearity introduced in [ 9] are essential in this more general framework. The techniques used in the proofs are lower and upper solutions and variational methods.</t>
  </si>
  <si>
    <t>WOS:000237434800011</t>
  </si>
  <si>
    <t>Martínez, EA; Cárdenas, L; Figueroa, C; Vidal, RU; Billot, C</t>
  </si>
  <si>
    <t>Microsatellites of Laminaria digitata tested in Lessonia nigrescens:: Evaluation and improvement of cross amplification between kelps of two different families</t>
  </si>
  <si>
    <t>The use of primers designed originally to amplify DNA for one species in a different one can save time and resources, particularly for microsatellite loci. Microsatellite amplification improvements across two kelp families are reported, where loci originally described in Laminaria digitata (Laminariaceae) were tested in Lessonia nigrescens (Lessoniaceae). Amplification tests of 15 loci were successful for 12 cases. However, 11 of them presented multilocus banding profiles and only 1 was monolocus, but far from the expected size range. In addition, single primer PCRs using 25 forward or reverse primers gave again 12 multilocus profiles, indicating various mutational steps between both species. Sequenced PCR products for two loci revealed additional mutations in microsatellites and flanking regions. PCR products were improved by designing new primers or by Touchdown PCR. Polymorphism test in L. nigrescens for improved locus Ld2/167 gave six alleles in fifty-two genes with expected heterozygosity, H-e = 0.686 and observed heterozygosity, H-o = 0.384. A much lower H-o's (H-o &lt;= 0.25) was observed in two localities affected by massive mortality events. Nei's distances among five populations presented similar patterns to those of 30 multilocus dominant loci ( RAPD) evaluated in the same localities. Although some success might be achieved in cross-species microsatellite amplifications, the strong mutations detected between these two Laminarian families suggests that better results of cross-amplifications should be expected at much lower taxonomic levels. Thus, although more expensive, construction of new gene libraries is strongly recommended.</t>
  </si>
  <si>
    <t>Cardenas, Leyla/AAY-5671-2020; Martinez, Enrique/JYQ-6119-2024</t>
  </si>
  <si>
    <t>Cardenas, Leyla/0000-0003-0676-6704</t>
  </si>
  <si>
    <t>10.1007/s10811-005-3750-5</t>
  </si>
  <si>
    <t>WOS:000230355600007</t>
  </si>
  <si>
    <t>Lanio, ME; Alvarez, C; Martinez, FD; Casallanovo, F; Schreier, S; Campos, AM; Abuin, E; Lissi, E</t>
  </si>
  <si>
    <t>Effect of a zwitterionic surfactant (HPS) on the conformation and hemolytic activity of St I and St II, two isotoxins purified from Stichodactyla helianthus</t>
  </si>
  <si>
    <t>JOURNAL OF PROTEIN CHEMISTRY</t>
  </si>
  <si>
    <t>N-hexadecyl-N-N'-dimethyl-3-ammonio-1-propane-sulfonate (HPS) is a zwitterionic surfactant that readily binds to sticholysins I and II, two sea toxins isolated from Stichodactyla helianthus. The binding constants, evaluated from changes in fluorescence intensities elicited by the surfactant, are similar to0.5-0.7 muM(-1). The binding of the surfactant changes the conformation of the tertiary protein, without significant changes in its secondary structure, as reported from far-ultraviolet circular dichroism spectra. The changes elicited by HPS lead to loss of the native conformation (as reported from near-ultraviolet circular dichroism spectra) and to a shift of the intrinsic protein fluorescence toward longer wavelengths, an increase in fluorescence intensities and lifetimes, and a faster quenching by acrylamide. All these changes are indicative of a more expanded tertiary conformation. Despite this, the toxins fully retain their hemolytic activities, indicating that spectroscopic changes can be poor predictors of toxin activity.</t>
  </si>
  <si>
    <t>Casallanovo, Fabio/AHE-5422-2022; Schreier, Shirley/F-7001-2014; Campos Staffico, Alessandra/IOK-4172-2023</t>
  </si>
  <si>
    <t>0277-8033</t>
  </si>
  <si>
    <t>10.1023/A:1021130516229</t>
  </si>
  <si>
    <t>WOS:000179359800004</t>
  </si>
  <si>
    <t>Villarroel, L; Torres, R; Urzúa, A; Reina, M; Cabrera, R; González-Coloma, A</t>
  </si>
  <si>
    <t>Heliotropium huascoense resin exudate:: Chemical constituents and defensive properties</t>
  </si>
  <si>
    <t>From the resinous exudate of Heliotropium huascoense a new compound, rel-(SR,9R)-carrizaloic acid, (1) {3-[rel-(8R,9R-9-hydroxy-9,13,13-trimethyl-12-oxo-10-cyclohexenyl)methyl]-4-methoxybenzoic acid}, and three known flavonoids, [3-methylgalangin,3,7-dimethylgalangin, and (-)-alpinone] have been isolated. The structure of I was determined by spectral and chemical methods. Several plant defensive properties of I (insecticidal and antifungal) have been evaluated.</t>
  </si>
  <si>
    <t>Cabrera, Raimundo/0000-0002-9512-7754; GONZALEZ-COLOMA, AZUCENA/0000-0001-5124-664X; Urzua, Alejandro/0000-0003-2638-0921</t>
  </si>
  <si>
    <t>10.1021/np000608l</t>
  </si>
  <si>
    <t>WOS:000171427100001</t>
  </si>
  <si>
    <t>Hönle, W; Peters, K; Peters, EM; von Schnering, HG; Schmidt, R; Moya, SA; Gullpi, M; Binder, H</t>
  </si>
  <si>
    <t>Crystal structure of bis(3,3′-trimethylene-2,2′-biquinolinium)(1+) dibromoaurate(I)(1-) tetrabromoaurate(III)(1-), (C21H16N2H)2[AuBr2][AuBr4], a mixed valence Au(I)/Au(III) salt</t>
  </si>
  <si>
    <t>ZEITSCHRIFT FUR KRISTALLOGRAPHIE-NEW CRYSTAL STRUCTURES</t>
  </si>
  <si>
    <t>C21H17AuBr3N2, triclinic, P (1) over bar (No. 2), a = 10.296(2) Angstrom, b = 12.875(3) Angstrom, c = 8.901(2) Angstrom, alpha = 105.84(2)degrees, beta = 109.52(1)degrees, gamma = 74.66(2)degrees, V = 1050.1 Angstrom(3), Z = 2, R-gt(F) = 0.046, wR(F) = 0.042, T = 293 K.</t>
  </si>
  <si>
    <t>1433-7266</t>
  </si>
  <si>
    <t>WOS:000088244800050</t>
  </si>
  <si>
    <t>Xavier, A; Oyarzun, JE; Zacconi, F; Zanlungo, S; Andia, ME</t>
  </si>
  <si>
    <t>Xavier, Aline; Oyarzun, Juan E.; Zacconi, Flavia; Zanlungo, Silvana; Andia, Marcelo E.</t>
  </si>
  <si>
    <t>Liver magnetic resonance spectroscopy as an alternative for evaluating Niemann-Pick C disease progression</t>
  </si>
  <si>
    <t>RSC ADVANCES</t>
  </si>
  <si>
    <t>Niemann-Pick disease (NP) is a group of rare genetic disorders that affect normal lipid metabolism and cause an accumulation of lipids in the liver, spleen, brain, and bone marrow. NP patients develop brain alterations and a very fast progression of liver damage. The purpose of this study is to characterize the changes in liver lipid composition during the progression of this disease using ex vivo magnetic resonance spectroscopy (MRS) in mouse models with the aim of identifying potential biomarkers to support a future non-invasive technique to follow-up these patients. NP type C (NPC) and wild-type (WT) mice were fed a chow diet and euthanized at 5 weeks of age (n = 5 per group) and 9 weeks of age (n = 5 per group). We extracted lipids from their livers and analyzed them with Gas Chromatography-Mass Spectrometry (GC-MS) and MRS. With the GC-MS analysis, 7 main fatty acids (FA) and cholesterols were quantified. Using MRS, we identified 5 metabolite peaks that correspond to FA only, 3 peaks that correspond to cholesterol only, and 2 peaks that correspond to FA and cholesterol. Our results show that the increase in liver cholesterol is the key biomarker for liver damage in NPC, which is consistent with a bad liver disease prognosis due to the association of increased cholesterol levels and liver inflammation. Additionally, we identified a difference in the pool of FA stored in the NPC compared to the WT mouse livers. Those different liver spectra could provide potential biomarkers for the non-invasive follow-up of NPC patients.</t>
  </si>
  <si>
    <t>Xavier, Aline/HKO-6460-2023; Zacconi, Flavia/ACF-5543-2022</t>
  </si>
  <si>
    <t>Zacconi, Flavia/0000-0002-3676-0453</t>
  </si>
  <si>
    <t>2046-2069</t>
  </si>
  <si>
    <t>10.1039/d4ra06781a</t>
  </si>
  <si>
    <t>WOS:001414104300001</t>
  </si>
  <si>
    <t>Zavaleta, V; Pérez-Través, L; Saona, LA; Villarroel, CA; Querol, A; Cubillos, FA</t>
  </si>
  <si>
    <t>Zavaleta, Vasni; Perez-Traves, Laura; Saona, Luis A.; Villarroel, Carlos A.; Querol, Amparo; Cubillos, Francisco A.</t>
  </si>
  <si>
    <t>Understanding brewing trait inheritance in de novo Lager yeast hybrids</t>
  </si>
  <si>
    <t>MSYSTEMS</t>
  </si>
  <si>
    <t>Hybridization between Saccharomyces cerevisiae and Saccharomyces eubayanus resulted in the emergence of S. pastorianus, a crucial yeast for lager fermentation. However, our understanding of hybridization success and hybrid vigor between these two species remains limited due to the scarcity of S. eubayanus parental strains. Here, we explore hybridization success and the impact of hybridization on fermentation performance and volatile compound profiles in newly formed lager hybrids. By selecting parental candidates spanning a diverse array of lineages from both species, we reveal that the Beer and PB-2 lineages exhibit high rates of hybridization success in S. cerevisiae and S. eubayanus, respectively. Polyploid hybrids were generated through a spontaneous diploid hybridization technique (rare-mating), revealing a prevalence of triploids and diploids over tetraploids. Despite the absence of heterosis in fermentative capacity, hybrids displayed phenotypic variability, notably influenced by maltotriose consumption. Interestingly, ploidy levels did not significantly correlate with fermentative capacity, although triploids exhibited greater phenotypic variability. The S. cerevisiae parental lineages primarily influenced volatile compound profiles, with significant differences in aroma production. Interestingly, hybrids emerging from the Beer S. cerevisiae parental lineages exhibited a volatile compound profile resembling the corresponding S. eubayanus parent. This pattern may result from the dominant inheritance of the S. eubayanus aroma profile, as suggested by the over-expression of genes related to alcohol metabolism and acetate synthesis in hybrids including the Beer S. cerevisiae lineage. Our findings suggest complex interactions between parental lineages and hybridization outcomes, highlighting the potential for creating yeasts with distinct brewing traits through hybridization strategies. IMPORTANCE Our study investigates the principles of lager yeast hybridization between Saccharomyces cerevisiae and Saccharomyces eubayanus. This process gave rise to the lager yeast Saccharomyces pastorianus. By examining how these novel hybrids perform during fermentation and the aromas they produce, we uncover the genetic bases of brewing trait inheritance. We successfully generated polyploid hybrids using diverse strains and lineages from both parent species, predominantly triploids and diploids. Although these hybrids did not show improved fermentation capacity, they exhibited varied traits, especially in utilizing maltotriose, a key sugar in brewing. Remarkably, the aroma profiles of these hybrids were primarily influenced by the S. cerevisiae parent, with Beer lineage hybrids adopting aroma characteristics from their S. eubayanus parent. These insights reveal the complex genetic interactions in hybrid yeasts, opening new possibilities for crafting unique brewing yeasts with desirable traits.</t>
  </si>
  <si>
    <t>Saona, Luis A./AFY-6283-2022; Cubillos, Francisco/MIT-2389-2025; Querol, Amparo/AAW-7469-2020; Querol, Amparo/H-3782-2012</t>
  </si>
  <si>
    <t>Querol, Amparo/0000-0002-6478-6845</t>
  </si>
  <si>
    <t>2379-5077</t>
  </si>
  <si>
    <t>DEC 17</t>
  </si>
  <si>
    <t>10.1128/msystems.00762-24</t>
  </si>
  <si>
    <t>WOS:001353229400001</t>
  </si>
  <si>
    <t>Pesic, M; Chahardehi, AM; Echeverria, J; Talib, WH</t>
  </si>
  <si>
    <t>Pesic, Milica; Chahardehi, Amir Modarresi; Echeverria, Javier; Talib, Wamidh H.</t>
  </si>
  <si>
    <t>Editorial: Natural products and nanoparticles in cancer treatment: is there a light at the end of the tunnel?</t>
  </si>
  <si>
    <t>Pešić, Milica/I-4727-2019; Echeverría, Javier/AAK-3323-2020; Talib, Wamidh/H-9831-2017</t>
  </si>
  <si>
    <t>SEP 3</t>
  </si>
  <si>
    <t>10.3389/fphar.2024.1484339</t>
  </si>
  <si>
    <t>WOS:001314342400001</t>
  </si>
  <si>
    <t>Hernandez-Martinez, J; Perez-Carcamo, J; Canales-Canales, S; Coñapi-Union, B; Cid-Calfucura, I; Herrera-Valenzuela, T; Branco, BHM; Valdés-Badilla, P</t>
  </si>
  <si>
    <t>Hernandez-Martinez, Jordan; Perez-Carcamo, Joaquin; Canales-Canales, Sebastian; Conapi-Union, Bayron; Cid-Calfucura, Izham; Herrera-Valenzuela, Tomas; Branco, Braulio Henrique Magnani; Valdes-Badilla, Pablo</t>
  </si>
  <si>
    <t>Body Composition and Physical Performance by Playing Position in Amateur Female Soccer Players</t>
  </si>
  <si>
    <t>This study analyzed differences in body composition, jump performance, running speed, and ball-kicking speed according to playing position in amateur female soccer players. This cross-sectional study involved 160 females distributed into groups of goalkeepers (n = 20), defenders (n = 38), midfielders (n = 52), and forwards (n = 50), with a mean age of 27.1 +/- 3.23 years. They were assessed for body fat percentage (BFP), fat-free mass (FFM), squat jump, countermovement jump, drop jump (DJ), and running sprint speed for 10 m, 20 m, and 30 m, and ball-kicking speed (BKS) with both feet. Significant differences were found between groups in FFM (F(3,96) = 17.4; p = 0.000) and BFP (F(3,96) = 7.00; p = 0.000), with a higher FFM in midfielders with respect to goalkeepers (p = 0.00; ES = 1.77; triangle = 27%), defenders (p = 0.00; ES = 2.14; triangle = 26.5%), and forwards (p = 0.00; ES = 1.13; triangle = 15.8%), and a lower BFP in midfielders with respect to goalkeepers (p = 0.00; ES = 1.41; triangle = 26.7%) and forwards (p = 0.00; ES = 1.05; triangle = 27%). In addition, significant differences were found between groups in DJ (F(3,96) = 20.8; p = 0.000), with midfielders achieving greater height compared to goalkeepers (p = 0.00; ES = 1.94; triangle = 25.1%), defenders (p = 0.00; ES = 1.59; triangle = 19%), and forwards (p = 0.00; ES = 1.73; triangle = 16.3%). Significant differences were found between groups in BKS for dominant (F(3,96) = 5.84; p = 0.001) and non-dominant (F(3,96) = 3.29; p = 0.02) feet, and these were lower in goalkeepers than defenders (p = 0.00; ES = 0.99; triangle = 8.83%) and midfielders (p = 0.00; ES = 1.21; triangle = 11.8%). In conclusion, midfielders presented significantly better body composition and physical performance than other playing positions.</t>
  </si>
  <si>
    <t>Herrera-Valenzuela, Tomas/L-1819-2019; Branco, Braulio/AAA-1747-2019; Hernandez-Martinez, Jordan/AAK-5115-2020; Magnani Branco, Braulio Henrique/B-8178-2017</t>
  </si>
  <si>
    <t>Cid, Izham/0000-0002-2172-867X; Herrera-Valenzuela, Tomas/0000-0002-5219-5896; Valdes-Badilla, Pablo/0000-0002-3948-8280; Magnani Branco, Braulio Henrique/0000-0002-4625-9128</t>
  </si>
  <si>
    <t>10.3390/app14135665</t>
  </si>
  <si>
    <t>WOS:001266454100001</t>
  </si>
  <si>
    <t>Tapia, Y; García, A; Acuña, E; Salazar, O; Casanova, M; Najera, F; Kremer, C; Castillo, B; Joven, A; Diaz, O; Pastene, R; Antilen, M; Cornejo, P; Neaman, A</t>
  </si>
  <si>
    <t>Tapia, Y.; Garcia, A.; Acuna, E.; Salazar, O.; Casanova, M.; Najera, F.; Kremer, C.; Castillo, B.; Joven, A.; Diaz, O.; Pastene, R.; Antilen, M.; Cornejo, P.; Neaman, A.</t>
  </si>
  <si>
    <t>Monitoring of Chemical Species in Soils, Waters and Plants Near the Active Copper Mine Tailing Dam Ovejeria (Central Chile)</t>
  </si>
  <si>
    <t>WATER AIR AND SOIL POLLUTION</t>
  </si>
  <si>
    <t>Chile, the world's largest copper producer, generates massive amounts of mine tailings that are a source of ongoing environmental concern for local communities. The main objective of this work is to evaluate the concentration of As, Cd, Cr, Cu, Fe, Mn, Mo, Ni, Pb, Zn and SO42- in soils, water and vegetation in the communities surrounding the Cu Ovejeria mine tailings dam, in central Chile. Soils, water and plants samples were collected from the towns of Chacabuco, Huechun, Huertos Familiares, Punta Peuco and Santa Matilde, which are located at 3 to 8 km from the mine tailings site, operated by CODELCO since 1999. The results showed that the levels of metals/metalloids and SO42- in water (pH 6.7-7.9) met both WHO limits and Chilean water quality standards for multiples uses. In soil (pH 7.7-8.4), total and available concentrations of metals/metalloids did not exceed international reference values. Plants with acceptable levels of metals and S were Citrus limon, Eucalyptus, Schinus molle, Prunus persica, Medicago sativa, Citrus sinensis and Ficus carica. The only species with Fe content well above the reference value and with high concentrations of other metals (Cu, Mn, Mo and Pb) was Acacia caven. The concentrations of chemical species determined between 2015 and 2018, in different media and locations near the active Cu tailings dam Ovejeria, in central Chile, allow to conclude that in general the levels are comparable to national and international references and do not indicate contamination.</t>
  </si>
  <si>
    <t>Tapia, Yasna/K-4650-2017; Neaman, Alexander/ABF-3260-2020; Castillo, Benjamin/HLQ-7177-2023; Cornejo, Pablo/B-1039-2015; Casanova, Manuel/I-3880-2013; Salazar, Osvaldo/AAV-3263-2020</t>
  </si>
  <si>
    <t>Antilen-Lizana, Monica/0000-0003-0512-4267; Joven Quevedo, Andrea/0009-0006-4050-6112</t>
  </si>
  <si>
    <t>0049-6979</t>
  </si>
  <si>
    <t>1573-2932</t>
  </si>
  <si>
    <t>10.1007/s11270-024-06955-3</t>
  </si>
  <si>
    <t>WOS:001168994600001</t>
  </si>
  <si>
    <t>Bouissane, L; Echeverria, J; Dohi, T; Müller, TJJ</t>
  </si>
  <si>
    <t>Bouissane, Latifa; Echeverria, Javier; Dohi, Toshifumi; Mueller, Thomas J. J.</t>
  </si>
  <si>
    <t>Editorial: Multicomponent reactions (MCRs) towards scaffolds with versatile applications</t>
  </si>
  <si>
    <t>Echeverría, Javier/AAK-3323-2020; BOUISSANE, Latifa/Y-3609-2018</t>
  </si>
  <si>
    <t>BOUISSANE, Latifa/0000-0002-2231-1956</t>
  </si>
  <si>
    <t>NOV 20</t>
  </si>
  <si>
    <t>10.3389/fchem.2023.1332672</t>
  </si>
  <si>
    <t>WOS:001113381300001</t>
  </si>
  <si>
    <t>Peroxyl radicals modify 6-phosphogluconolactonase from Escherichia coli via oxidation of specific amino acids and aggregation which inhibits enzyme activity</t>
  </si>
  <si>
    <t>6-phosphogluconolactonase (6PGL) catalyzes the second reaction of the pentose phosphate pathway (PPP) converting 6-phosphogluconolactone to 6-phosphogluconate. The PPP is critical to the generation of NADPH and metabolic intermediates, but some of its components are susceptible to oxidative inactivation. Previous studies have characterized damage to the first (glucose-6-phosphate dehydrogenase) and third (6-phosphogluconate dehydrogenase) enzymes of the pathway, but no data are available for 6PGL. This knowledge gap is addressed here. Oxidation of Escherichia coli 6PGL by peroxyl radicals (ROO center dot, from AAPH (2,2 '-azobis(2-methylpropionamidine) dihydrochloride) was examined using SDS-PAGE, amino acid consumption, liquid chromatography with mass detection (LC-MS), protein carbonyl formation and computational methods. NADPH generation was assessed using mixtures all three enzymes of the oxidative phase of the PPP. Incubation of 6PGL with 10 or 100 mM AAPH resulted in protein aggregation mostly due to reducible (disulfide) bonds. High fluxes of ROO center dot induced consumption of Cys, Met and Trp, with the Cys oxidation rationalizing the aggregate formation. Low levels of carbonyls were detected, while LC-MS analyses provided evidence for oxidation of selected Trp and Met residues (Met1, Trp18, Met41, Trp203, Met220 and Met221). ROO center dot elicited little loss of enzymatic activity of monomeric 6PGL, but the aggregates showed diminished NADPH generation. This is consistent with in silico analyses that indicate that the modified Trp and Met are far from the 6-phosphogluconolactone binding site and the catalytic dyad (His130 and Arg179). Together these data indicate that monomeric 6PGL is a robust enzyme towards oxidative inactivation by ROO center dot and when compared to other PPP enzymes.</t>
  </si>
  <si>
    <t>Davies, Michael/AGX-9184-2022; Lopez, Camilo/J-5770-2013; Fierro, Angelica/AAJ-2533-2020; Fuentes Lemus, Eduardo/X-4292-2019; Davies, Michael/H-4939-2011</t>
  </si>
  <si>
    <t>Fierro Huerta, Angelica/0000-0002-6507-4188; Lopez, Camilo/0000-0002-0174-8972; Reyes, Juan Sebastian/0000-0003-0871-6188; Fuentes Lemus, Eduardo/0000-0002-1465-8466; Davies, Michael/0000-0002-5196-6919</t>
  </si>
  <si>
    <t>10.1016/j.freeradbiomed.2023.04.019</t>
  </si>
  <si>
    <t>WOS:001001503000001</t>
  </si>
  <si>
    <t>Er-rachid, I; Zoulagh, T; Tadeo, F; Merzouki, H; Tissir, E</t>
  </si>
  <si>
    <t>Er-rachid, Ismail; Zoulagh, Taha; Tadeo, Fernando; Merzouki, Hassnae; Tissir, El Houssaine</t>
  </si>
  <si>
    <t>Finite Frequency H∞ Control of Two-Dimensional Continuous Takagi-Sugeno Systems</t>
  </si>
  <si>
    <t>2022 30TH MEDITERRANEAN CONFERENCE ON CONTROL AND AUTOMATION (MED)</t>
  </si>
  <si>
    <t>Mediterranean Conference on Control and Automation</t>
  </si>
  <si>
    <t>30th Mediterranean Conference on Control and Automation (MED)</t>
  </si>
  <si>
    <t>JUN 28-JUL 01, 2022</t>
  </si>
  <si>
    <t>Athens, GREECE</t>
  </si>
  <si>
    <t>This paper solves a state feedback H-infinity control issue for two-dimensional (2D) nonlinear continuous systems described by Takagi-Sugeno (T-S) fuzzy model by using a finite frequency (FF) approach. In particular, a Roesser model is investigated by employing the Generalized Kalman Yakubovich Popov (GKYP) lemma. New conditions guaranteeing the FF H-infinity control and the bounded-input-bounded-output (BIBO) stability of the closed-loop system are established in terms of Linear Matrix Inequalities (LMIs). These stipulations extend minimal conservative results not only by getting the controller gain, but also in terms of H-infinity norm and closed-loop states' convergence when compared with the entire frequency (EF) design and the uncontrolled states. To exhibit the superiority of the submitted strategy, an implementation to a simulated system is thus presented.</t>
  </si>
  <si>
    <t>Zoulagh, Taha/AAT-5521-2020; ER-RACHID, Ismail/AAW-1744-2021; Tadeo, Fernando/D-6234-2016</t>
  </si>
  <si>
    <t>Tadeo, Fernando/0000-0002-4046-3136; Zoulagh, Taha/0000-0003-4796-2744</t>
  </si>
  <si>
    <t>2325-369X</t>
  </si>
  <si>
    <t>978-1-6654-0673-4</t>
  </si>
  <si>
    <t>10.1109/MED54222.2022.9837251</t>
  </si>
  <si>
    <t>WOS:000854013700020</t>
  </si>
  <si>
    <t>Gonzalez-Henriquez, CM; Rodriguez-Umanzor, FE; Alegria-Gomez, MN; Terraza-Inostroza, CA; Martinez-Campos, E; Cue-Lopez, R; Sarabia-Vallejos, MA; Garcia-Herrera, C; Rodriguez-Hernandez, J</t>
  </si>
  <si>
    <t>Gonzalez-Henriquez, Carmen M.; Rodriguez-Umanzor, Fernando E.; Alegria-Gomez, Matias N.; Terraza-Inostroza, Claudio A.; Martinez-Campos, Enrique; Cue-Lopez, Raquel; Sarabia-Vallejos, Mauricio A.; Garcia-Herrera, Claudio; Rodriguez-Hernandez, Juan</t>
  </si>
  <si>
    <t>Wrinkling on Stimuli-Responsive Functional Polymer Surfaces as a Promising Strategy for the Preparation of Effective Antibacterial/Antibiofouling Surfaces</t>
  </si>
  <si>
    <t>Biocompatible smart interfaces play a crucial role in biomedical or tissue engineering applications, where their ability to actively change their conformation or physico-chemical properties permits finely tuning their surface attributes. Polyelectrolytes, such as acrylic acid, are a particular type of smart polymers that present pH responsiveness. This work aims to fabricate stable hydrogel films with reversible pH responsiveness that could spontaneously form wrinkled surface patterns. For this purpose, the photosensitive reaction mixtures were deposited via spin-coating over functionalized glasses. Following vacuum, UV, or either plasma treatments, it is possible to spontaneously form wrinkles, which could increase cell adherence. The pH responsiveness of the material was evaluated, observing an abrupt variation in the film thickness as a function of the environmental pH. Moreover, the presence of the carboxylic acid functional groups at the interface was evidenced by analyzing the adsorption/desorption capacity using methylene blue as a cationic dye model. The results demonstrated that increasing the acrylic acid in the microwrinkled hydrogel effectively improved the adsorption and release capacity and the ability of the carboxylic groups to establish ionic interactions with methylene blue. Finally, the role of the acrylic acid groups and the surface topography (smooth or wrinkled) on the final antibacterial properties were investigated, demonstrating their efficacy against both gram-positive and gram-negative bacteria model strains (E. coli and S. Aureus). According to our findings, microwrinkled hydrogels presented excellent antibacterial properties improving the results obtained for planar (smooth) hydrogels.</t>
  </si>
  <si>
    <t>Sarabia-Vallejos, Mauricio/AAY-2890-2020; García-Herrera, Claudio/ABE-8991-2020</t>
  </si>
  <si>
    <t>Garcia-Herrera, Claudio/0000-0002-1283-8551; Sarabia-Vallejos, Mauricio A./0000-0001-5128-796X; Gonzalez Henriquez, Carmen/0000-0001-9058-5425; Cue-Lopez, Raquel/0000-0003-2824-902X; Terraza, Claudio/0000-0002-6326-8771; Alegria Gomez, Matias/0000-0001-6624-2131; Martinez-Campos, Enrique/0000-0002-7110-3651; Rodriguez Umanzor, Fernando Esteban/0000-0002-7036-4665</t>
  </si>
  <si>
    <t>10.3390/polym13234262</t>
  </si>
  <si>
    <t>WOS:000734586900001</t>
  </si>
  <si>
    <t>Villamizar-Sarmiento, MG; Guerrero, J; Moreno-Villoslada, I; Oyarzun-Ampuero, FA</t>
  </si>
  <si>
    <t>Villamizar-Sarmiento, Maria Gabriela; Guerrero, Juan; Moreno-Villoslada, Ignacio; Oyarzun-Ampuero, Felipe A.</t>
  </si>
  <si>
    <t>The key role of the drug self-aggregation ability to obtain optimal nanocarriers based on aromatic-aromatic drug-polymer interactions</t>
  </si>
  <si>
    <t>EUROPEAN JOURNAL OF PHARMACEUTICS AND BIOPHARMACEUTICS</t>
  </si>
  <si>
    <t>The efficient association and controlled release of hydrophilic and aromatic low molecular-weight drugs (HALMD) still remains a challenge due to their relatively weak interactions with excipients and strong affinity to water. Considering that a wide variety of drugs to treat chronic diseases are HALMD, their inclusion in polymeric nanoparticles (NPs) constitutes an attractive possibility by providing to these drugs with controllable physiochemical properties, preventing crisis episodes, decreasing dose-dependent side effects and promoting therapeutic adhesiveness. However, the strong interaction of HALMD with the aqueous medium jeopardizes their encapsulation and controlled release. In this work, the role of the self-assembly tendency of HALMD on their association with the aromatic excipient poly(sodium 4-styrensulfonate) (PSS) to form NPs is studied. For this aim, the widely used drugs amitriptyline (AMT), promethazine (PMZ), and chlorpheniramine (CPM) are selected due to their well described critical aggregation concentration (cac) (36 mM for AMT, 36 mM for PMZ, and 69.5 mM for CPM). These drugs undergo aromatic-aromatic interactions with the polymer, which stabilize their mutual binding, as seen by NMR. The simple mixing of solutions of opposite charged molecules (drug + PSS) allowed obtaining NPs. Importantly, comparing the three drugs, the formation of NPs occurred at significantly lower absolute concentration and significantly lower drug/polymer ratio as the cac takes lower values, indicating a stronger binding to the polymer, as also deduced from the respective drug/polymer dissociation constant values. In addition, the number of formed NPs is similar for all formulations, even though a much lower concentration of the drug and polymer is present in systems comprising lower cac. The obtained NPs are spheroidal and present size between 100 and 160 nm, low polydispersity (&lt;= 0.3) and negative zeta potential (from -30 to -60 mV). The association efficiency reaches values &gt;= 83% and drug loading could achieve values up to 68% (never evidenced before for systems comprising HALMD). In addition, drug release studies are also significantly influenced by cac, providing more prolonged release for AMT and PMZ (lower cac), whose delivery profiles adjust to the Korsmeyer-Peppas equation. As a novelty of this work, a synergic contribution of drug selfassociation tendency and aromatic-aromatic interaction between the drug and polymers is highlighted, a fact that could be crucial for the rational design and development of efficient drug delivery systems.</t>
  </si>
  <si>
    <t>Moreno Villoslada, Ignacio/JOZ-4157-2023</t>
  </si>
  <si>
    <t>Villamizar-Sarmiento, Maria Gabriela/0000-0003-2613-4739; Oyarzun-Ampuero, Felipe/0000-0002-4951-0701</t>
  </si>
  <si>
    <t>0939-6411</t>
  </si>
  <si>
    <t>1873-3441</t>
  </si>
  <si>
    <t>10.1016/j.ejpb.2021.05.023</t>
  </si>
  <si>
    <t>WOS:000676823900003</t>
  </si>
  <si>
    <t>Stepanova, M; Pinto, VA; Antonova, EE</t>
  </si>
  <si>
    <t>Stepanova, M.; Pinto, V. A.; Antonova, E. E.</t>
  </si>
  <si>
    <t>Adiabatic and non-adiabatic evolution of relativistic electrons in the heart of the outer radiation belt during the 1 June 2013 geomagnetic storm</t>
  </si>
  <si>
    <t>The adiabatic and non-adiabatic behavior of relativistic electrons in the outer radiation belt during the 1 June 2013 geomagnetic storm is studied using data from the Van Allen Probes and THEMIS missions. Analysis of the evolution of the plasma pressure shows that the pressure increased by one order of magnitude during the storm reaching a maximum value towards the end or slightly after the main phase of the storm. At the same time, the location of the maximum pressure moved towards the Earth, reaching the closest distance at L similar to 3.7. Relativistic electron fluxes show that the location of the peak fluxes also move closer to the Earth reaching the same L as the maximum of plasma pressure. In order to study whether the adiabatic mechanisms are relevant to explain the behavior of relativistic electrons, we analyzed the electron fluxes in the energy range from 1.8 to 4.2 MeV and found that the electron spectra fits well to a power law function. For a fixed L-shell, the power law index is conserved during the pre-storm time, increases during the main phase, and presents little variation again during the recovery phase, but the power law index calculated during the recovery phase is larger than during pre-storm phase. A strong depletion of electron fluxes during the main phase of the storm is also measured, with fluxes returning to the pre-storm level afterwards. The conservation of the slope of the electron spectra during a long time can be considered as an evidence of a dominant contribution of adiabatic processes, as it is difficult to explain this effect as other processes such acceleration and losses of relativistic electrons. An increase of the power law index towards the end or right after the main phase of the storm can be related to the increase of the losses with the electron energy, and/or to the processes of thermalization (relaxation) of the electron distribution functions.</t>
  </si>
  <si>
    <t>Antonova, Elizaveta/A-2716-2012; Stepanova, Marina/D-6329-2011; Pinto, Victor/C-9585-2011</t>
  </si>
  <si>
    <t>Antonova, Elizaveta/0000-0001-6980-3993; Stepanova, Marina/0000-0002-1053-3375; Pinto, Victor/0000-0003-1210-167X</t>
  </si>
  <si>
    <t>10.1016/j.jastp.2020.105479</t>
  </si>
  <si>
    <t>WOS:000609029900002</t>
  </si>
  <si>
    <t>Zapata-Lizama, M; Hermosilla-Ibáñez, P; Venegas-Yazigi, D; Espallargas, GM; Maia, LJQ; Gasparotto, G; De Santana, RC; Cañón-Mancisidor, W</t>
  </si>
  <si>
    <t>Zapata-Lizama, Matias; Hermosilla-Ibanez, Patricio; Venegas-Yazigi, Diego; Minguez Espallargas, Guillermo; Queiroz Maia, Lauro June; Gasparotto, Gisane; De Santana, Ricardo Costa; Canon-Mancisidor, Walter</t>
  </si>
  <si>
    <t>A systematic study of the optical properties of mononuclear hybrid organo-inorganic lanthanoid complexes</t>
  </si>
  <si>
    <t>INORGANIC CHEMISTRY FRONTIERS</t>
  </si>
  <si>
    <t>A series of hybrid organo-inorganic mononuclear lanthanoid complexes, [n-NBu4](3)[LnH(PW11O39) (phen)(2)].H2O, denoted as LM4-1-Ln (Ln = Dy-III, Tb-III, Eu-III, Nd-III, Er-III, Ho-III and Gd-III), were synthesized via hydrothermal synthesis and were structurally characterized by X-ray diffraction. The optical properties of all complexes have been investigated in the solid state. The temperature-dependent emission spectra of LM4-1-Dy, LM4-1-Tb and LM4-1-Eu complexes show intense lanthanoid emissions in the visible region, while LM4-1-Nd shows near-infrared (NIR) luminescence. The Eu-III complex shows typical strong red emissions from the D-5(0) -&gt; F-7(0,1,2,3,4) transitions, with the CIE colour coordinates (0.631,0.364), the colour purity value of 83.9% and a quantum yield of up to 4.3%, suggesting that the organic fragment has an effect on the optical properties compared to fully inorganic systems, making this complex very attractive as a red component of light-emitting diodes. The luminescence decays of LM4-1-Dy, LM4-1-Tb and LM4-1-Eu exhibit a biexponential behaviour, with tAV = 4.1(7) mu s, 0.35(2) ms and 0.94(3) ms, respectively. The values obtained for Judd-Ofelt intensity parameters O-2 and O-4 support the interaction between the Eu-III and the ligands. Furthermore, those with Er-III and Ho-III present weak emissions in the visible region. The T-dependent photoluminescence results show that the LM4-1-Dy, LM4-1-Tb and LM4-1-Nd complexes have good temperature sensitivity, demonstrating that the materials have the potential to be used as a sensing element for luminescent thermometers in different temperature ranges.</t>
  </si>
  <si>
    <t>Espallargas, Guillermo/D-3164-2013; Maia, Lauro/N-7796-2017; Canon-Mancisidor, Walter/K-8764-2014; Santana, Ricardo/H-1579-2012; Hermosilla-Ibanez, Patricio/Y-7454-2018; Venegas-Yazigi, Diego/C-5022-2009</t>
  </si>
  <si>
    <t>Canon-Mancisidor, Walter/0000-0003-1703-8729; Santana, Ricardo/0000-0002-6484-7484; Hermosilla-Ibanez, Patricio/0000-0002-2272-9690; Venegas-Yazigi, Diego/0000-0001-7816-2841</t>
  </si>
  <si>
    <t>2052-1553</t>
  </si>
  <si>
    <t>SEP 7</t>
  </si>
  <si>
    <t>10.1039/d0qi00232a</t>
  </si>
  <si>
    <t>WOS:000564605900017</t>
  </si>
  <si>
    <t>Osorio-Valenzuela, L; Pereira, J; Quezada, F; Vásquez, OC</t>
  </si>
  <si>
    <t>Osorio-Valenzuela, Luis; Pereira, Jordi; Quezada, Franco; Vasquez, Oscar C.</t>
  </si>
  <si>
    <t>Minimizing the number of machines with limited workload capacity for scheduling jobs with interval constraints</t>
  </si>
  <si>
    <t>In this paper, we consider a parallel machine scheduling problem in which machines have a limited workload capacity and jobs have deadlines and release dates. The problem is motivated by the operation of energy storage management systems for microgrids under emergency conditions and generalizes some problems that have already been studied in the literature for their theoretical value. In this work, we propose heuristic and exact algorithms to solve the problem. The heuristics are adaptations of classical bin packing heuristics in which additional conditions on the feasibility of a solution are imposed, whereas the exact method is a branch-and-price approach. The results show that the branch-andprice approach is able to optimally solve random instances with up to 250 jobs within a time limit of one hour, while the heuristic procedures provide near optimal solution within reduced running times. Finally, we also provide additional complexity results for a special case of the problem. (C) 2019 Elsevier Inc. All rights reserved.</t>
  </si>
  <si>
    <t>Pereira, Jordi/0000-0002-1736-3575; Vasquez, Oscar C./0000-0002-1393-4692</t>
  </si>
  <si>
    <t>10.1016/j.apm.2019.05.007</t>
  </si>
  <si>
    <t>WOS:000474317800031</t>
  </si>
  <si>
    <t>Texier, BD; Ibarra, A; Vivanco, F; Bico, J; Melo, F</t>
  </si>
  <si>
    <t>Darbois Texier, B.; Ibarra, A.; Vivanco, F.; Bico, J.; Melo, F.</t>
  </si>
  <si>
    <t>Friction of a sphere rolling down a granular slope</t>
  </si>
  <si>
    <t>EPL</t>
  </si>
  <si>
    <t>The present study investigates the rolling motion of a rigid sphere moving down a granular slope. We observe that the sphere only moves steadily beyond a critical inclination that depends on the diameter and density of the sphere. The groove created on the bed surface during the passage of the sphere, grows with the diameter and density of the sphere and it is nearly independent of both the sphere speed and the slope angle. The granular resistance experienced by the rolling sphere is deduced from its dynamics. A mechanical description of the interaction between the sphere and the granular bed accounts for the experimental findings through a single adjustable parameter. A phase diagram for the sphere dynamics defined by two dimensionless parameters, namely the slope angle and the ratio of the densities of the sphere and of the grains, is proposed. Copyright (C) EPLA, 2018</t>
  </si>
  <si>
    <t>Vivanco, Francisco/AAB-8928-2019; Melo, Francisco/M-3923-2014; Bico, Jose/Q-1614-2015</t>
  </si>
  <si>
    <t>Ibarra, Alejandro/0000-0002-6916-8608; Melo, Francisco Esteban/0000-0001-6818-5476; Bico, Jose/0000-0002-3872-1239</t>
  </si>
  <si>
    <t>0295-5075</t>
  </si>
  <si>
    <t>1286-4854</t>
  </si>
  <si>
    <t>10.1209/0295-5075/123/54005</t>
  </si>
  <si>
    <t>WOS:000446886000002</t>
  </si>
  <si>
    <t>Fuentes-Lemus, E; Silva, E; Barrias, P; Aspee, A; Escobar, E; Lorentzen, LG; Carroll, L; Leinisch, F; Davies, MJ; López-Alarcón, C</t>
  </si>
  <si>
    <t>Fuentes-Lemus, Eduardo; Silva, Eduardo; Barrias, Pablo; Aspee, Alexis; Escobar, Elizabeth; Lorentzen, Lasse G.; Carroll, Luke; Leinisch, Fabian; Davies, Michael J.; Lopez-Alarcon, Camilo</t>
  </si>
  <si>
    <t>Aggregation of α- and β- caseins induced by peroxyl radicals involves secondary reactions of carbonyl compounds as well as di-tyrosine and di-tryptophan formation</t>
  </si>
  <si>
    <t>The present work examined the role of Tyr and Trp in oxidative modifications of caseins, the most abundant milk proteins, induced by peroxyl radicals (ROO center dot). We hypothesized that the selectivity of ROO center dot and the high flexibility of caseins (implying a high exposure of Tyr and Trp residues) would favor radical-radical reactions, and di-tyrosine (di-Tyr) and di-tryptophan (di-Trp) formation. Solutions of alpha- and beta-caseins were exposed to ROO center dot from thermolysis and photolysis of AAPH (2,2'-azobis(2-methylpropionamidine)dihydrochloride). Oxidative modifications were examined using electrophoresis, western blotting, fluorescence, and chromatographic methodologies with diode array, fluorescence and mass detection. Exposure of caseins to AAPH at 37 degrees C gave fragmentation, cross-linking and protein aggregation. Amino acid analysis showed consumption of Trp, Tyr, Met, His and Lys residues. Quantification of Trp and Tyr products, showed low levels of di-Tyr and di-Trp, together with an accumulation of carbonyls indicating that casein aggregation is, at least partly, associated with secondary reactions between carbonyls and Lys and His residues. AAPH photolysis, which generates a high flux of free radicals increased the extent of formation of di-Tyr in both model peptides and alpha- and beta- caseins; di-Trp was only detected in peptides and alpha-casein. Thus, in spite of the high flexibility of caseins, which would be expected to favor radical-radical reactions, the low flux of ROO center dot generated during AAPH thermolysis disfavours the formation of dimeric radical-radical cross-links such as di-Tyr and di-Trp, instead favoring other O-2-dependent crosslinking pathways such as those involving secondary reactions of initial carbonyl products.</t>
  </si>
  <si>
    <t>Fuentes Lemus, Eduardo/X-4292-2019; Silva, Eduardo/KUC-8055-2024; Lopez, Camilo/J-5770-2013; Barrias, Pablo/V-7218-2018; Davies, Michael/H-4939-2011; Carroll, Luke/E-9366-2015</t>
  </si>
  <si>
    <t>Lopez, Camilo/0000-0002-0174-8972; Lorentzen, Lasse Gobel/0000-0002-0895-5739; Barrias, Pablo/0000-0003-4072-4436; Davies, Michael/0000-0002-5196-6919; Fuentes Lemus, Eduardo/0000-0002-1465-8466; Carroll, Luke/0000-0002-8600-4023</t>
  </si>
  <si>
    <t>10.1016/j.freeradbiomed.2018.06.005</t>
  </si>
  <si>
    <t>WOS:000441516300016</t>
  </si>
  <si>
    <t>Tamayo, L; Acuña, D; Riveros, AL; Kogan, MJ; Azócar, MI; Páez, M; Leal, M; Urzúa, M; Cerda, E</t>
  </si>
  <si>
    <t>Tamayo, L.; Acuna, D.; Riveros, A. L.; Kogan, M. J.; Azocar, M. I.; Paez, M.; Leal, M.; Urzua, M.; Cerda, E.</t>
  </si>
  <si>
    <t>Porous Nanogold/Polyurethane Scaffolds with Improved Antibiofilm, Mechanical, and Thermal Properties and with Reduced Effects on Cell Viability: A Suitable Material for Soft Tissue Applications</t>
  </si>
  <si>
    <t>ACS APPLIED MATERIALS &amp; INTERFACES</t>
  </si>
  <si>
    <t>The use of implants carries on a series of problems, among them infections, poor biocompatibility, high levels of cytotoxicity, and significant mechanical differences between implants and host organs that promote stress shielding effects. These problems indicate that the materials used to make implants must meet essential requirements and high standards for implantations to be successful. In this work, we present the synthesis, characterization and evaluation of the antibiofilm, mechanical, and thermal properties, and cytotoxic effect of a nanocomposite-based scaffold on polyurethane (PU) and gold nanoparticles (AuNPs) for soft tissue applications. The effect of the quantity of AuNPs on the antibacterial activity of nanocomposite scaffolds was evaluated against Staphylococcus epidermidis and Klebsiella spp., with a resulting 99.99% inhibition of both bacteria using a small quantity of nanoparticles. Cytotoxicity was evaluated with the T10 1/2 test against fibroblast cells. The results demonstrated that porous nanogold/PU scaffolds have no toxic effects on fibroblast cells to the 5 day exposition. With respect to mechanical properties, stress strain curves showed that the compressive modulus and yield strength of PU scaffolds were significantly enhanced by AuNPs (by at least 10 times). This is due to changes in the arrangement of hard segments of PU, which increase the stiffness of the polymer. Thermogravimetric analysis showed that the degradation onset temperature rises with an increase in the quantity of AuNPs. These properties and characteristics demonstrate that porous nanogold/PU scaffolds are suitable material for use in soft tissue implants.</t>
  </si>
  <si>
    <t>kogan, Marcelo/I-2868-2013; riveros, ana/AAD-2134-2020; Paez, Maritza/M-2010-2014; Urzúa, Alfonso/A-1208-2012; Azocar, Manuel/I-1226-2013; Tamayo, Laura/I-8942-2018</t>
  </si>
  <si>
    <t>Kogan, Marcelo/0000-0003-0608-5087; Leal, Matias S./0000-0002-7145-1920; paez, maritza/0000-0001-5881-884X; Azocar Guzman, Manuel/0000-0003-1098-4659; Tamayo, Laura/0000-0003-1159-5305; Urzua Acevedo, Marcela Del Pilar/0000-0002-2371-620X; Riveros, Ana Luisa/0000-0002-1926-4562; Acuna Conejeros, Daniela del Carmen/0009-0004-4702-8227</t>
  </si>
  <si>
    <t>1944-8244</t>
  </si>
  <si>
    <t>1944-8252</t>
  </si>
  <si>
    <t>APR 25</t>
  </si>
  <si>
    <t>10.1021/acsami.8b02347</t>
  </si>
  <si>
    <t>WOS:000431150900013</t>
  </si>
  <si>
    <t>Benavides-Rodríguez, L; García-Hermoso, A; Rodrigues-Bezerra, D; Izquierdo, M; Correa-Bautista, JE; Ramírez-Vélez, R</t>
  </si>
  <si>
    <t>Benavides-Rodriguez, Lorena; Garcia-Hermoso, Antonio; Rodrigues-Bezerra, Diogo; Izquierdo, Mikel; Enrique Correa-Bautista, Jorge; Ramirez-Velez, Robinson</t>
  </si>
  <si>
    <t>Relationship between Handgrip Strength and Muscle Mass in Female Survivors of Breast Cancer: A Mediation Analysis</t>
  </si>
  <si>
    <t>This study explored the mediating factors of sarcopenia in a group of women survivors of breast cancer in Bogota, Colombia. This was a descriptive cross-sectional study with 98 women survivors of breast cancer, who were registered with the SIMMON (Integrated Synergies to Improve Oncological Management in Colombia) Foundation. Body weight, height, and waist circumference (WC) were measured, and body mass index (BMI) was calculated. Body composition (percentage of fat and muscle mass) was evaluated via four-pole bioelectrical impedance analysis. Sarcopenia was defined as low muscle mass plus low grip strength or low gait speed (European Working Group on Sarcopenia in Older People (EWGSOP) criteria). A causal mediation analysis with the Baron &amp; Kenny procedure (PROCESS (R) macro, Columbus, OH, USA) was used to explore variables related to sarcopenia. Analyses were performed with the IBM SPSS 21 statistical package (SPSS Inc., Chicago, IL, USA). The significance level of the results obtained in the hypothesis contrast was p &lt; 0.05. The mean age of the sample was 65.5 +/- 5.9 years, with a BMI of 27.8 +/- 4.7 kg/m(2). The prevalence of sarcopenia was 22.4%. Linear regression models suggest a partial mediation of anthropometric parameters (body mass, body mass index and waist circumference) in the association between handgrip strength and muscle mass. In conclusion, one in every five women survivors of breast cancer had sarcopenia. The findings seem to emphasize the importance of obesity prevention in women survivors of breast cancer, suggesting that high handgrip strength may not relate closely to greater muscle mass and therefore would not exclude the risk of sarcopenia.</t>
  </si>
  <si>
    <t>Correa-Bautista, Jorge Enrique/JDD-3131-2023; García-Hermoso, Antonio/ADU-2591-2022; Ramirez-Velez, Robinson/D-5311-2016; Izquierdo, Mikel/A-4894-2010; Garcia-Hermoso, Antonio/P-1857-2017; Correa-Bautista, Jorge Enrique/N-2741-2015</t>
  </si>
  <si>
    <t>Ramirez-Velez, Robinson/0000-0003-3075-6960; Izquierdo, Mikel/0000-0002-1506-4272; Garcia-Hermoso, Antonio/0000-0002-1397-7182; Correa-Bautista, Jorge Enrique/0000-0002-0646-2316</t>
  </si>
  <si>
    <t>10.3390/nu9070695</t>
  </si>
  <si>
    <t>WOS:000406679700052</t>
  </si>
  <si>
    <t>Kuschel, K; Lepeley, MT; Espinosa, F; Gutiérrez, S</t>
  </si>
  <si>
    <t>Kuschel, Katherina; Lepeley, Maria-Teresa; Espinosa, Fernanda; Gutierrez, Sebastian</t>
  </si>
  <si>
    <t>Funding challenges of Latin American women start-up founders in the technology industry</t>
  </si>
  <si>
    <t>CROSS CULTURAL &amp; STRATEGIC MANAGEMENT</t>
  </si>
  <si>
    <t>Purpose - Women in entrepreneurship can have a significant impact on economic and social development globally and particularly in developing countries. But the challenges entrepreneurial women face are unique and multiple, pressing the need for research and policies to maximize impact. The purpose of this paper is to analyze the challenges women start-up founders face to secure funding in the technology industry. The tech industry was selected because it is a non-traditional industry for women with high potential for role models to bridge an existing gap in information on women start-up founders to secure capital financing to attain business sustainability. It covers venture capital investors' role, Latin American cultural reasons, and gender. Design/methodology/approach - This study is based on an inductive, qualitative approach and in-depth interviews with 20 women entrepreneurs and start-up founders from Latin American countries who received support from the Chilean Government sponsored accelerator Start-Up Chile. Findings - The analysis uncovered ten aspects that impact entrepreneurial women founders' access to capital in three categories: capital needs, networks, and individual characteristics. Originality/value - This study identifies factors that affect women entrepreneurs in raising capital and in facing the following challenges: first, working in a non-traditional field for women as it is the technology industry, and second assuming a leadership role as start-up founders. The results offer recommendation with potential to drive public policies in Latin America, which may be scalable to other developing and also to developed countries where market systems prevail. The findings show that women entrepreneurs, but also men, seeking start-up financing and alternatives are a viable source of employment and economic sustainability to mitigate the effects of increasing levels of unemployment worldwide.</t>
  </si>
  <si>
    <t>Lepeley, Maria-Teresa/N-6628-2016; Kuschel, Katherina/I-4708-2019</t>
  </si>
  <si>
    <t>Lepeley, Maria-Teresa/0000-0002-0441-0889; Kuschel, Katherina/0000-0002-1465-3411; Gutierrez Lillo, Sebastian/0000-0003-3714-0632</t>
  </si>
  <si>
    <t>2059-5794</t>
  </si>
  <si>
    <t>10.1108/CCSM-03-2016-0072</t>
  </si>
  <si>
    <t>WOS:000402883000007</t>
  </si>
  <si>
    <t>Yin, F; Makris, D; Velastin, SA; Ellis, T</t>
  </si>
  <si>
    <t>Yin, Fei; Makris, Dimitrios; Velastin, Sergio A.; Ellis, Tim</t>
  </si>
  <si>
    <t>Calibration and object correspondence in camera networks with widely separated overlapping views</t>
  </si>
  <si>
    <t>IET COMPUTER VISION</t>
  </si>
  <si>
    <t>This study contributes in two ways to the research of multi-camera object tracking in the context of visual surveillance. Firstly, a semi-automatic scene calibration method is proposed to deal with mapping a network of cameras with overlapped fields of view onto a single ground plane view, even when the overlap is not substantial. The proposed method uses a semi-supervised approach that combines tracked blobs with user-selected line scene features to recover the homographies between camera views that are both simple and accurate. Then, based on the scene calibration information, the intersection points of the projected vertical axis of single camera blobs are used to make object correspondences across multiple views. The method works in mixed environments of both pedestrians and vehicles, and is shown to be accurate and robust against segmentation noise and occlusions. Finally, the advantage of the proposed method is demonstrated by quantitative tracking performance evaluation and comparison against previous methods.</t>
  </si>
  <si>
    <t>Makris, Dimitrios/D-4224-2009</t>
  </si>
  <si>
    <t>Makris, Dimitrios/0000-0001-6170-0236; VELASTIN, SERGIO ALEJANDRO/0000-0001-6775-7137</t>
  </si>
  <si>
    <t>1751-9632</t>
  </si>
  <si>
    <t>1751-9640</t>
  </si>
  <si>
    <t>10.1049/iet-cvi.2013.0301</t>
  </si>
  <si>
    <t>WOS:000354370600005</t>
  </si>
  <si>
    <t>Flores, EIS; DiazDelao, FA; Friswell, MI; Ajaj, RM</t>
  </si>
  <si>
    <t>Saavedra Flores, E. I.; DiazDelao, F. A.; Friswell, M. I.; Ajaj, R. M.</t>
  </si>
  <si>
    <t>Investigation on the extensibility of the wood cell-wall composite by an approach based on homogenisation and uncertainty analysis</t>
  </si>
  <si>
    <t>COMPOSITE STRUCTURES</t>
  </si>
  <si>
    <t>This paper investigates the extensibility of the wood cell-wall composite in the presence of parametric uncertainty by means of a multi-scale finite element approach. Normally, the three fundamental phases in wood, that is, cellulose, lignin and hemicellulose, present considerable scatter in their microstructure and mechanical properties. Nevertheless, by considering uncertainty in their properties, a significant computational cost is added to the solution of a large set of realisations represented by expensive fully-coupled multi-scale analyses. In order to tackle this high cost, we build a statistical approximation to the output of the computer model. Following this strategy, several micromechanical parameters are perturbed to study their influence on the extensibility of the material under tensile loading conditions. By reducing the cost of performing uncertainty analysis of the homogenised mechanical response, we are able to estimate the 5-th, 50-th, and 95-th percentile of the ultimate tensile strains of the material. We contrast our numerical predictions with experimental data, finding a good agreement for a wide range of initial microfibril angles. (C) 2013 Elsevier Ltd. All rights reserved.</t>
  </si>
  <si>
    <t>Flores, Erick/I-7646-2012; Ajaj, Rafic/P-6314-2016; Friswell, Michael/B-5581-2009</t>
  </si>
  <si>
    <t>Friswell, Michael/0000-0003-4677-7395</t>
  </si>
  <si>
    <t>0263-8223</t>
  </si>
  <si>
    <t>1879-1085</t>
  </si>
  <si>
    <t>10.1016/j.compstruct.2013.08.034</t>
  </si>
  <si>
    <t>WOS:000329881500021</t>
  </si>
  <si>
    <t>Ayoub, H; Lair, V; Griveau, S; Brunswick, P; Zagal, JH; Bedioui, F; Cassir, M</t>
  </si>
  <si>
    <t>Ayoub, Hanna; Lair, Virginie; Griveau, Sophie; Brunswick, Philippe; Zagal, Jose H.; Bedioui, Fethi; Cassir, Michel</t>
  </si>
  <si>
    <t>Electrochemical Kinetics of Anodic Ni Dissolution in Aqueous Media as a Function of Chloride Ion Concentration at pH Values Close to Physiological Conditions</t>
  </si>
  <si>
    <t>We have studied the electrochemical kinetics of anodic Ni dissolution as a function of chloride ion concentration, at pH 5, 6 and 7, in order to mimic the conditions of sweat samples. Our results show that the rate-determining step for Ni dissolution in the mentioned pH range is the transfer of one first electron, as suggested by the Tafel slopes close to 0.120 V/decade. However, the reaction order in chloride ion varies from ca. 2 at pH 7 to values close to unity for pH values between 5 and 6. This finding is very important for sensor applications in sweat fluids since the sensitivity of the Ni electrode to chloride ions is higher in neutral solutions (pH ca. 7) compared to that in slightly acid solutions (pH between 5 and 6). Small variations in pH in real samples are expected so this change in sensitivity should be considered when sensing chloride ions in sweat fluids.</t>
  </si>
  <si>
    <t>LAIR, Virginie/0000-0003-4438-6307; Bedioui, Fethi/0000-0002-0063-4412</t>
  </si>
  <si>
    <t>10.1002/elan.201100571</t>
  </si>
  <si>
    <t>WOS:000299738900025</t>
  </si>
  <si>
    <t>Urzúa, MD; Briones, XG; Carrasco, LP; Encinas, MV; Petri, DFS</t>
  </si>
  <si>
    <t>Urzua, M. D.; Briones, X. G.; Carrasco, L. P.; Encinas, M. V.; Petri, D. F. S.</t>
  </si>
  <si>
    <t>Adsorption of anionic amphiphilic polyelectrolytes onto amino-terminated solid surfaces</t>
  </si>
  <si>
    <t>POLYMER</t>
  </si>
  <si>
    <t>The adsorption behavior of several amphiphilic polyelectrolytes of poly(maleic anhydride-alt-styrene) functionalized with naphthyl and phenyl groups, onto amino-terminated silicon wafer has been studied by means of null- ellipsometry, atomic force microscopy (AFM) and contact angle measurements. The maximum of adsorption, Gamma(plateau), varies with the ionic strength, the polyelectrolyte structure and the chain length. Values of Gamma(plateau) obtained at low and high ionic strengths indicate that the adsorption follows the screening-reduced adsorption regime. Large aggregates were detected in solution by means of dynamic light scattering and fluorescence measurements. However. AFM indicated the formation of smooth layers and the absence of aggregates. A model based on a two-step adsorption behavior was proposed. In the first one, isolated chains in equilibrium with the aggregates in solution adsorbed onto amino-terminated surface. The adsorption is driven by electrostatic interaction between protonated surface and carboxylate groups. This first layer exposes naphtyl or phenyl groups to the solution. The second layer adsorption is now driven by hydrophobic interaction between surface and chains and exposes carboxylate groups to the medium, which repel the forthcoming chain by electrostatic repulsion. Upon drying some hydrophobic naphtyl or phenyl groups might be oriented to the air, as revealed by contact angle measurements. Such amphiphilic polyelectrolyte layers worked well for the building-up of multilayers with chitosan. (C) 2010 Elsevier Ltd. All rights reserved.</t>
  </si>
  <si>
    <t>BRIONES, XIMENA/G-3554-2016; Urzúa, Marcela/E-1429-2014; Encinas, Maria/L-9686-2014; PETRI, DENISE/H-5004-2012</t>
  </si>
  <si>
    <t>BRIONES, XIMENA/0000-0003-2343-260X; Urzua Acevedo, Marcela Del Pilar/0000-0002-2371-620X</t>
  </si>
  <si>
    <t>0032-3861</t>
  </si>
  <si>
    <t>1873-2291</t>
  </si>
  <si>
    <t>JUL 8</t>
  </si>
  <si>
    <t>10.1016/j.polymer.2010.05.054</t>
  </si>
  <si>
    <t>WOS:000279756000017</t>
  </si>
  <si>
    <t>Sepulveda, W; Wojakowski, AB; Elias, D; Otaño, L; Gutierrez, J</t>
  </si>
  <si>
    <t>Congenital dacryocystocele -: Prenatal 2-and 3-dimensional sonographic findings</t>
  </si>
  <si>
    <t>JOURNAL OF ULTRASOUND IN MEDICINE</t>
  </si>
  <si>
    <t>Objective. The purpose of this series is to present our experience with cases of dacryocystocele diagnosed prenatally. The role of prenatal 3-dimensional sonography, as an adjunct to 2-dimensional sonography, in the prenatal assessment of these cases is emphasized. Methods. A retrospective review of cases was conducted. Information was obtained by reviewing the sonographic reports and medical records. Outcomes were obtained from the referring obstetricians or directly from the parents. Results. Ten fetuses had the diagnosis of a congenital dacryocystocele at a median gestational age of 30.1 weeks (range, 27-33 weeks). In 6 cases, the cystic lesion was unilateral, and in 4 it was bilateral, with a mean largest diameter at the time of diagnosis of 7.5 mm (range, 4-11 mm). There were no other associated findings. Three-dimensional sonography, carried out in 3 cases, clearly depicted the anomaly, the degree of intranasal extension, and swelling below the medial canthal area. Spontaneous resolution was documented prenatally in 5 fetuses, and 1 additional case resolved between the last prenatal scan and the delivery. There were no reported long-term complications associated with this finding, although 1 infant required probing at 2 months of age to resolve the dacryocystocele. Conclusions. Prenatal diagnosis of dacryocystocele is straightforward. A considerable number of lesions are bilateral, and many resolve in utero spontaneously or neonatally after minimal intervention. For those not resolving by the time of the delivery ophthalmologic or rhinologic consultation is warranted because of potential complications. Three-dimensional sonography may provide a noninvasive method for evaluating these cystic masses and may contribute to the avoidance of additional diagnostic techniques in the neonatal period.</t>
  </si>
  <si>
    <t>Otaño, Lucas/ABC-6947-2020</t>
  </si>
  <si>
    <t>Otano, Lucas/0000-0003-0172-1304</t>
  </si>
  <si>
    <t>0278-4297</t>
  </si>
  <si>
    <t>1550-9613</t>
  </si>
  <si>
    <t>10.7863/jum.2005.24.2.225</t>
  </si>
  <si>
    <t>WOS:000226585800014</t>
  </si>
  <si>
    <t>Goycoolea, JF; Hérrera, LH; Prez-Lantero, P; Seara, C</t>
  </si>
  <si>
    <t>Goycoolea, Jose Fernandez; Herrera, Luis H.; Perez-Lantero, Pablo; Seara, Carlos</t>
  </si>
  <si>
    <t>Computing the coarseness measure of a bicolored point set over guillotine partitions</t>
  </si>
  <si>
    <t>RESULTS IN APPLIED MATHEMATICS</t>
  </si>
  <si>
    <t>The coarseness of a set of points in the plane colored red and blue is a measure of how well the points are mixed together. It has appealing theoretical properties, including a connection to the set of points tendency to accept a good clustering partition. Yet, it is computationally expensive to compute exactly. In this paper, the notion of computing the coarseness using a guillotine partition approach is introduced, and efficient algorithms for computing this guillotine coarseness are presented: a top-down approach and a dynamic programming approach, both of them achieving polynomial time and space complexities. Finally, an even faster O ( n 2 log 2 n) polynomial-time algorithm to compute a reduced version of the measurement named two- level guillotine coarseness is presented using geometric data structures for faster computations. These restrictions establish lower bounds for the general guillotine coarseness that allow the development of more efficient algorithms for computing it.</t>
  </si>
  <si>
    <t>Fernandez Goycoolea, Jose/LZI-2164-2025; Seara, Carlos/Z-3370-2019; Hernan, Luis/LIG-5999-2024</t>
  </si>
  <si>
    <t>Hernan, Luis/0000-0001-7338-7611; Fernandez Goycoolea, Jose/0000-0001-5349-4348; Seara, Carlos/0000-0002-0095-1725</t>
  </si>
  <si>
    <t>2590-0374</t>
  </si>
  <si>
    <t>10.1016/j.rinam.2024.100503</t>
  </si>
  <si>
    <t>WOS:001349976800001</t>
  </si>
  <si>
    <t>Hernandez-Martinez, J; Perez-Carcamo, J; Coñapi-Union, B; Canales-Canales, S; Negron-Molina, M; Avila-Valencia, S; Cid-Calfucura, I; Herrera-Valenzuela, T; Cisterna, D; Branco, BHM; Valdés-Badilla, P</t>
  </si>
  <si>
    <t>Hernandez-Martinez, Jordan; Perez-Carcamo, Joaquin; Conapi-Union, Bayron; Canales-Canales, Sebastian; Negron-Molina, Mario; Avila-Valencia, Sergio; Cid-Calfucura, Izham; Herrera-Valenzuela, Tomas; Cisterna, Diego; Branco, Braulio Henrique Magnani; Valdes-Badilla, Pablo</t>
  </si>
  <si>
    <t>Relationship between Body Composition and Physical Performance by Sex in Professional Basketball Players</t>
  </si>
  <si>
    <t>This study aimed to identify the relationship between body composition (fat-free mass and body fat percentage) and physical performance (countermovement jump, CMJ; throwing ball; maximal isometric handgrip strength, MIHS dominant and non-dominant hands; 10-m and 20-m sprints with and without ball) in Chilean professional basketball players. Its secondary aim was to analyze if there were differences in body composition and physical performance according to sex. This was a cross-sectional study that analyzed 23 professional basketball players with a mean age of 24.0 +/- 4.92 years, distributed among male professional basketball players (male professional BPs, n = 12) and female professional basketball players (female professional BPs, n = 14). The main results indicate the correlation presented significant relationships between fat-free mass with CMJ (r = 0.760; p &lt; 0.0001; ES = 1.43), MIHS dominant hand (r = 0.783; p &lt; 0.0001; ES = 1.50) and MIHS non-dominant hand (r = 0.805; p &lt; 0.0001; ES = 1.85), throwing ball (r = 0.586; p = 0.001; ES = 0.56), 10 m sprint with ball (r = -0.510; p = 0.007; ES = 0.35), and 20 m sprint with ball (r = -0.143; p = 0.046; ES = 0.16). As did body fat percentage with CMJ (r = -0.647; p = 0.000; ES = 0.56), throwing the ball (r = -0.657; p = 0.000; ES = 0.58), MIHS dominant hand (r = -0.745; p &lt; 0.0001; ES = 1.17), and MIHS non-dominant hand (r = -0.820; p &lt; 0.0001; ES = 1.50). In conclusion, body composition is related to physical performance in professional basketball players. Meanwhile, male professional BPs had better body composition and physical performance than female professional BPs.</t>
  </si>
  <si>
    <t>Hernandez-Martinez, Jordan/AAK-5115-2020; Branco, Braulio/AAA-1747-2019; Herrera-Valenzuela, Tomas/L-1819-2019; Magnani Branco, Braulio Henrique/B-8178-2017</t>
  </si>
  <si>
    <t>Valdes-Badilla, Pablo/0000-0002-3948-8280; Herrera-Valenzuela, Tomas/0000-0002-5219-5896; Magnani Branco, Braulio Henrique/0000-0002-4625-9128; Cid, Izham/0000-0002-2172-867X</t>
  </si>
  <si>
    <t>10.3390/app14209165</t>
  </si>
  <si>
    <t>WOS:001342654900001</t>
  </si>
  <si>
    <t>Wu, T; Lyu, M; Wu, X; Yang, MZ; Wang, YZ; Huang, SD; Ouyang, XP; Rodriguez, J</t>
  </si>
  <si>
    <t>Wu, Ting; Lyu, Mingcheng; Wu, Xuan; Yang, Meizhou; Wang, Yizhe; Huang, Shoudao; Ouyang, Xiaoping; Rodriguez, Jose</t>
  </si>
  <si>
    <t>Enhanced Model Predictive Control for PMSM Based on Reference Voltage Predictive Model</t>
  </si>
  <si>
    <t>IEEE JOURNAL OF EMERGING AND SELECTED TOPICS IN POWER ELECTRONICS</t>
  </si>
  <si>
    <t>Model predictive torque control (MPTC) for permanent magnet synchronous motor (PMSM) suffers from multiparameter sensitivities and complicated weighting factors tuning. To solve the above problems, an enhanced model predictive control based on the reference voltage predictive model (RVPM) is proposed in this article. In the proposed RVPM, the parameters of inductance and flux are eliminated, and the effect of mismatched resistance parameters is suppressed by introducing the current increment multiplied by resistance. Therefore, the ability of the system to resist parameter mismatches is effectively strengthened without using parameter identification or disturbance estimation. Then, the reference voltage vectors (RVVs) can be directly obtained in the RVPM to design a cost function without the weighting factor. In addition, the traditional speed controller applying the linear proportional-integral (PI) control has poor performance in the face of uncertain disturbances. A discrete-time disturbance observer (DDOB) serves as the speed controller to restrain the influence of lump disturbances and improves the system's dynamic response performance. Finally, the experimental results confirm the superiority of the proposed method.</t>
  </si>
  <si>
    <t>Rodriguez, Jose/A-2534-2013</t>
  </si>
  <si>
    <t>Rodriguez, Jose/0000-0002-1410-4121; Wu, Ting/0000-0003-0763-3313; Wang, Yizhe/0000-0002-1059-3597</t>
  </si>
  <si>
    <t>2168-6777</t>
  </si>
  <si>
    <t>2168-6785</t>
  </si>
  <si>
    <t>10.1109/JESTPE.2023.3307469</t>
  </si>
  <si>
    <t>WOS:001238652800065</t>
  </si>
  <si>
    <t>Garcia-Calavaro, C; Harrison, LH; Pokutnaya, D; Mair, CF; Brooks, MM; van Panhuis, W</t>
  </si>
  <si>
    <t>Garcia-Calavaro, Christian; Harrison, Lee H.; Pokutnaya, Darya; Mair, Christina F.; Brooks, Maria M.; van Panhuis, Wilbert</t>
  </si>
  <si>
    <t>North to south gradient and local waves of influenza in Chile</t>
  </si>
  <si>
    <t>Influenza seasonality is caused by complex interactions between environmental factors, viral mutations, population crowding, and human travel. To date, no studies have estimated the seasonality and latitudinal patterns of seasonal influenza in Chile. We obtained influenza-like illness (ILI) surveillance data from 29 Chilean public health networks to evaluate seasonality using wavelet analysis. We assessed the relationship between the start, peak, and latitude of the ILI epidemics using linear and piecewise regression. To estimate the presence of incoming and outgoing traveling waves (timing vs distance) between networks and to assess the association with population size, we used linear and logistic regression. We found a north to south gradient of influenza and traveling waves that were present in the central, densely populated region of Chile. Our findings suggest that larger populations in central Chile drive seasonal influenza epidemics.</t>
  </si>
  <si>
    <t>Garcia, Christian/KLY-8785-2024</t>
  </si>
  <si>
    <t>Mair, Christina/0000-0003-3841-3313; Garcia, Christian/0000-0001-9010-2614; Pokutnaya, Darya/0000-0003-4699-8411</t>
  </si>
  <si>
    <t>FEB 14</t>
  </si>
  <si>
    <t>10.1038/s41598-022-06318-0</t>
  </si>
  <si>
    <t>WOS:000755212600042</t>
  </si>
  <si>
    <t>Rivas, F; Poblete-Aro, C; Pando, ME; Allel, MJ; Fernandez, V; Soto, A; Nova, P; Garcia-Diaz, D</t>
  </si>
  <si>
    <t>Rivas, Francisca; Poblete-Aro, Carlos; Pando, Maria Elsa; Allel, Maria Jose; Fernandez, Valentina; Soto, Angelica; Nova, Pablo; Garcia-Diaz, Diego</t>
  </si>
  <si>
    <t>Effects of Polyphenols in Aging and Neurodegeneration Associated with Oxidative Stress</t>
  </si>
  <si>
    <t>CURRENT MEDICINAL CHEMISTRY</t>
  </si>
  <si>
    <t>Aging is defined as the functional loss of tissues and organs over time. This is a biological, irreversible, progressive, and universal process that results from genetic and environmental factors, such as diet, physical activity, smoking, harmful alcohol consumption, and exposure to toxins, among others. Aging is a consequence of molecular and cellular damage built up over time. This damage begins with a gradual decrease in physical and mental capacity, thus increasing the risk of neurodegenerative diseases such as Alzheimer's and Parkinson's disease. Neuronal, functional, and structural damage can be explained by an imbalance among free radicals, reactive oxygen species, reactive nitrogen species, and antioxidants, which finally lead to oxidative stress. Due to the key role of free radicals, reactive oxygen species, and reactive nitrogen species, antioxidant therapy may reduce the oxidative damage associated with neurodegeneration. Exogenous antioxidants are molecules that may help maintain the balance between the formation and elimination of free radicals, thus protecting the cell from their toxicity. Among them, polyphenols are a broad group of secondary plant metabolites with potent antioxidant properties. Here, we review several studies that show the potential role of polyphenol consumption to prevent, or slow down, harmful oxidative processes linked to neurodegenerative disorders.</t>
  </si>
  <si>
    <t>Poblete, Carlos/HOF-8260-2023; Garcia, Diego/AGH-4056-2022; Pando, Maria/AAS-5163-2021</t>
  </si>
  <si>
    <t>Poblete-Aro, Carlos/0000-0001-9554-3996; NOVA BAEZA, PABLO IGNACIO/0000-0003-0098-0224; Pando, Maria/0000-0002-4548-6118; Garcia-Diaz, Diego/0000-0002-7551-0553</t>
  </si>
  <si>
    <t>0929-8673</t>
  </si>
  <si>
    <t>1875-533X</t>
  </si>
  <si>
    <t>10.2174/0929867328666211101100632</t>
  </si>
  <si>
    <t>WOS:000823243400010</t>
  </si>
  <si>
    <t>Arias, P; Bernal, N; Karamitros, D; Maldonado, C; Roszkowski, L; Venegas, M</t>
  </si>
  <si>
    <t>Arias, Paola; Bernal, Nicolas; Karamitros, Dimitrios; Maldonado, Carlos; Roszkowski, Leszek; Venegas, Moira</t>
  </si>
  <si>
    <t>New opportunities for axion dark matter searches in nonstandard cosmological models</t>
  </si>
  <si>
    <t>We study axion dark matter production from a misalignment mechanism in scenarios featuring a general nonstandard cosmology. Before the onset of Big Bang nucleosynthesis, the energy density of the universe is dominated by a particle field phi described by a general equation of state omega. The ensuing enhancement of the Hubble expansion rate decreases the temperature at which axions start to oscillate, opening this way the possibility for axions heavier than in the standard window. This is the case for kination, or in general for scenarios with omega 1/3. However, if omega &lt; 1/3, as in the case of an early matter domination, the decay of phi injects additional entropy relative to the case of the standard model, diluting this way the preexisting axion abundance, and rendering lighter axions viable. For a misalignment angle 0.5 &lt; theta(i) &lt; pi/root 3, the usual axion window becomes expanded to 4x10(-9) eV less than or similar to m(a) less than or similar to 2x10(-5) eV for the case of an early matter domination, or to 2 x 10(-6) eV less than or similar to m(a) less than or similar to 10(-2) eV for the case of kination. Interestingly, the coupling axion-photon in such a wider range can be probed with next generation experiments such as ABRACADABRA, KLASH, ADMX, MADMAX, and ORGAN. Axion dark matter searches may therefore provide a unique tool to probe the history of the universe before Big Bang nucleosynthesis.</t>
  </si>
  <si>
    <t>Karamitros, Dimitrios/LJL-6500-2024; Roszkowski, Leszek/JPK-6178-2023; Arias, Paola/Q-5912-2017; Bernal, Nicolas/L-5091-2014</t>
  </si>
  <si>
    <t>Karamitros, Dimitrios/0000-0001-8284-743X; Arias, Paola/0000-0001-5551-9182; Roszkowski, Leszek/0000-0003-2346-0512; Maldonado, Carlos/0000-0001-7929-1733; Bernal, Nicolas/0000-0003-1069-490X</t>
  </si>
  <si>
    <t>10.1088/1475-7516/2021/11/003</t>
  </si>
  <si>
    <t>WOS:000717655100003</t>
  </si>
  <si>
    <t>Avudaiappan, S; Prabu, K; Selvaraj, D; Raja, K; Awoyera, PO; Flores, EIS</t>
  </si>
  <si>
    <t>Avudaiappan, Siva; Prabu, Kinson; Selvaraj, Deban; Raja, Kiran; Awoyera, Paul Oluwaseun; Saavedra Flores, Erick, I</t>
  </si>
  <si>
    <t>Performance of Pier-to-Pier Cap Connections of Integral Bridges under Thermal and Seismic Loads</t>
  </si>
  <si>
    <t>ADVANCES IN CIVIL ENGINEERING</t>
  </si>
  <si>
    <t>In general, most highway bridges are constructed using prestressed concrete or steel girders. Mechanical joints are provided at the end of each span, to allow for the expansion of the bridge deck due to shrinkage of concrete, thermal effects, and deflections, among others. Smooth riding ability, low noise, wear resistance, and water tightness should be provided by expansion joints. In recent times, the increased traffic volume, along with heavier vehicle movements, adversely affects the performance of expansion joints in the bridge girder, causing a possible failure in one of the above-mentioned mechanisms. The deterioration of the expansion joint may result in leakage of water, concrete cracking, and potential problems in the underlying substructure. In this paper, we study the pier-pier cap connections in integral bridges subjected to thermal and seismic loads using analytical methods and experimental tests.</t>
  </si>
  <si>
    <t>Flores, Erick/I-7646-2012; Awoyera, Paul/AAI-5038-2020; Avudaiappan, Siva/AAV-7579-2021</t>
  </si>
  <si>
    <t>Awoyera, Paul/0000-0002-6212-5090; AVUDAIAPPAN, SIVA/0000-0002-4289-4298</t>
  </si>
  <si>
    <t>1687-8086</t>
  </si>
  <si>
    <t>1687-8094</t>
  </si>
  <si>
    <t>AUG 11</t>
  </si>
  <si>
    <t>10.1155/2021/5580841</t>
  </si>
  <si>
    <t>WOS:000687468200002</t>
  </si>
  <si>
    <t>Cerda, FMC; Goulas, C; Kestens, LAI</t>
  </si>
  <si>
    <t>Castro Cerda, F. M.; Goulas, C.; Kestens, L. A. I.</t>
  </si>
  <si>
    <t>Balanced Constrained Carbon Equilibrium Accompanied by Carbide Precipitation</t>
  </si>
  <si>
    <t>METALLURGICAL AND MATERIALS TRANSACTIONS A-PHYSICAL METALLURGY AND MATERIALS SCIENCE</t>
  </si>
  <si>
    <t>The final carbon content of austenite in equilibrium with tempered martensite can be estimated by the so-called constrained carbon equilibrium in the presence of carbide (CCE theta) model. However, the linear predictions under CCE theta deviate from both the initial and the experimentally measured carbon content. A modified approach to the CCE theta model is proposed, which predicts an increase of the carbon content in austenite with the decrease of temperature below the onset of martensitic transformation.</t>
  </si>
  <si>
    <t>Castro Cerda, Felipe Manuel/0000-0001-8126-5593; Goulas, Constantinos/0000-0003-4910-1761</t>
  </si>
  <si>
    <t>1073-5623</t>
  </si>
  <si>
    <t>1543-1940</t>
  </si>
  <si>
    <t>10.1007/s11661-021-06240-6</t>
  </si>
  <si>
    <t>WOS:000636621800001</t>
  </si>
  <si>
    <t>Devia, J; Bastías, C; Kessi-Pérez, EI; Villarroel, CA; De Chiara, M; Cubillos, FA; Liti, G; Martínez, C; Salinas, F</t>
  </si>
  <si>
    <t>Devia, Joaquin; Bastias, Camila; Kessi-Perez, Eduardo I.; Villarroel, Carlos A.; De Chiara, Matteo; Cubillos, Francisco A.; Liti, Gianni; Martinez, Claudio; Salinas, Francisco</t>
  </si>
  <si>
    <t>Transcriptional Activity and Protein Levels of Horizontally Acquired Genes in Yeast Reveal Hallmarks of Adaptation to Fermentative Environments</t>
  </si>
  <si>
    <t>FRONTIERS IN GENETICS</t>
  </si>
  <si>
    <t>In the past decade, the sequencing of large cohorts of Saccharomyces cerevisiae strains has revealed a landscape of genomic regions acquired by Horizontal Gene Transfer (HGT). The genes acquired by HGT play important roles in yeast adaptation to the fermentation process, improving nitrogen and carbon source utilization. However, the functional characterization of these genes at the molecular level has been poorly attended. In this work, we carried out a systematic analysis of the promoter activity and protein level of 30 genes contained in three horizontally acquired regions commonly known as regions A, B, and C. In three strains (one for each region), we used the luciferase reporter gene and the mCherry fluorescent protein to quantify the transcriptional and translational activity of these genes, respectively. We assayed the strains generated in four different culture conditions; all showed low levels of transcriptional and translational activity across these environments. However, we observed an increase in protein levels under low nitrogen culture conditions, suggesting a possible role of the horizontally acquired genes in the adaptation to nitrogen-limited environments. Furthermore, since the strains carrying the luciferase reporter gene are null mutants for the horizontally acquired genes, we assayed growth parameters (latency time, growth rate, and efficiency) and the fermentation kinetics in this set of deletion strains. The results showed that single deletion of 20 horizontally acquired genes modified the growth parameters, whereas the deletion of five of them altered the maximal CO2 production rate (Vmax). Interestingly, we observed a correlation between growth parameters and Vmax for an ORF within region A, encoding an ortholog to a thiamine (vitamin B1) transporter whose deletion decreased the growth rate, growth efficiency, and CO2 production. Altogether, our results provided molecular and phenotypic evidence highlighting the importance of horizontally acquired genes in yeast adaptation to fermentative environments.</t>
  </si>
  <si>
    <t>Bastìas, Camila/HTN-9054-2023; Martinez, Claudio/MGS-9961-2025; Kessi, Eduardo/AAI-2566-2019; Salinas, Francisco/AAP-9439-2020; Cubillos, Francisco/MIT-2389-2025; Liti, Gianni/I-9929-2014; Cubillos, Francisco/G-5195-2019; Salinas, Francisco/W-3269-2017</t>
  </si>
  <si>
    <t>Cubillos, Francisco/0000-0003-3022-469X; Kessi, Eduardo/0000-0003-4225-9486; De Chiara, Matteo/0000-0003-1014-350X; Villarroel, Carlos/0000-0002-6089-3088; Salinas, Francisco/0000-0002-8391-8145</t>
  </si>
  <si>
    <t>1664-8021</t>
  </si>
  <si>
    <t>APR 30</t>
  </si>
  <si>
    <t>10.3389/fgene.2020.00293</t>
  </si>
  <si>
    <t>WOS:000535599500001</t>
  </si>
  <si>
    <t>Martínez-Pérez, R; Silveira-Bertazzo, G; Rangel, GG; Albiña, P; Hardesty, D; Carrau, RL; Prevedello, DM</t>
  </si>
  <si>
    <t>Martinez-Perez, Rafael; Silveira-Bertazzo, Giuliano; Rangel, Gustavo G.; Albina, Pablo; Hardesty, Douglas; Carrau, Ricardo L.; Prevedello, Daniel M.</t>
  </si>
  <si>
    <t>The historical perspective in approaches to the spheno-petro-clival meningiomas</t>
  </si>
  <si>
    <t>NEUROSURGICAL REVIEW</t>
  </si>
  <si>
    <t>The current literature regarding surgical treatment for tumors in the sphenopetroclival (SPC) region is merely scarce. Through a comprehensive literature review, we investigated the indications, outcomes, and complications of different surgical approaches to the SPC meningiomas. Given its complicated relationship between these slow-progression tumors and some critical neurovascular structures in the SPC region, surgical treatment of these tumors faces the challenge of achieving a maximal grade of resection, while preserving patient functionality. The development of new surgical techniques and approaches in recent years have permitted the advancement in the treatment of these tumors, with acceptable rates of morbidity and mortality. The choice of a surgical approach as a treatment for the lesion depends mainly on the type of tumor extension, surgeon's preferences, and the displacement of neurovascular structures. Rather than focusing on one single strategy of treatment, the skull-base surgeon should tailor the approach based on the origin and features of the lesion; as well as the peculiarities of the surgical anatomy. This strategy aims to decrease morbidity and to optimize tumor resection and patient quality of life.</t>
  </si>
  <si>
    <t>MARTINEZ-PEREZ, Rafael/AAR-5874-2020; Albina-Palmarola, Pablo/AAK-5112-2020; Martinez-Perez, Rafael/E-2408-2014</t>
  </si>
  <si>
    <t>Albina-Palmarola, Pablo/0000-0002-0434-5466; Martinez-Perez, Rafael/0000-0002-2896-2346; Prevedello, Daniel/0000-0003-0214-2339; Hardesty, Douglas/0000-0002-3219-4992</t>
  </si>
  <si>
    <t>0344-5607</t>
  </si>
  <si>
    <t>1437-2320</t>
  </si>
  <si>
    <t>10.1007/s10143-019-01197-y</t>
  </si>
  <si>
    <t>DEC 2019</t>
  </si>
  <si>
    <t>WOS:000500631000001</t>
  </si>
  <si>
    <t>Rojas-Nunez, J; Gonzalez, RI; Bringa, EM; Allende, S; Sepúlveda, P; Arancibia-Miranda, N; Baltazar, SE</t>
  </si>
  <si>
    <t>Rojas-Nunez, Javier; Gonzalez, Rafael I.; Bringa, Eduardo M.; Allende, Sebastian; Sepulveda, Pamela; Arancibia-Miranda, Nicolas; Baltazar, Samuel E.</t>
  </si>
  <si>
    <t>Toward Controlled Morphology of FeCu Nanoparticles: Cu Concentration and Size Effects</t>
  </si>
  <si>
    <t>Bimetallic nanoparticles (NPs) can be tailored by varying the concentration of their constituent elements, resulting in novel structures and/or configurations, leading to interesting electronic, mechanical, and chemical properties. In this paper, by means of molecular dynamics calculations, we study the morphology of bimetallic FeCu NPs as a function of the Cu concentration. Our results evidence a core shell (CS) structure for low Cu concentrations and a Janus (JN)-like morphology for high Cu content. Structural and energy characterizations were performed to determine the atomic-scale behavior of the NPs. Using a continuous model to describe immiscible components, we obtain a stability transition curve between CS and JN-like structures for several NP sizes and concentrations. Results from both methods are compared with experimental data obtained for NPs with low and high Cu content, evidencing a good agreement among the three approaches.</t>
  </si>
  <si>
    <t>Rojas, Javier/JYP-5531-2024; Sepulvedaor, Pamela/GRO-3516-2022; Arancibia-Miranda, Nicolás/I-6743-2013; Baltazar, Samuel/E-1814-2011; Bringa, Eduardo/F-8918-2011; Gonzalez, Rafael I./I-8560-2015</t>
  </si>
  <si>
    <t>Arancibia-Miranda, Nicolas/0000-0002-0142-6922; Baltazar, Samuel/0000-0001-9826-9400; Bringa, Eduardo/0000-0002-1403-1954; Gonzalez, Rafael I./0000-0003-2599-8404; Rojas-Nunez, Javier/0000-0002-2343-3533</t>
  </si>
  <si>
    <t>APR 19</t>
  </si>
  <si>
    <t>10.1021/acs.jpcc.7b11556</t>
  </si>
  <si>
    <t>WOS:000430896500055</t>
  </si>
  <si>
    <t>Venegas, R; Recio, FJ; Zuñiga, C; Viera, M; Oyarzún, MP; Silva, N; Neira, K; Marco, JF; Zagal, JH; Tasca, F</t>
  </si>
  <si>
    <t>Venegas, Ricardo; Recio, Francisco J.; Zuniga, Cesar; Viera, Marco; Oyarzun, Maria-Paz; Silva, Nataly; Neira, Karinna; Marco, Jose F.; Zagal, Jose H.; Tasca, Federico</t>
  </si>
  <si>
    <t>Comparison of the catalytic activity for O2 reduction of Fe and Co MN4 adsorbed on graphite electrodes and on carbon nanotubes</t>
  </si>
  <si>
    <t>PHYSICAL CHEMISTRY CHEMICAL PHYSICS</t>
  </si>
  <si>
    <t>We have compared the electrocatalytic activity of several substituted and unsubstituted Co and Fe N4-macrocyclic complexes (MN4) for the electro-reduction of oxygen with the complexes directly adsorbed on the edge plane of pyrolytic graphite or adsorbed on carbon nanotubes (CNTs). In the presence of CNTs, one order of magnitude higher surface concentrations of MN4 catalysts per geometric area unit could be adsorbed leading to a lower overpotential for the oxygen electro-reduction and activities in the same order of magnitude as the commercially available Pt/C catalysts in basic pH. From Koutecky-Levich regression analysis, the total number of electrons transferred was approximately 2 for all the Co complexes and 4 for all the Fe ones, both in the presence and in the absence of the carbon nanotubes. Furthermore, the Tafel slopes did not vary due to the presence of the CNTs and presented values in the range of -0.06 V decade(-1) for the CoN4 compounds and in the range of -0.04 V decade(-1) for FeN4. When plotting the log of kinetic current densities (i.e. log j(k)) at a constant potential for each complex divided by the surface concentration Gamma, and the number of electrons transferred n for the ORR for each catalyst, versus the difference between the redox potential of the metal active site of the Co(II)/(I) or Fe(III)/(II) catalyst and the reversible potential of the reaction they promote, the catalytic activity increases when the formal potential of the complex becomes more positive and the data obtained with complexes adsorbed on graphite are in agreement with the data obtained when using CNTs indicating that the increase in jk when CNTs are present is only due to an increase in the number of active sites per geometric area of the electrode.</t>
  </si>
  <si>
    <t>Venegas, Ricardo/U-6376-2019; Recio, Francisco/AAB-2148-2020; zagal, jose/L-9648-2014; Tasca, Federico/J-4134-2015; Zúñiga-Loyola, César/AAN-5621-2021; Marco, JF/N-3176-2014</t>
  </si>
  <si>
    <t>Zuniga-Loyola, Cesar/0000-0002-0894-3383; Marco, JF/0000-0002-5147-1449; Oyarzun, Maria Paz/0000-0001-6477-3385; Recio, Francisco/0000-0002-5181-3197; Neira Leon, Karinna/0009-0001-4143-9402; Silva, Nataly/0000-0002-1830-5182; Tasca, Federico/0000-0002-4111-4624; Venegas, Ricardo/0000-0001-7440-484X</t>
  </si>
  <si>
    <t>1463-9076</t>
  </si>
  <si>
    <t>1463-9084</t>
  </si>
  <si>
    <t>10.1039/c7cp03172f</t>
  </si>
  <si>
    <t>WOS:000407763700013</t>
  </si>
  <si>
    <t>Briones, J; Toro, P; Encinas, A; Caballero, L; Denardin, JC; Melo, F; Cerda, E; Robert, S; Lacour, D; Montaigne, F</t>
  </si>
  <si>
    <t>Briones, J.; Toro, P.; Encinas, A.; Caballero, L.; Denardin, J. C.; Melo, F.; Cerda, E.; Robert, S.; Lacour, D.; Montaigne, F.</t>
  </si>
  <si>
    <t>Large area patterned magnetic films by depositing cobalt layers on nano-wrinkled polydimethylsiloxane templates</t>
  </si>
  <si>
    <t>We report on a method to fabricate laterally modulated Co films using the artificially induced nano-wrinkled surface of a polydimethylsiloxane polymeric film as template. Large area patterning of self-organized parallel wrinkles is formed displaying a submicrometer wavelength. The subsequent deposition of a Co layer on this wavy surface yields a uniaxial magnetic anisotropy imposed by the wrinkles' morphology. Measurement of the remanent magnetization and coercive field as a function of the field angle confirms the uniaxial nature of the anisotropy and reveals a reversal mechanism more complex than pure coherent rotation. The magnetostatic origin of the anisotropy is analyzed. (C) 2013 AIP Publishing LLC.</t>
  </si>
  <si>
    <t>Melo, Francisco/M-3923-2014; Montaigne, François/P-2353-2019; Toro, Pascal/M-7218-2019; Denardin, Juliano/S-6407-2019; Lacour, Daniel/J-2630-2015; Encinas, Armando/O-1188-2013</t>
  </si>
  <si>
    <t>Montaigne, Francois/0000-0003-4010-9935; Briones, Joel/0000-0002-1860-0173; Lacour, Daniel/0000-0002-5871-8870; Melo, Francisco Esteban/0000-0001-6818-5476; Encinas, Armando/0000-0003-4965-282X; Denardin, Juliano/0000-0002-1373-6207</t>
  </si>
  <si>
    <t>AUG 12</t>
  </si>
  <si>
    <t>10.1063/1.4818677</t>
  </si>
  <si>
    <t>WOS:000323769000050</t>
  </si>
  <si>
    <t>Teillier, S; Figueroa, JA; Castro, SA</t>
  </si>
  <si>
    <t>Teillier, Sebastian; Figueroa, Javier A.; Castro, Sergio A.</t>
  </si>
  <si>
    <t>Alien species in the western slope of the Coastal Range, Valparaiso Province, Central Chile</t>
  </si>
  <si>
    <t>GAYANA BOTANICA</t>
  </si>
  <si>
    <t>Central Chile supports a rich native flora and a high proportion of alien, naturalized plants. To increase our knowledge about behavior of naturalized plants in central Chile, the flora of the western slope of the Coastal Range (Province Valparaiso, 33 degrees S lat.), was recorded and analyzed. Study sites were placed at natural and anthropic, perturbed areas. Taxonomic richness, species composition, geographic origin, Raunkiaer's life forms, and absolute coverage were recorded. Of the 325 vascular plant species were identified, 110 (34%) were considered alien; 74% of them with European origin, and 10%, European-North African. According to abundance, 27% of the plant coverage was of native species and 73% of non-natives. The natives were distributed in 68 families and the naturalized and cultivated in 28 families. Asteraceae, Poaceae y Fabaceae were the richest in both native and naturalized species. The native species were distributed in 146 genera and non natives in 89. Alstroemeria, Baccharis and Calceolaria were the richest in native species; Erodium, Trifolium, Rumex and Vicia, were rich in alien species. Hemicryptophytes and therophytes were most abundant in natives and naturalized species. We conclude that due to increasing urban and agricultural pressures on soils in Province Valparaiso, it is expected that short-lived alien species with opportunistic, high-reproductive capacity, will increase in diversity and abundance.</t>
  </si>
  <si>
    <t>0016-5301</t>
  </si>
  <si>
    <t>0717-6643</t>
  </si>
  <si>
    <t>WOS:000279530900004</t>
  </si>
  <si>
    <t>Stycholysin II, a cytolysin from the sea anemone Stichodactyla helianthus promotes higher hemolysis in aged red blood cells (vol 51, pg 1383, 2008)</t>
  </si>
  <si>
    <t>10.1016/j.toxicon.2008.06.004</t>
  </si>
  <si>
    <t>WOS:000258816500024</t>
  </si>
  <si>
    <t>Soto, D; Pancetti, F; Marengo, JJ; Sandoval, M; Sandoval, R; Orrego, F; Wyneken, U</t>
  </si>
  <si>
    <t>Protein kinase CK2 in postsynaptic densities: phosphorylation of PSD-95/SAP90 and NMDA receptor regulation</t>
  </si>
  <si>
    <t>BIOCHEMICAL AND BIOPHYSICAL RESEARCH COMMUNICATIONS</t>
  </si>
  <si>
    <t>Protein kinase CK2 (CK2) is highly expressed in rat forebrain where its function is not well understood. Subcellular distribution studies showed that the catalytic subunit of CK2 (CK2alpha) was enriched in postsynaptic densities (PSDs) by 68%. We studied the putative role of CK2 activity on N-methyl-D-aspartate receptor (NMDAR) function using isolated, patch-clamped PSDs in the presence of 2 mM extracellular Mg2+. The usual activation by phosphorylation of the NMDARs in the presence of ATP was inhibited by the selective CK2 inhibitor 5,6-dichloro-1-beta-ribofuranosyl benzimidazole (DRB). This inhibition was voltage-dependent, i.e., 100% at positive membrane potentials, while at negative potentials, inhibition was incomplete. Endogenous CK2 substrates were characterized by their ability to use GTP as a phosphoryl donor and susceptibility to inhibition by DRB. Immunoprecipitation assays and 2D gets indicated that PSD-95/SAP90, the NMDAR scaffolding protein, was a CK2 substrate, while the NR2A/B and NR1 NMDAR subunits were not. These results suggest that postsynaptic NMDAR regulation by CK2 is mediated by indirect mechanisms possibly involving PSD-95/SAP90. (C) 2004 Elsevier Inc. All rights reserved.</t>
  </si>
  <si>
    <t>Sandoval, Rodrigo/I-2792-2013; Pancetti, Floria/A-2491-2013; Wyneken, Ursula/AEF-2609-2022; Soto, Dagoberto/N-6817-2014</t>
  </si>
  <si>
    <t>Wyneken, Ursula/0000-0001-8913-4475; Soto, Dagoberto/0000-0002-7350-1530; Pancetti, Floria/0000-0002-6990-9832; Sandoval, Mauricio/0000-0001-6013-0032</t>
  </si>
  <si>
    <t>0006-291X</t>
  </si>
  <si>
    <t>1090-2104</t>
  </si>
  <si>
    <t>SEP 17</t>
  </si>
  <si>
    <t>10.1016/j.bbrc.2004.07.158</t>
  </si>
  <si>
    <t>WOS:000223675800027</t>
  </si>
  <si>
    <t>Peters, K; Peters, EM; von Schnering, HG; Hönle, W; Schmidt, R; Moya, SA; Gullpi, M; Binder, H</t>
  </si>
  <si>
    <t>Crystal structure of tribromo(3,3′-dimethyl-2,2′-biquinoline)gold(III) hemiglycolate, (C9H5CH3N)2AuBr3 • 0.5(CH2OH)2</t>
  </si>
  <si>
    <t>C22H22AuBr3N2O2, monoclinic, P12(1)/n1 (No. 14), a = 13.071(2) Angstrom, b = 18.345(4) Angstrom, c = 9.670(2) Angstrom, beta = 102.14(1)degrees, V = 2266.9 Angstrom(3), Z = 4, R-gt(F) = 0.044, wR(F) = 0.037, T = 293 K.</t>
  </si>
  <si>
    <t>Gulppi, Miguel/0000-0001-6099-4463</t>
  </si>
  <si>
    <t>WOS:000088244800049</t>
  </si>
  <si>
    <t>VALENCIA, E; WEISS, I; SHAMMA, M; URZUA, A; FAJARDO, V</t>
  </si>
  <si>
    <t>DIHYDRORUGOSINONE, A PSEUDOBENZYLISOQUINOLINE ALKALOID FROM BERBERIS-DARWINII AND BERBERIS-ACTINACANTHA</t>
  </si>
  <si>
    <t>Urzua, Alejandro/0000-0003-2638-0921; Valencia, Emir/0000-0001-5748-9415</t>
  </si>
  <si>
    <t>10.1021/np50036a031</t>
  </si>
  <si>
    <t>WOS:A1984ABE1000031</t>
  </si>
  <si>
    <t>Maldifassi, MC; Guerra-Fernández, MJ; Ponce, D; Alfonso-Bueno, S; Maripillán, J; Vielma, AH; Báez-Matus, X; Marengo, FD; Acuña-Castillo, C; Sáez, JC; Martínez, AD; Cárdenas, AM</t>
  </si>
  <si>
    <t>Maldifassi, Maria Constanza; Guerra-Fernandez, Maria Jose; Ponce, Daniela; Alfonso-Bueno, Samuel; Maripillan, Jaime; Vielma, Alex H.; Baez-Matus, Ximena; Marengo, Fernando D.; Acuna-Castillo, Claudio; Saez, Juan C.; Martinez, Agustin D.; Cardenas, Ana M.</t>
  </si>
  <si>
    <t>Autocrine activation of P2X7 receptors mediates catecholamine secretion in chromaffin cells</t>
  </si>
  <si>
    <t>Background and PurposeATP is highly accumulated in secretory vesicles and secreted upon exocytosis from neurons and endocrine cells. In adrenal chromaffin granules, intraluminal ATP reaches concentrations over 100 mM. However, how these large amounts of ATP contribute to exocytosis has not been investigated.Experimental ApproachExocytotic events in bovine and mouse adrenal chromaffin cells were measured with single cell amperometry. Cytosolic Ca2+ measurements were carried out in Fluo-4 loaded cells. Submembrane Ca2+ was examined in PC12 cells transfected with a membrane-tethered Ca2+ indicator Lck-GCaMP3. ATP release was measured using the luciferin/luciferase assay. Knockdown of P2X7 receptors was induced with short interfering RNA (siRNA). Direct Ca2+ influx through this receptor was measured using a P2X7 receptor-GCamp6 construct.Key ResultsATP induced exocytosis in chromaffin cells, whereas the ectonucleotidase apyrase reduced the release events induced by the nicotinic agonist dimethylphenylpiperazinium (DMPP), high KCl, or ionomycin. The purinergic agonist BzATP also promoted a secretory response that was dependent on extracellular Ca2+. A740003, a P2X7 receptor antagonist, abolished secretory responses of these secretagogues. Exocytosis was also diminished in chromaffin cells when P2X7 receptors were silenced using siRNAs and in cells of P2X7 receptor knockout mice. In PC12 cells, DMPP induced ATP release, triggering Ca2+ influx through P2X7 receptors. Furthermore, BzATP, DMPP, and KCl allowed the formation of submembrane Ca2+ microdomains inhibited by A740003.Conclusion and ImplicationsAutocrine activation of P2X7 receptors constitutes a crucial feedback system that amplifies the secretion of catecholamines in chromaffin cells by favouring submembrane Ca2+ microdomains. image</t>
  </si>
  <si>
    <t>Ponce, Daniela/Q-4221-2019; Acuña-Castillo, Claudio/AAI-7090-2021; Marengo, Fernando Diego/HHN-6611-2022</t>
  </si>
  <si>
    <t>Guerra Fernandez, Maria Jose/0009-0004-0268-0983; Acuna-Castillo, Claudio/0000-0003-3607-6077; Cardenas, Ana M./0000-0002-8747-4916; Martinez, Agustin Demetrio/0000-0001-7842-8400</t>
  </si>
  <si>
    <t>10.1111/bph.16371</t>
  </si>
  <si>
    <t>WOS:001214619500001</t>
  </si>
  <si>
    <t>Damiani, A; Irie, H; Belikov, D; Cordero, RR; Feron, S; Ishizaki, NN</t>
  </si>
  <si>
    <t>Damiani, Alessandro; Irie, Hitoshi; Belikov, Dmitry; Cordero, Raul R.; Feron, Sarah; Ishizaki, Noriko N.</t>
  </si>
  <si>
    <t>Air quality and urban climate improvements in the world's most populated region during the COVID-19 pandemic</t>
  </si>
  <si>
    <t>ENVIRONMENTAL RESEARCH LETTERS</t>
  </si>
  <si>
    <t>In this study, we assessed air quality (AQ) and urban climate during the mobility restrictions implemented in the Greater Tokyo Area, Japan, the world's most populated region, in response to the COVID-19 pandemic. Observations from dense surface networks were analyzed using an interpretable machine learning approach. In parallel with a similar to 50% reduction in mobility and an altered lifestyle of the population, we found limited reductions in nitrogen dioxide; decreases in fine particulate matter not entirely driven by local mobility; minor variations in ozone, with a positive (negative) tendency in areas with high (low) emissions; a decrease in air temperature consistent with mobility; and pollution levels and air temperature changes with well-defined, common spatiotemporal patterns. Specifically, cooling mainly occurred in urbanized areas with an improved AQ. Overall, although reductions in mobility were moderately effective in improving the typical indicators of urban AQ, including those known to negatively impact human health, the reductions in waste heat had a stronger impact on Tokyo's urban heat island, suggestive of a strategy to minimize exposure to heat stress. These findings can help guide urban planning strategies and policies aimed at addressing climate change.</t>
  </si>
  <si>
    <t>Ishizaki, Noriko/G-8850-2019; Cordero, Raul/M-7979-2017; Damiani, Alessandro/X-4677-2019</t>
  </si>
  <si>
    <t>Cordero, Raul R./0000-0001-7607-7993; Damiani, Alessandro/0000-0003-3014-6193; Feron, Sarah/0000-0002-0572-5639</t>
  </si>
  <si>
    <t>1748-9326</t>
  </si>
  <si>
    <t>10.1088/1748-9326/ad25a2</t>
  </si>
  <si>
    <t>WOS:001168953400001</t>
  </si>
  <si>
    <t>Mura, JM; Rabelo, NN; Telles, JPM; Poblete, T; Hernández-Alvarez, V; Muñoz, S; Figueiredo, EG</t>
  </si>
  <si>
    <t>Mura, Jorge M.; Rabelo, Nicollas N.; Telles, Joao P. M.; Poblete, Tomas; Hernandez-Alvarez, Victor; Munoz, Sebastian; Figueiredo, Eberval G.</t>
  </si>
  <si>
    <t>Minipterional Approach for Middle Fossa Skull Base Lesions: Technical Note</t>
  </si>
  <si>
    <t>JOURNAL OF NEUROLOGICAL SURGERY PART B-SKULL BASE</t>
  </si>
  <si>
    <t>Surgical access to the middle fossa can be technically challenging. As neurosurgery evolves to minimally invasive approaches, the objective of this study is to demonstrate the extension of the Minipterional approach to access the middle fossa. We present a new surgical approach to the middle fossa for the treatment of secondary trigeminal neuralgia. Three cases are reported to illustrate the following techniques: a patient with petrotentorial meningioma and trigeminal neuralgia, a patient with an arachnoid cyst compressing the fifth nerve, and a patient with a middle cerebral artery aneurysm and a long history of TN (trigeminal neuralgia) refractory to medical and surgical treatments. All three experienced full symptom controls with no permanent neurological deficits. Therefore, the Minipterional technique might represent a feasible, effective, and safe option to treat refractory secondary TN. It also allows approaching these lesions when the posterior fossa approach is compromised by anatomical distortion and enables the simultaneous treatment of secondary trigeminal neuralgia and other lesions, such as aneurysms and meningiomas.</t>
  </si>
  <si>
    <t>Figueiredo, Eberval/H-3488-2012; Mura, Jorge/HPF-5221-2023; RABELO, NICOLLAS/V-9824-2018; Mota Telles, Joao Paulo/AAM-4791-2020</t>
  </si>
  <si>
    <t>Mota Telles, Joao Paulo/0000-0001-9322-0405</t>
  </si>
  <si>
    <t>2193-6331</t>
  </si>
  <si>
    <t>2193-634X</t>
  </si>
  <si>
    <t>10.1055/s-0042-1743464</t>
  </si>
  <si>
    <t>MAR 2022</t>
  </si>
  <si>
    <t>WOS:000766840700001</t>
  </si>
  <si>
    <t>Rivera, E; Canales, C; Pacheco, M; García-Herrera, C; Macías, D; Celentano, DJ; Herrera, EA</t>
  </si>
  <si>
    <t>Rivera, Eugenio; Canales, Claudio; Pacheco, Matias; Garcia-Herrera, Claudio; Macias, Demetrio; Celentano, Diego J.; Herrera, Emilio A.</t>
  </si>
  <si>
    <t>Biomechanical characterization of the passive response of the thoracic aorta in chronic hypoxic newborn lambs using an evolutionary strategy</t>
  </si>
  <si>
    <t>The present study involves experiments and modelling aimed at characterizing the passive structural mechanical behavior of the chronic hypoxic lamb thoracic aorta, whose gestation, birth and postnatal period were carried at high altitude (3600 masl). To this end, the mechanical response was studied via tensile and pressurization tests. The tensile and pressurization tests measurements were used simultaneously to calibrate the material parameters of the Gasser-Holzapfel-Ogden (GHO) hyperelasctic anisotropic constitutive model through an analytical-numerical optimization procedure solved with an evolutionary strategy that guarantees a stable response of the model. The model and procedure of calibration adequately adjust to the material behavior in a wide deformation range with an appropriate physical description. The results of this study predict the mechanical response of the lamb thoracic aorta under generalized loading states like those that can occur in physiological conditions and/or in systemic arterial hypertension. Finally, the novel use of the evolutionary strategy, together with the set of experiments and tools used in this study, provide a robust alternative to validate biomechanical characterizations.</t>
  </si>
  <si>
    <t>Celentano, Diego/JQW-5027-2023; García-Herrera, Claudio/ABE-8991-2020; Rivera, Eugenio/LEN-3594-2024; Herrera, Emilio A/H-5992-2018</t>
  </si>
  <si>
    <t>Canales Donoso, Claudio/0000-0001-5639-6401; Garcia-Herrera, Claudio/0000-0002-1283-8551; Rivera Mancilla, Eugenio/0000-0001-8103-2706; Pacheco-Alarcon, Matias/0000-0003-3366-1596; Herrera, Emilio A/0000-0002-6342-085X</t>
  </si>
  <si>
    <t>JUL 6</t>
  </si>
  <si>
    <t>10.1038/s41598-021-93267-9</t>
  </si>
  <si>
    <t>WOS:000672717200010</t>
  </si>
  <si>
    <t>Cayupe, B; Morgan, C; Puentes, G; Valladares, L; Burgos, H; Castillo, A; Hernández, A; Constandil, L; Ríos, M; Sáez-Briones, P; Barra, R</t>
  </si>
  <si>
    <t>Cayupe, Bernardita; Morgan, Carlos; Puentes, Gustavo; Valladares, Luis; Burgos, Hector; Castillo, Amparo; Hernandez, Alejandro; Constandil, Luis; Rios, Miguel; Saez-Briones, Patricio; Barra, Rafael</t>
  </si>
  <si>
    <t>Hypertension in Prenatally Undernourished Young-Adult Rats Is Maintained by Tonic Reciprocal Paraventricular-Coerulear Excitatory Interactions</t>
  </si>
  <si>
    <t>Prenatally malnourished rats develop hypertension in adulthood, in part through increased alpha(1)-adrenoceptor-mediated outflow from the paraventricular nucleus (PVN) to the sympathetic system. We studied whether both alpha(1)-adrenoceptor-mediated noradrenergic excitatory pathways from the locus coeruleus (LC) to the PVN and their reciprocal excitatory CRFergic connections contribute to prenatal undernutrition-induced hypertension. For that purpose, we microinjected either alpha(1)-adrenoceptor or CRH receptor agonists and/or antagonists in the PVN or the LC, respectively. We also determined the alpha(1)-adrenoceptor density in whole hypothalamus and the expression levels of alpha(1A)-adrenoceptor mRNA in the PVN. The results showed that: (i) agonists microinjection increased systolic blood pressure and heart rate in normotensive eutrophic rats, but not in prenatally malnourished subjects; (ii) antagonists microinjection reduced hypertension and tachycardia in undernourished rats, but not in eutrophic controls; (iii) in undernourished animals, antagonist administration to one nuclei allowed the agonists recover full efficacy in the complementary nucleus, inducing hypertension and tachycardia; (iv) early undernutrition did not modify the number of alpha(1)-adrenoceptor binding sites in hypothalamus, but reduced the number of cells expressing alpha(1A)-adrenoceptor mRNA in the PVN. These results support the hypothesis that systolic pressure and heart rate are increased by tonic reciprocal paraventricular-coerulear excitatory interactions in prenatally undernourished young-adult rats.</t>
  </si>
  <si>
    <t>Saez-Briones, Patricio/0000-0002-1491-2639; Constandil, Luis/0000-0002-2504-0119; BURGOS, HECTOR/0000-0001-7705-4347; Cayupe Rivas, Bernardita/0000-0003-3563-6677; Hernandez, Alejandro/0000-0001-9222-6522; barra pezo, rafael/0000-0002-2898-3729</t>
  </si>
  <si>
    <t>10.3390/molecules26123568</t>
  </si>
  <si>
    <t>WOS:000666752600001</t>
  </si>
  <si>
    <t>Castro, JDE; Altbir, D; Leon, AO; Retamal, JC</t>
  </si>
  <si>
    <t>d'Albuquerque e Castro, Jose; Altbir, Dora; Leon, Alejandro O.; Retamal, Juan C.</t>
  </si>
  <si>
    <t>Phase-shift control of the exchange coupling between magnetic impurities</t>
  </si>
  <si>
    <t>NANOTECHNOLOGY</t>
  </si>
  <si>
    <t>The control of magnetic interactions is one of the most relevant topics in spintronics. In this work, we propose to use electric potential barriers for tuning or even suppressing the RKKY exchange coupling between magnetic impurities in a two-dimensional electron gas. Our results show that it is possible to manipulate both the magnitude and sign of the RKKY coupling. Systems with two and three impurities are studied. In the last case, the use of two potential barriers can be employed to decouple one of the impurities to the rest. The possibility to control the interactions between magnetic atoms individually may have applications in neuromorphic and quantum computing.</t>
  </si>
  <si>
    <t>Retamal, Juan/G-6425-2010; Leon, Alejandro O./K-4833-2015; Altbir, Dora/R-6781-2018</t>
  </si>
  <si>
    <t>Leon, Alejandro O./0000-0001-9078-685X; Retamal Abarzua, Juan Carlos/0000-0002-7174-7879; Altbir, Dora/0000-0002-2945-4909</t>
  </si>
  <si>
    <t>0957-4484</t>
  </si>
  <si>
    <t>1361-6528</t>
  </si>
  <si>
    <t>AUG 28</t>
  </si>
  <si>
    <t>10.1088/1361-6528/ab9259</t>
  </si>
  <si>
    <t>WOS:000543074800001</t>
  </si>
  <si>
    <t>Touma, J; García, KK; Bravo, S; Leiva, F; Moya, J; Vargas-Chacoff, L; Reyes, A; Vidal, R</t>
  </si>
  <si>
    <t>Touma, Jorge; Ko Garcia, Killen; Bravo, Scarleth; Francisco Leiva; Moya, Javier; Vargas-Chacoff, Luis; Reyes, Alberto; Vidal, Rodrigo</t>
  </si>
  <si>
    <t>De novo Assembly and Characterization of Patagonian Toothfish Transcriptome and Develop of EST-SSR Markers for Population Genetics</t>
  </si>
  <si>
    <t>Patagonian toothfish (Dissostichus eleginoides) is a hefty notothenioid fish and a key species within the marine ecosystem with a high migratory capacity across sub-Antarctic and south American Pacific oceans. Transcriptome characterization and molecular markers associated with micro and macro-evolutionary studies are not available, which in turn limits the gain of knowledge about the genetic basis of this species. Therefore, in the present study, a de novo transcriptome from eight tissue and an embryonic state of Patagonian toothfish was developed, using the Illumina Hiseq 4000 platform. A total of 233,424 superTranscripts were assembled and 37,446 annotated against public databases. Moreover, we identified 71,107 expressed sequence tag-simple sequence repeats (EST-SSRs), with an average number of 0.3 SSRs per superTranscripts and one SSR per 1.12 kB. The most abundant SSR type was repeated dinucleotide (53.67%), followed by trinucleotide (13.73%) repeats. From the total of EST-SSRs identified, 34,196 primer pairs were properly designed and a subset of 25 immune loci were selected for its evaluation as potential EST-SSR population markers. Of this subset, 11 proved to have good technical features and were evaluated in 64 animals from four Patagonian toothfish populations. A number of 63 alleles were identified, with a mean of 4.9 alleles per locus and a polymorphism information content ranging from 0.224 to 0.591, with a mean of 0.50. Significant (F-ST, range 0.082-0.117 and G'(ST), range 0.069-0.291) genetic differentiation (P &lt; 0.05) was determined among the populations analyzed. Therefore, the results presented here represent a relevant genetic resource for biological studies on evolution, conservation, genetic diversity, population structure, and genetic management of breeding stocks of this important species.</t>
  </si>
  <si>
    <t>Vargas-Chacoff, Luis/A-5855-2012</t>
  </si>
  <si>
    <t>NOV 29</t>
  </si>
  <si>
    <t>10.3389/fmars.2019.00720</t>
  </si>
  <si>
    <t>WOS:000499798400001</t>
  </si>
  <si>
    <t>Fuentes, JR; Espinoza, CM; Reisenegger, A</t>
  </si>
  <si>
    <t>Fuentes, J. R.; Espinoza, C. M.; Reisenegger, A.</t>
  </si>
  <si>
    <t>Glitch time series and size distributions in eight prolific pulsars</t>
  </si>
  <si>
    <t>ASTRONOMY &amp; ASTROPHYSICS</t>
  </si>
  <si>
    <t>Context. Glitches are rare spin-up events that punctuate the smooth slow-down of the rotation of pulsars. For the Vela pulsar and PSR J0537-6910, their large glitch sizes and the times between consecutive events have clear preferred scales (Gaussian distributions), contrary to the handful of other pulsars with enough glitches for such a study. Moreover, PSR J0537-6910 is the only pulsar that shows a strong positive correlation between the size of each glitch and the waiting time until the following one. Aims. We attempt to understand this behaviour through a detailed study of the distributions and correlations of glitch properties for the eight pulsars with at least ten detected glitches. Methods. We modelled the distributions of glitch sizes and of the times between consecutive glitches for the eight pulsars with at least ten detected events. We also looked for possible correlations between these parameters and used Monte Carlo simulations to explore two hypotheses that could explain why the correlation so clearly seen in PSR J0537-6910 is absent in other pulsars. Results. We confirm the above results for Vela and PSR J0537-6910, and verify that the latter is the only pulsar with a strong correlation between glitch size and waiting time to the following glitch. For the remaining six pulsars, the waiting time distributions are best fitted by exponentials, and the size distributions are best fitted by either power laws, exponentials, or log-normal functions. Some pulsars in the sample yield significant Pearson and Spearman coefficients (r(p) and r(s)) for the aforementioned correlation, confirming previous results. Moreover, for all except the Crab pulsar, both coefficients are positive. For each coefficient taken separately, the probability of this happening is 1/16. Our simulations show that the weaker correlations in pulsars other than PSR J0537-6910 cannot be due to missing glitches that are too small to be detected. We also tested the hypothesis that each pulsar may have two kinds of glitches, namely large, correlated ones and small, uncorrelated ones. The best results are obtained for the Vela pulsar, which exhibits a correlation with r(p) = 0.68 (p-value = 0.003) if its two smallest glitches are removed. The other pulsars are harder to accommodate under this hypothesis, but their glitches are not consistent with a pure uncorrelated population either. We also find that all pulsars in our sample, except the Crab pulsar, are consistent with the previously found constant ratio between glitch activity and spin-down rate, (v) over dot(g)/vertical bar(v)vertical bar over dot = 0.010 +/- 0.001, even though some of them have not shown any large glitches. Conclusions. To explain these results, we speculate except in the case of the Crab pulsar, that all glitches draw their angular momentum from a common reservoir (presumably a neutron superfluid component containing approximate to 1% of the star's moment of inertia). However, two different trigger mechanisms could be active, a more deterministic one for larger glitches and a more random one for smaller ones.</t>
  </si>
  <si>
    <t>Reisenegger, Andreas/ABF-8997-2020; Espinoza, Cristobal/U-4428-2017</t>
  </si>
  <si>
    <t>Reisenegger, Andreas/0000-0003-4059-6796; Fuentes, Jose Rafael/0000-0003-2124-9764; Espinoza, Cristobal/0000-0003-2481-2348</t>
  </si>
  <si>
    <t>0004-6361</t>
  </si>
  <si>
    <t>1432-0746</t>
  </si>
  <si>
    <t>OCT 1</t>
  </si>
  <si>
    <t>A115</t>
  </si>
  <si>
    <t>10.1051/0004-6361/201935939</t>
  </si>
  <si>
    <t>WOS:000516616300004</t>
  </si>
  <si>
    <t>Ibarra, A; Fuentealba, JF; Roman, B; Melo, F</t>
  </si>
  <si>
    <t>Ibarra, A.; Fuentealba, J. F.; Roman, B.; Melo, F.</t>
  </si>
  <si>
    <t>Predicting tearing paths in thin sheets</t>
  </si>
  <si>
    <t>This study investigates the tearing of a thin notched sheet when two points on the sheet are pulled apart. The concepts that determine the crack trajectory are reviewed in the general anisotropic case, in which the energy of the fracture depends on the fracture direction. When observed as a flat sheet a purely geometric tearing vector is defined through the location of the crack tip and the pulling points. Both Griffiths's criterion and the maximum energy release rate criterion (MERR) predict a fracture path that is parallel to the tearing vector in the isotropic case. However, for the anisotropic case, the application of the MERR leads to a crack path that deviates from the tearing vector, following a propagation direction that tends to minimize the fracture energy. In the case of strong anisotropy, it is more difficult to obtain an analytical prediction of the tearing trajectory. Thus, simple geometrical arguments are provided to give a derivation of a differential equation accounting for crack trajectory, according to the natural coordinates of the pulling, and in the case that the anisotropy is sufficiently weak. The solution derived from this analysis is in good agreement with previous experimental observations.</t>
  </si>
  <si>
    <t>Melo, Francisco/M-3923-2014; Roman, Benoit/C-6273-2014; Fuentealba, Juan Francisco/AAL-9339-2020</t>
  </si>
  <si>
    <t>Ibarra, Alejandro/0000-0002-6916-8608; Melo, Francisco Esteban/0000-0001-6818-5476; Roman, Benoit/0000-0002-1473-2734; Fuentealba, Juan Francisco/0000-0003-0655-6686</t>
  </si>
  <si>
    <t>AUG 8</t>
  </si>
  <si>
    <t>10.1103/PhysRevE.100.023002</t>
  </si>
  <si>
    <t>WOS:000479192700003</t>
  </si>
  <si>
    <t>Vovchenko, VV; Antonova, EE; Stepanova, M</t>
  </si>
  <si>
    <t>Vovchenko, V. V.; Antonova, E. E.; Stepanova, M.</t>
  </si>
  <si>
    <t>Magnetic holes observed in the ring current region near the equatorial plane</t>
  </si>
  <si>
    <t>3rd International Symposium on Recent Observations and Simulations of the Sun-Earth System (ISROSES)</t>
  </si>
  <si>
    <t>SEP 11-16, 2016</t>
  </si>
  <si>
    <t>Golden Sands, BULGARIA</t>
  </si>
  <si>
    <t>Los Alamos Natl Lab, Ctr Space &amp; Earth Sci,Natl Sci Fdn,SCOSTEP Variabil Sun &amp; Terrestrial Impact</t>
  </si>
  <si>
    <t>There is little knowledge about the appearance of local reductions of the magnetic field at the equatorial plane in the inner magnetosphere. Using data from the AMPTE/CCE satellite inside the ring current region, we studied local reductions of the B-z component of the geomagnetic field, which were followed by subsequent enhancements, as a function of geocentric distance. We selected 102 comparatively large-scale and quasi-stable reduction/enhancement events and obtained their radial and magnetic local time (MLT) distribution. We find that these structures are observed for all MLT in the ring current region. Moreover, the probability to observe reduction/enhancement structures increases with the increase of geomagnetic activity, as measured by the Dst, AE, and PC indexes, and with the increase of the interplanetary magnetic field B-z component and the solar wind velocity. Detailed analyses of some of the events show that reduction/enhancement structures might be caused by diamagnetic effects due to local quasi-stationary enhancements of plasma pressure, which are observed to develop simultaneously with the magnetic depressions.</t>
  </si>
  <si>
    <t>Stepanova, Marina/D-6329-2011; Antonova, Elizaveta/A-2716-2012</t>
  </si>
  <si>
    <t>10.1016/j.jastp.2017.08.024</t>
  </si>
  <si>
    <t>WOS:000447110300016</t>
  </si>
  <si>
    <t>Andersson, N; Antonopoulou, D; Espinoza, CM; Haskell, B; Ho, WCG</t>
  </si>
  <si>
    <t>Andersson, N.; Antonopoulou, D.; Espinoza, C. M.; Haskell, B.; Ho, W. C. G.</t>
  </si>
  <si>
    <t>The Enigmatic Spin Evolution of PSR J0537-6910: r-modes, Gravitational Waves, and the Case for Continued Timing</t>
  </si>
  <si>
    <t>ASTROPHYSICAL JOURNAL</t>
  </si>
  <si>
    <t>We discuss the unique spin evolution of the young X-ray pulsar PSR J0537-6910, a system in which the regular spin down is interrupted by glitches every few months. Drawing on the complete timing data from the Rossi X-ray Timing Explorer (from 1999 to 2011), we argue that a trend in the interglitch behavior points to an effective braking index close to n=7, which is much larger than expected. This value is interesting because it would accord with the neutron star spinning down due to gravitational waves from an unstable r-mode. We discuss to what extent this, admittedly speculative, scenario may be consistent and if the associated gravitational-wave signal would be within reach of ground-based detectors. Our estimates suggest that one may, indeed, be able to use future observations to test the idea. Further precision timing would help to enhance the achievable sensitivity, and we advocate a joint observing campaign between the Neutron Star Interior Composition Explorer and the LIGO-Virgo network.</t>
  </si>
  <si>
    <t>Haskell, Brynmor/AAX-1002-2021; Espinoza, Cristobal/U-4428-2017</t>
  </si>
  <si>
    <t>Ho, Wynn/0000-0002-6089-6836; Espinoza, Cristobal/0000-0003-2481-2348; Haskell, Brynmor/0000-0002-8255-3519; Andersson, Nils/0000-0001-8550-3843; Antonopoulou, Danai/0000-0003-0746-5364</t>
  </si>
  <si>
    <t>0004-637X</t>
  </si>
  <si>
    <t>1538-4357</t>
  </si>
  <si>
    <t>10.3847/1538-4357/aad6eb</t>
  </si>
  <si>
    <t>WOS:000444341700008</t>
  </si>
  <si>
    <t>Espinoza, CM; Lyne, AG; Stappers, BW</t>
  </si>
  <si>
    <t>Espinoza, C. M.; Lyne, A. G.; Stappers, B. W.</t>
  </si>
  <si>
    <t>New long-term braking index measurements for glitching pulsars using a glitch-template method</t>
  </si>
  <si>
    <t>Braking index measurements offer the opportunity to explore the processes affecting the longterm spin evolution of pulsars and possible evolutionary connections between the various pulsar populations. In most cases, such measurements are difficult because of the presence of short-term phenomena, such as glitches and timing noise, which obscure the long-term trends. In particular, recoveries from large glitches are the main obstacle to measuring the braking indices of young pulsars like the Vela and Crab pulsars. We present a new method to overcome this problem and report on braking index measurements for the Vela-like pulsars, PSR B1800-21 and PSR B1823-13, together with an updated measurement for Vela. Additionally, the use of the method is extended to six more young glitching pulsars observed at Jodrell Bank Observatory and we are able to estimate four new braking indices. Values of braking indices describe the long-term evolution of the pulsars across the P-P diagram. Despite some measurements being affected by considerable uncertainties, there is evidence for a common trend among young glitching pulsars, characterized by low braking indices n &lt;= 2. Such values introduce a new variant in the evolution of young pulsars, and their relationship with other populations in the P-P diagram, and imply that these pulsars could be a few times older than indicated by standard formulae. In this context, we analyse the case of PSR B1757-24 and conclude that the pulsar could be old enough to be related to the supernova remnant G5.4-1.2. Between glitches, the short-term evolution of Vela-like pulsars is characterized by large interglitch braking indices n(ig) &gt; 10. We interpret both short-and long-term trends as signatures of the large glitch activity, and speculate that they are driven by short-term post-glitch re-coupling and a cumulative long-term decoupling of superfluid to the rotation of the star.</t>
  </si>
  <si>
    <t>Rowlinson, Antonia/M-7054-2018; Espinoza, Cristobal/U-4428-2017</t>
  </si>
  <si>
    <t>Stappers, Benjamin/0000-0001-9242-7041; Espinoza, Cristobal/0000-0003-2481-2348</t>
  </si>
  <si>
    <t>10.1093/mnras/stw3081</t>
  </si>
  <si>
    <t>WOS:000398112400011</t>
  </si>
  <si>
    <t>Mazario, E; Venegas, R; Herrasti, P; Alonso, MC; Recio, FJ</t>
  </si>
  <si>
    <t>Mazario, E.; Venegas, R.; Herrasti, P.; Alonso, M. C.; Recio, F. J.</t>
  </si>
  <si>
    <t>Pitting corrosion and stress corrosion cracking study in high strength steels in alkaline media</t>
  </si>
  <si>
    <t>Steel reinforcement in concrete is protected from corrosion by passivation due to the high alkalinity of the cement pore solution, but the presence of aggressive ions as Cl could induce pitting corrosion processes thus decreasing the durability of the structure. This also occurs for prestressing concretes but the risk to suffer pitting corrosion in presence of aggressive ions, and hence stress corrosion cracking (SCC), increases due to the external mechanical load. The study of the corrosion processes by classical methods involves the determination of pitting potential (E-pit) or the polarization resistance monitoring during long periods (i(corr)) However, the large number of parameters, which could potentially influence the determination of the Epil or the i(corr) values, result in a great variety of results in literature, The present study proposes a simple and reliable method to evaluate the susceptibility to suffer pitting corrosion process and stress corrosion cracking by the induction of pitting corrosion process by cyclic voltammetry. The pitting corrosion intensity is evaluated by means of the charge during the corrosion process, and related with the weight loss and the decrease of the mechanical properties of the steel under external load. The results show a linear and a volcano trend when pitting corrosion process and stress corrosion cracking arc respectively evaluated.</t>
  </si>
  <si>
    <t>Recio, Francisco/AAB-2148-2020; Venegas, Ricardo/U-6376-2019; Mazario Masip, Eva/K-3972-2012</t>
  </si>
  <si>
    <t>Recio, Francisco/0000-0002-5181-3197; Alonso, Maria Cruz/0000-0002-4308-9506; Mazario Masip, Eva/0000-0001-8235-0087; Venegas, Ricardo/0000-0001-7440-484X</t>
  </si>
  <si>
    <t>10.1007/s10008-015-2956-y</t>
  </si>
  <si>
    <t>WOS:000374841300041</t>
  </si>
  <si>
    <t>Cordero, RR; Damiani, A; Ferrer, J; Jorquera, J; Tobar, M; Labbe, F; Carrasco, J; Laroze, D</t>
  </si>
  <si>
    <t>Cordero, Raul R.; Damiani, Alessandro; Ferrer, Jorge; Jorquera, Jose; Tobar, Mario; Labbe, Fernando; Carrasco, Jorge; Laroze, David</t>
  </si>
  <si>
    <t>UV Irradiance and Albedo at Union Glacier Camp (Antarctica): A Case Study</t>
  </si>
  <si>
    <t>We report on the first spectral measurements of ultraviolet (UV) irradiance and the albedo at a Camp located in the southern Ellsworth Mountains on the broad expanse of Union Glacier (700 m altitude, 79 degrees 46' S; 82 degrees 52'W); about 1,000 km from the South Pole. The measurements were carried out by using a double monochromator-based spectroradiometer during a campaign (in December 2012) meant to weight up the effect of the local albedo on the UV irradiance. We found that the albedo measured at noon was about 0.95 in the UV and the visible part of the spectrum. This high surface reflectivity led to enhancements in the UV index under cloudless conditions of about 50% in comparison with snow free surfaces. Spectral measurements carried out elsewhere as well as estimates retrieved from the Ozone Monitoring Instrument (OMI) were used for further comparisons.</t>
  </si>
  <si>
    <t>Laroze, David/Z-2852-2019; Damiani, Alessandro/X-4677-2019; Cordero, Raul/M-7979-2017; Laroze, David/E-9134-2011; Carrasco, Jorge/K-2949-2014</t>
  </si>
  <si>
    <t>Cordero, Raul R./0000-0001-7607-7993; Laroze, David/0000-0002-6487-8096; Carrasco, Jorge/0000-0003-2154-5483; Damiani, Alessandro/0000-0003-3014-6193</t>
  </si>
  <si>
    <t>e90705</t>
  </si>
  <si>
    <t>10.1371/journal.pone.0090705</t>
  </si>
  <si>
    <t>WOS:000332479400122</t>
  </si>
  <si>
    <t>Quispe-Fuentes, I; Vega-Gálvez, A; Miranda, M; Lemus-Mondaca, R; Lozano, M; Ah-Hen, K</t>
  </si>
  <si>
    <t>Quispe-Fuentes, Issis; Vega-Galvez, Antonio; Miranda, Margarita; Lemus-Mondaca, Roberto; Lozano, Maribel; Ah-Hen, Kong</t>
  </si>
  <si>
    <t>A KINETIC APPROACH TO SAPONIN EXTRACTION DURING WASHING OF QUINOA (CHENOPODIUM QUINOA WILLD.) SEEDS</t>
  </si>
  <si>
    <t>JOURNAL OF FOOD PROCESS ENGINEERING</t>
  </si>
  <si>
    <t>The aim of this work was to show that the leaching process of saponins from quinoa (Chenopodium quinoa Willd.) seeds during washing with water, as is generally practiced by people in South America, can be modeled using mathematical expressions related to Fick's second law. Experimental data were obtained through batch extraction with a ratio of quinoa to water of 1:10 under constant agitation for processing time between 15 and 120min at 20, 30, 40, 50 and 60C. It was found that residual saponin concentration in the quinoa seeds decreased as washing temperature increased. Leaching rate followed the Arrhenius relationship, with calculated effective saponin diffusion coefficient between (5.05 +/- 0.15)x1010 and (32.50 +/- 1.65)x1010m2/s as the temperature increased from 20 to 60C. Several mathematical models to describe the kinetic behavior of the leaching process were analyzed. The modified HendersonPabis model had the best fit quality as shown by statistical analysis. PRACTICAL APPLICATIONS During processing of quinoa for human consumption, a washing process is necessary to remove most of the bitter saponins found in the seeds, as this type of saponin is considered to be a serious antinutritional factor. For industrial scale-up of this processing step, leaching behavior of the saponin is of crucial importance to find the best design parameters and the most cost-effective process conditions. This helps reduce energy waste and optimize water flow rate in a continuous washing process. The present study used well-known models to explain saponins' leaching kinetics from the quinoa seeds with water at different temperatures. The best mathematical model with its justification was also determined, which is generally the most economical way to proceed.</t>
  </si>
  <si>
    <t>Vega-Galvez, Antonio/F-1089-2015; Miranda, Margarita/B-3101-2008; Ah-Hen, Kong/D-2591-2011; Lemus-Mondaca, Roberto/E-8348-2017; Quispe-Fuentes, Issis/O-9517-2014</t>
  </si>
  <si>
    <t>Lemus-Mondaca, Roberto/0000-0002-1252-2573; Vega-Galvez, Antonio/0000-0001-9991-6139; Quispe-Fuentes, Issis/0000-0002-9194-8168</t>
  </si>
  <si>
    <t>0145-8876</t>
  </si>
  <si>
    <t>1745-4530</t>
  </si>
  <si>
    <t>10.1111/j.1745-4530.2012.00673.x</t>
  </si>
  <si>
    <t>WOS:000316811500007</t>
  </si>
  <si>
    <t>Mallol, J; García-Marcos, L; Solé, D; Brand, P</t>
  </si>
  <si>
    <t>Mallol, Javier; Garcia-Marcos, Luis; Sole, Dirceu; Brand, Paul</t>
  </si>
  <si>
    <t>International prevalence of recurrent wheezing during the first year of life: variability, treatment patterns and use of health resources</t>
  </si>
  <si>
    <t>THORAX</t>
  </si>
  <si>
    <t>Background Recurrent wheezing (RW) during the first year of life is a major cause of respiratory morbidity worldwide, yet there are no studies on its prevalence at an international level. A study was undertaken to determine the prevalence of RW in infants during their first year of life in affluent and non-affluent localities. Methods This international population-based study was performed in random samples of infants aged 12-15 months from 17 centres in Latin America and Europe. It uses a validated questionnaire answered by parents at the primary care health clinics where infants attend for growth/development monitoring and/or vaccine administration. Results Among the 30 093 infants surveyed, 45.2% (95% CI 44.7% to 45.8%) had at least one episode of wheezing and 20.3% (95% CI 19.8% to 20.7%) had RW. The mean prevalence of RW in Latin American and European centres was 21.4% (95% CI 20.9% to 21.9%) and 15.0% (95% CI 14.0% to 15.9%), respectively (p&lt;0.001). There was significant morbidity associated with RW in terms of severe episodes (59.4%), visits to the emergency department (71.1%) and hospital admissions (26.8%); 46.1% used inhaled corticosteroids. Conclusions The prevalence of RW in infants during the first year of life is high and varies between localities. A significant proportion of infants progress to a more severe condition which results in high use of health resources (visits to emergency department and hospitalisations). The prevalence of RW is lower and less severe in European than in Latin American centres, suggesting there is a higher risk for the disease in developing areas.</t>
  </si>
  <si>
    <t>Brand, Paul/ABB-3693-2021; Solé, Dirceu/JAO-0340-2023</t>
  </si>
  <si>
    <t>Garcia-Marcos, Luis/0000-0002-0925-3851; Perez-Fernandez, Virginia/0000-0003-1877-3055; Mallol, Javier/0000-0003-2528-8672</t>
  </si>
  <si>
    <t>0040-6376</t>
  </si>
  <si>
    <t>1468-3296</t>
  </si>
  <si>
    <t>10.1136/thx.2009.115188</t>
  </si>
  <si>
    <t>WOS:000283258800013</t>
  </si>
  <si>
    <t>Huang, J; Juszkiewicz, M; de Jeu, WH; Cerda, E; Emrick, T; Menon, N; Russell, TP</t>
  </si>
  <si>
    <t>Huang, Jiangshui; Juszkiewicz, Megan; de Jeu, Wim H.; Cerda, Enrique; Emrick, Todd; Menon, Narayanan; Russell, Thomas P.</t>
  </si>
  <si>
    <t>Capillary wrinkling of floating thin polymer films</t>
  </si>
  <si>
    <t>SCIENCE</t>
  </si>
  <si>
    <t>A freely floating polymer film, tens of nanometers in thickness, wrinkles under the capillary force exerted by a drop of water placed on its surface. The wrinkling pattern is characterized by the number and length of the wrinkles. The dependence of the number of wrinkles on the elastic properties of the film and on the capillary force exerted by the drop confirms recent theoretical predictions on the selection of a pattern with a well-defined length scale in the wrinkling instability. We combined scaling relations that were developed for the length of the wrinkles with those for the number of wrinkles to construct a metrology for measuring the elasticity and thickness of ultrathin films that relies on no more than a dish of fluid and a low-magnification microscope. We validated this method on polymer films modified by plasticizer. The relaxation of the wrinkles affords a simple method to study the viscoelastic response of ultrathin films.</t>
  </si>
  <si>
    <t>Huang, Jiangshui/G-5833-2010; Russell, Thomas/ADL-3689-2022</t>
  </si>
  <si>
    <t>0036-8075</t>
  </si>
  <si>
    <t>AUG 3</t>
  </si>
  <si>
    <t>10.1126/science.1144616</t>
  </si>
  <si>
    <t>WOS:000248494400042</t>
  </si>
  <si>
    <t>Escudey, M; Förster, JE; Becerra, JP; Quinteros, M; Torres, J; Arancibia, N; Galindo, G; Chang, AC</t>
  </si>
  <si>
    <t>Escudey, Mauricio; Forster, Juan E.; Becerra, Juan P.; Quinteros, Magdalena; Torres, Justo; Arancibia, Nicolas; Galindo, Gerardo; Chang, Andrew C.</t>
  </si>
  <si>
    <t>Disposal of domestic sludge and sludge ash on volcanic soils</t>
  </si>
  <si>
    <t>1st International Conference on Engineering for Waste Treatment</t>
  </si>
  <si>
    <t>MAY 17-19, 2005</t>
  </si>
  <si>
    <t>Albi, FRANCE</t>
  </si>
  <si>
    <t>Ecole Mines Albi-Carmaux,Paul Sabatier Univ Toulouse,CNRS PROMES Ctr,Tsinghua Univ,New Jersey Inst Technol</t>
  </si>
  <si>
    <t>Column leaching experiments were conducted to test the ability of Chilean volcanic soils in retaining the mineral constituents and metals in sewage sludge and sludge ash that were incorporated into the soils. Small or negligible amounts of the total content of Pb, Fe, Cr, Mn, Cd, and Zn (0 to &lt; 2%), and more significant amounts of mineral constituents such as Na (7-9%), Ca (7-13%), PO4 (4-10%), and SO4 (39-46%) in the sludge and sludge ash were readily soluble. When they were incorporated on the surface layer of the soils and leached with 12 pore volumes of water over a 3 month period of time, less than 0.1% of the total amount of heavy metals and PO4 in the sludge and sludge ash were collected in the drainage water. Cation exchange selectivity, specific anion adsorption and solubility are the processes that cause the reduction of leaching. The volcanic soils were capable of retaining the mineral constituents, P, and metals in applied sewage sludge and sludge ash and gradually released them as nutrients for plant growth. (c) 2006 Elsevier B.V. All rights reserved.</t>
  </si>
  <si>
    <t>Becerra Munoz, Juan Pablo/0000-0003-2161-5576</t>
  </si>
  <si>
    <t>10.1016/j.jhazmat.2006.02.062</t>
  </si>
  <si>
    <t>WOS:000244091800022</t>
  </si>
  <si>
    <t>Gutiérrez-Oliva, S; Joubert, L; Adamo, C; Bulat, FA; Zagal, JH; Toro-Labbé, A</t>
  </si>
  <si>
    <t>Bridging the gap between the topological and orbital description of hydrogen bonding:: The case of the formic acid dimer and its sulfur derivatives</t>
  </si>
  <si>
    <t>JOURNAL OF PHYSICAL CHEMISTRY A</t>
  </si>
  <si>
    <t>Several molecular descriptors, based on topological approaches as well as on a more traditional orbital-based decomposition, have been used to asses relations with hydrogen bond strengths in a series of formic acid dimers and its sulfur derivatives. Particular attention has been devoted to the analysis of the core-valence bifurcation topological index and to the bond order index. Their values are seen to be linearly related to bond energies estimated through a bond-energy-bond-order relationship; also, the mean value of the topological index appears to be related to the complexation energy computed by methods based on density functional theory. The dependence of the index upon the donor-acceptor couple in relation to its applicability is discussed.</t>
  </si>
  <si>
    <t>zagal, jose/L-9648-2014; Bulat, Felipe/B-6098-2008; GUTIERREZ-OLIVA, SOLEDAD/J-5322-2013; Toro-Labbe, Alejandro/J-5026-2013; adamo, carlo/A-2909-2010</t>
  </si>
  <si>
    <t>Toro-Labbe, Alejandro/0000-0001-9906-2153; adamo, carlo/0000-0002-2638-2735; Gutierrez-Oliva, Maria Soledad/0000-0002-3436-1985</t>
  </si>
  <si>
    <t>1089-5639</t>
  </si>
  <si>
    <t>1520-5215</t>
  </si>
  <si>
    <t>10.1021/jp057139m</t>
  </si>
  <si>
    <t>WOS:000236991900021</t>
  </si>
  <si>
    <t>Gaete, P</t>
  </si>
  <si>
    <t>Confinement in the presence of external fields and axions</t>
  </si>
  <si>
    <t>For a theory with a pseudo-scalar coupling phiF (F) over tilde and in the case that there is a constant electric or magnetic strength expectation value, we compute the interaction potential within the structure of the gauge-invariant but path-dependent variables formalism. While in the case of a constant electric field strength expectation value the static potential remains Coulombic, in the case of a constant magnetic field strength the potential energy is the sum of a Yukawa and a linear potentials, leading to the confinement of static charges.</t>
  </si>
  <si>
    <t>Guendelman, Eduardo/0000-0003-1044-8055</t>
  </si>
  <si>
    <t>10.1142/S0217732305016099</t>
  </si>
  <si>
    <t>WOS:000227343000003</t>
  </si>
  <si>
    <t>Corrales, T; Catalina, F; Peinado, C; Allen, NS; Rufs, AM; Bueno, C; Encinas, MV</t>
  </si>
  <si>
    <t>Photochemical study and photoinitiation activity of macroinitiators based on thioxanthone</t>
  </si>
  <si>
    <t>In this work we studied the photopolymerization of methyl methacrylate using polymeric initiators based on thioxanthone chromophore. As co-initiator were used low molecular weight tertiary amines and bound to a polymer chain. The photoinitiation efficiency of these systems was compared with that of the corresponding low molecular weight analogue. A higher efficiency was obtained with the system comprising the thioxanthone bound to a polymer chain and the free amine. The results carried out with low molecular weight TX and the polymeric co-initiator showed that the efficiency is independent of the amount of amine units in the polymer chain. The photophysics of the different systems show that the polymer chain does not affect the emission characteristics of the thioxanthone chromophore. Bimolecular rate constants for the singlet and triplet quenching of thioxanthone by the amine were determined using fluorescence and laser flash photolysis techniques. The dependence of the photoinitiation efficiency with the amine concentration was simulated from the measured quenching rate constants, and shows that the active radicals are produced from the interaction of the ketone triplet with the amine. The ketyl radical yield was slowly higher for the thioxanthone bound to the polymer. The difference between the photoinitiation activity of the polymeric system and the low molecular weight models is explained in terms of the effect of the polymer chain on the reactivity of the amino radicals. (C) 2002 Elsevier Science Ltd. All rights reserved.</t>
  </si>
  <si>
    <t>corrales, teresa/AAN-5978-2020; Catalina, Fernando/AAF-2569-2019; Encinas, Maria/L-9686-2014</t>
  </si>
  <si>
    <t>Catalina, Fernando/0000-0002-4620-8582; Corrales, Teresa/0000-0002-0171-2283</t>
  </si>
  <si>
    <t>PII S0032-3861(02)00310-5</t>
  </si>
  <si>
    <t>10.1016/S0032-3861(02)00310-5</t>
  </si>
  <si>
    <t>WOS:000176691800005</t>
  </si>
  <si>
    <t>Castro, JDE; Altbir, D; Retamal, JC; Vargas, P</t>
  </si>
  <si>
    <t>Scaling approach to the magnetic phase diagram of nanosized systems</t>
  </si>
  <si>
    <t>Based on the discovery of a simple scaling relation, a new technique for the investigation of the phase diagram of nanosized magnetic systems is proposed. By scaling the exchange interaction between magnetic moments, the magnetic phase diagram of currently lithographically produced particles can be obtained from those corresponding to much smaller systems. Such a technique reduces the computation time by several orders of magnitude, and provides a new approach to the investigation of the relative stability of distinct internal magnetic configurations of nanosized systems. The technique is illustrated by the determination of the phase diagram of cylindrically shaped Co particles.</t>
  </si>
  <si>
    <t>Retamal, Juan/G-6425-2010; Vargas, Patricio/AAL-2633-2020; Altbir, Dora/R-6781-2018</t>
  </si>
  <si>
    <t>Altbir, Dora/0000-0002-2945-4909; Retamal Abarzua, Juan Carlos/0000-0002-7174-7879; vargas, patricio/0000-0001-9235-9747</t>
  </si>
  <si>
    <t>10.1103/PhysRevLett.88.237202</t>
  </si>
  <si>
    <t>WOS:000175860500054</t>
  </si>
  <si>
    <t>Gautier, JL; Restovic, A; Derory, A; Poillerat, G; Chartier, P</t>
  </si>
  <si>
    <t>Cationic distribution in copper-manganese CuxMn3-xO4 spinels prepared by spray pyrolysis</t>
  </si>
  <si>
    <t>The preparation of four spinel oxides CuxMn3-xO4 by spray pyrolysis is studied. The lattice parameter, a, is a function of the copper content 0.8372 &gt; a &gt; 0.8304 nm on the range x=1 to x=1.3. Analysis of the X-ray diffraction data lets to know the cationic distribution. These results are further confirmed by the study of magnetic behaviour and XPS analysis. The ionic distribution of copper and manganese ions over A- and B- sites of the lattice corresponds to partially inverse Cugamma+Mn1-gamma2+[Cu1+x-gamma2+Mngamma-2x3+Mn1+x4+]O-4(2-) spinels. Open circuit potential, surface acidity and acid group density on surface of the oxide electrodes were determined. Linear relationships between these parameters and the manganese cations in octahedral sites were established.</t>
  </si>
  <si>
    <t>WOS:A1997XH41800003</t>
  </si>
  <si>
    <t>SHAMMA, M; LAN, HY; FREYER, AJ; LEET, JE; URZUA, A; FAJARDO, V</t>
  </si>
  <si>
    <t>CHILOENAMINE AND CHILOENINE - 2 UNUSUAL ISOQUINOLINE DERIVED ALKALOIDS - A NEW INSIGHT INTO THE CATABOLISM OF APORPHINES</t>
  </si>
  <si>
    <t>Fajardo, Virgilio/HMD-5427-2023</t>
  </si>
  <si>
    <t>10.1039/c39830000799</t>
  </si>
  <si>
    <t>WOS:A1983RC03300005</t>
  </si>
  <si>
    <t>Firoozi, AA; Firoozi, AA; Oyejobi, DO; Avudaiappan, S; Flores, ES</t>
  </si>
  <si>
    <t>Firoozi, Ali Akbar; Firoozi, Ali Asghar; Oyejobi, D. O.; Avudaiappan, Siva; Flores, Erick Saavedra</t>
  </si>
  <si>
    <t>Developing urban infrastructure: Strategic integration of solar-heated pavement systems for enhanced resilience and sustainability</t>
  </si>
  <si>
    <t>This research examines the integration and optimization of solar-heated pavement systems in urban environments, emphasizing their potential to enhance urban resilience and sustainability. Utilizing advanced materials and smart technologies, these pavements maintain safe, ice-free surfaces during winter, reducing reliance on traditional snow removal methods and their environmental impacts. The methodology focuses on a combination of experimental setups and computational simulations to analyze the design features, material advancements, and strategic integration of these systems. Quantitative findings from case studies across diverse climates demonstrate a significant reduction in energy consumption by up to 40 % and maintenance costs by 60 %, highlighting the economic and environmental benefits. The manuscript advocates broader implementation and recommends further research to optimize system efficiency and applicability in urban planning initiatives.</t>
  </si>
  <si>
    <t>Avudaiappan, Siva/AAV-7579-2021; Oyejobi, Damilola/ISA-5123-2023; Firoozi, Ali/AAC-7950-2019</t>
  </si>
  <si>
    <t>Firoozi, Ali Akbar/0000-0002-5282-0575</t>
  </si>
  <si>
    <t>10.1016/j.rineng.2025.104593</t>
  </si>
  <si>
    <t>WOS:001447890000001</t>
  </si>
  <si>
    <t>Cruz, AAC; Souza, NDG; de Souza, JPB; Carneiro, SV; Clemente, CS; Sousa, JS; Fechine, LMUD; Michea, S; Fechine, PBA; Freire, RM</t>
  </si>
  <si>
    <t>Cruz, Antonio A. C.; Souza, Natalia D. G.; de Souza, Joao P. B.; Carneiro, Samuel V.; Clemente, Claudenilson S.; Sousa, Jeanlex S.; Fechine, Lillian M. U. D.; Michea, Sebastian; Fechine, Pierre B. A.; Freire, Rafael M.</t>
  </si>
  <si>
    <t>Multichannel Sensor for Detection of Molybdenum Ions Based on Nitrogen-Doped Carbon Quantum Dot Ensembles</t>
  </si>
  <si>
    <t>C-JOURNAL OF CARBON RESEARCH</t>
  </si>
  <si>
    <t>Trace elements such as cobalt (Co), molybdenum (Mo), and zinc (Zn) play necessary roles in different biological functions. Co is a microelement that influences the vascular system. Mo works as an enzymatic cofactor of three enzymes (aldehyde oxidase, sulfite oxidase, and xanthine oxidase dehydrogenase). However, these elements are difficult to detect, since the analytical methods developed have a high cost, which restrict their applicability. In this sense, fluorescent sensors are an alternative for detecting trace elements, such as Mo4+ ions. Herein, a new multichannel trace elements sensor has been proposed to detect Mo entities. In this sense, two different N-CQDs were synthesized and fully characterized. The N-CQDs presented quantum yield values of 25.93% and 6.02% and excellent solubility in water. Also, a mixture of these two carbon-based nanoparticles was used to identify and to quantify Mo in water between seven different trace elements. The method was found to reach 1.28 and 3.88 ppm for limit of detection (LOD) and quantification (LOQ), respectively. To further verify the potential of the detection platform, the multichannel sensor was applied to identify the different concentrations of metal ions (Fe2+, Co2+, Mn2+, Cu2+, Zn2+, Mg2+, and Mo4+) in water. The data matrix was treated using different algorithms, such as K-Means and Discriminant Analysis (DA). The detection strategy has successfully identified the molybdenum ions at 5 ppm. This result shows the potential application of a multichannel sensor toward the detection of Mo entities, since it is comparable with the molybdenum test already available on the market.</t>
  </si>
  <si>
    <t>Michea, Sebastian/E-9043-2017; Dutra, Lillian/AAD-7774-2022; Carneiro, Samuel/JGD-5616-2023; Fechine, Pierre/B-7937-2013</t>
  </si>
  <si>
    <t>Carneiro, Samuel/0000-0002-9940-9417; Fechine, Pierre/0000-0002-7822-2354; Bessa de Souza, Joao Pedro/0000-0001-7211-4611</t>
  </si>
  <si>
    <t>2311-5629</t>
  </si>
  <si>
    <t>10.3390/c10030057</t>
  </si>
  <si>
    <t>WOS:001323974200001</t>
  </si>
  <si>
    <t>Fontanezi, NM; Maximino, P; Machado, RHV; Ferrari, G; Fisberg, M</t>
  </si>
  <si>
    <t>Fontanezi, Nathalia Moretti; Maximino, Priscila; Machado, Rachel Helena Vieira; Ferrari, Gerson; Fisberg, Mauro</t>
  </si>
  <si>
    <t>Association between parental feeding styles, body mass index, and consumption of fruits, vegetables and processed foods with mothers perceptions of feeding difficulties in children</t>
  </si>
  <si>
    <t>BackgroundFeeding difficulties (FDs) are complex phenomena influenced by parental factors, feeding behaviour, and cultural factors. However, studies of the influences of these factors on FDs incidence are scarce. Thus, this study aimed to identify the associations between mothers' perceptions of FDs in children and parental feeding styles, body mass index, and the consumption of fruits, vegetables and processed foods.MethodTwo hundred and fifty-seven mothers of children aged 1 to 6 years and 11 months participated in this cross-sectional study and self-completed electronic questionnaires on sociographic variables, parental feeding styles, the consumption of fruits, vegetables and processed foods and FDs. Nutritional status was classified by body mass index (kg/m2).ResultsThe prevalence of FDs in children was 48.2%, and the mean age was 43.8 (+/- 17.6) months. The indulgent parental feeding style was the most common (40.1%), followed by the authoritative (31.1%), authoritarian (23.7%), and uninvolved (5.1%) styles. An indulgent parental feeding style (OR: 4.66; 95% CI: 2.20-9.85), a high body mass index (OR: 1.35; 95% CI: 1.09-1.68), and the consumption of processed foods (OR: 5.21; 95% CI: 2.85-9.53) were positively associated with increased odds of the absence of FDs in children. The associations of authoritarian and uninvolved parental feeding styles and the consumption of fruits and vegetables with FDs in children were not significant.ConclusionThis study identified multiple factors that are possibly associated with feeding behaviours in young children. However, further studies need to be undertaken to evaluate how such behaviours affect FDs.</t>
  </si>
  <si>
    <t>Ferrari, Gerson/ABG-6635-2021</t>
  </si>
  <si>
    <t>10.1186/s12887-024-04657-7</t>
  </si>
  <si>
    <t>WOS:001181318000010</t>
  </si>
  <si>
    <t>Arias-Yurisch, K; Retamal-Soto, K; Ramos-Fuenzalida, C; Espinosa-Rada, A</t>
  </si>
  <si>
    <t>Arias-Yurisch, Karina; Retamal-Soto, Karina; Ramos-Fuenzalida, Camila; Espinosa-Rada, Alejandro</t>
  </si>
  <si>
    <t>Participation in multiple policy venues in governance of Chile's Santiago Metropolitan Region: When institutional attributes can make the difference</t>
  </si>
  <si>
    <t>POLICY STUDIES JOURNAL</t>
  </si>
  <si>
    <t>The complexity of metropolitan polycentric governance is still challenging scholars and practitioners, who have mostly been engaged in a normative debate in which scant attention has been paid to the coexistence and interdependence of institutional solutions. The ecology of games framework (EGF) can be used to remedy this gap. By incorporating the analysis of institutional variation into EGF propositions about venues' interdependence, this article examines the mechanisms of metropolitan governance configuration resulting from institutional complexity at the inter-municipal level. Provincial forums, municipal associations, and inter-municipal agreements are the policy venues studied in the Santiago Metropolitan Region, Chile. Official documents reporting formal agreements in 2017-2021 help to capture the inter-municipal governance network to which we apply exponential random graph models (ERGMs). The results show the positive effects of mandated provincial venues on inter-municipal ties and the absence of the effect of self-organized municipal associations, tendencies that prevail even when incorporating other relevant covariates into the models. These results nourish the EGF debate about interdependencies between coexisting policy venues, emphasizing the role of the different institutional attributes framing the policy venues and the effects of these differences on governance formation.</t>
  </si>
  <si>
    <t>Retamal Soto, Karina/CAF-8671-2022; Arias-Yurisch, Karina/LYP-0383-2024; Espinosa-Rada, Alejandro/IXX-0663-2023</t>
  </si>
  <si>
    <t>Arias-Yurisch, Karina/0000-0001-9820-6581; Espinosa-Rada, Alejandro/0000-0003-4177-1912; Retamal-Soto, Karina/0000-0001-8663-6744; Ramos-Fuenzalida, Camila/0000-0002-7974-4891</t>
  </si>
  <si>
    <t>0190-292X</t>
  </si>
  <si>
    <t>1541-0072</t>
  </si>
  <si>
    <t>10.1111/psj.12527</t>
  </si>
  <si>
    <t>WOS:001149968700001</t>
  </si>
  <si>
    <t>Mapping the territory of literacies pedagogies in the Global South</t>
  </si>
  <si>
    <t>Farias, Miguel/JBJ-8602-2023; Picard, Michelle/K-9107-2019; Veliz, Leonardo/ABH-9324-2020</t>
  </si>
  <si>
    <t>WOS:001356039600002</t>
  </si>
  <si>
    <t>González-Bustamante, B; Aguilar, D</t>
  </si>
  <si>
    <t>Gonzalez-Bustamante, Bastian; Aguilar, Diego</t>
  </si>
  <si>
    <t>Territorial patterns of open e-government: evidence from Chilean municipalities</t>
  </si>
  <si>
    <t>POLITICAL RESEARCH EXCHANGE</t>
  </si>
  <si>
    <t>This article analyses the development of open e-government between 2019 and 2021 in Chile's 345 municipalities. We aggregated an e-government index (EGi) to measure the provision of local digital services for citizens. We then combined this with indicators of transparency and access to public information to create an open e-government index (OEGi). Our empirical strategy is based on geospatial econometric analysis in two stages: first, we describe and georeference our index, estimating the level of spatial autocorrelation and then fit different econometric models to measure the impact of the degree of Internet use, socioeconomic dynamism and management capacity on the municipalities' development of open e-government. Our main findings indicate that monetary poverty has a negative effect on the index, while the municipal government's budget has a positive effect.</t>
  </si>
  <si>
    <t>Gonzalez-Bustamante, Bastian/0000-0003-1510-6820; Aguilar, Diego/0000-0003-4531-5922</t>
  </si>
  <si>
    <t>2474-736X</t>
  </si>
  <si>
    <t>DEC 31</t>
  </si>
  <si>
    <t>10.1080/2474736X.2023.2194369</t>
  </si>
  <si>
    <t>WOS:000960584700001</t>
  </si>
  <si>
    <t>Silva-Munoz, M; Contreras-Bolton, C; Rey, C; Parada, V</t>
  </si>
  <si>
    <t>Silva-Munoz, Moises; Contreras-Bolton, Carlos; Rey, Carlos; Parada, Victor</t>
  </si>
  <si>
    <t>Automatic generation of a hybrid algorithm for the maximum independent set problem using genetic programming</t>
  </si>
  <si>
    <t>One of graph optimization's fundamental and most challenging problems is determining the maximum set of unconnected vertices in a graph, called the maximum independent set problem. This problem consists of finding the largest independent set in a graph, where an independent set is a set of vertices such that no two vertices are adjacent. This paper presents a new artificially generated algorithm for the maximum independent set problem. The new algorithm is generated by the automatic generation of algorithms, a technique that allows the construction of new hybrid algorithms, taking advantage of existing algorithms. Thus, the automatic generation of algorithms combines basic heuristics for the problem, a tabu search method selected from the literature, and an exact method that solves the problem's mathematical formulation working for a limited computational time. With these components, the space of possible algorithms is traversed by employing genetic programming. Algorithms of small sizes are generated to study their structure and discover new algorithmic combinations. Then, we select the algorithm that finds solutions with the best computational performance among all the generated algorithms. This best algorithm is compared with three state-of-the-art algorithms for the problem, presenting the best computational performance for the 131 instances in the literature. &amp; COPY; 2023 Elsevier B.V. All rights reserved.</t>
  </si>
  <si>
    <t>Parada, Victor/M-5840-2014; Contreras-Bolton, Carlos/D-9624-2016</t>
  </si>
  <si>
    <t>Contreras-Bolton, Carlos/0000-0001-9549-4143; Rey, Carlos/0009-0000-0884-7423; Parada, Victor/0000-0002-8649-5694</t>
  </si>
  <si>
    <t>10.1016/j.asoc.2023.110474</t>
  </si>
  <si>
    <t>WOS:001055511700001</t>
  </si>
  <si>
    <t>Araya-López, C; Carrera, P; Torres, A; Pino-Soto, L; Quijada-Maldonado, E; Merlet, G; Romero, J; Plaza, A; Cabezas, R</t>
  </si>
  <si>
    <t>Araya-Lopez, Claudio; Carrera, Pedro; Torres, Alejandra; Pino-Soto, Luis; Quijada-Maldonado, Esteban; Merlet, Gaston; Romero, Julio; Plaza, Andrea; Cabezas, Rene</t>
  </si>
  <si>
    <t>Analysis of microwave-assisted heating and water extraction from imidazolium and phosphonium based ionic liquids</t>
  </si>
  <si>
    <t>THERMOCHIMICA ACTA</t>
  </si>
  <si>
    <t>Ionic liquids have attracted widespread attention due to their low melting points, low vapor pressure, and non-flammability. However, their application at industrial scale is uncommon due to high costs and low recovering efficiency of the ionic liquids within the process. To reduce the costs and environmental effects of ionic liquids, this study proposes to use industrial microwave irradiation to recover eight different ionic liquids from water. The heating kinetics and identification between dielectric and convective heat properties were studied. Imidazolium-based ionic liquids showed the best results, reaching higher temperatures in shorter periods of time. Ionic liquid (bis(trifluoromethylsulfonyl) trihexyl(tetradecyl) phosphonium imide ([P-6,P-6,P-6,P-14][Tf2N]) reached a temperature of 398 K in 360 s). On the other hand, the ionic liquid (1-butyl-3-methylimidazolium methylsulfate ([bmim] [CH3OSO3]) reached a temperature of 417 K in 150 s). the ionic liquid Microwave heating experiments (water/ionic liquids) demonstrated a 90% recovery in similar to 200 s for 1-octyl-3-methylimidazolium chloride ([omim][Cl]). Finally, the time used to heat-up ionic liquids with microwave irradiation was 15 times shorter than the time employed with vacuum-assisted distillation. Therefore, microwave-assisted heating has shown to be an excellent form to heat ionic liquids to decrease the cost of the extraction process and improve their reusability.</t>
  </si>
  <si>
    <t>Torres, Alejandra/LPQ-5664-2024; Cabezas, Rene/HAR-6189-2022; Romero, Julio/I-6705-2013; Merlet, Gastón/B-4109-2019; Araya Lopez, Claudio/KXR-0295-2024</t>
  </si>
  <si>
    <t>Plaza, Andrea/0000-0001-9475-007X; Cabezas, Rene/0000-0002-4162-3429; Quijada-Maldonado, Esteban/0000-0003-1411-4327; Pino Soto, Luis/0000-0002-6588-7867; Romero, Julio/0000-0002-1229-1592; Pino, Luis/0000-0003-4475-7470</t>
  </si>
  <si>
    <t>0040-6031</t>
  </si>
  <si>
    <t>1872-762X</t>
  </si>
  <si>
    <t>10.1016/j.tca.2022.179262</t>
  </si>
  <si>
    <t>WOS:000821034700008</t>
  </si>
  <si>
    <t>Miranda-Silva, B; Taveira, PHC; Teixeira, AW; Fonseca, JM; Rodrigues, LN; Elías, RG; Riveros, A; Vidal-Silva, N; Carvalho-Santos, VL</t>
  </si>
  <si>
    <t>Miranda-Silva, Beatriz; Taveira, Pedro H. C.; Teixeira, Allison W.; Fonseca, Jakson M.; Rodrigues, Leonarde N.; Elias, Ricardo G.; Riveros, Alejandro; Vidal-Silva, Nicolas; Carvalho-Santos, Vagson L.</t>
  </si>
  <si>
    <t>Manipulating the shape of flexible magnetic nanodisks with meronlike magnetic states</t>
  </si>
  <si>
    <t>The control of the magnetic properties of shapeable devices and the manipulation of flexible structures by external magnetic fields is a keystone of future magnetoelectronics-based devices. In this work we study the elastic properties of a flexible magnetic nanodisk that hosts a meron as the magnetic state and can be deformed from structures with positive to negative Gaussian curvature. We show that the winding number of the hosted meron is crucial to determine the curvature sign of the stable obtained shape. Additionally, we show that the curvature that minimizes the total energy of the nanodisk depends on geometrical and mechanical parameters. It is shown that an increase in the external radius and Young's modulus leads to a decrease in the curvature absolute value. Finally, it is shown that the nanodisk's shape also depends on the connection between the polarity and chirality of the meronlike state.</t>
  </si>
  <si>
    <t>Rodríguez, Alejandro/R-4062-2019; Rodrigues, Leonarde/MBG-9545-2025; Elias, Ricardo/F-2608-2012; Carvalho-Santos, Vagson/E-8806-2013; Fonseca, Jakson/N-7354-2013; Vidal Silva, Nicolas/IAN-0226-2023</t>
  </si>
  <si>
    <t>Wagner Teixeira, Allison/0000-0003-3238-6844; Carvalho-Santos, Vagson/0000-0002-2759-2152; Fonseca, Jakson/0000-0001-9441-026X; Taveira, Pedro/0000-0002-9962-0271; Vidal Silva, Nicolas/0000-0002-3717-3816; N. Rodrigues, Leonarde/0000-0002-1992-5754; Riveros, Alejandro/0000-0002-4924-663X</t>
  </si>
  <si>
    <t>MAR 28</t>
  </si>
  <si>
    <t>10.1103/PhysRevB.105.104430</t>
  </si>
  <si>
    <t>WOS:000800791500007</t>
  </si>
  <si>
    <t>Armstrong, M; Valencia, J; Lagos, G; Emery, X</t>
  </si>
  <si>
    <t>Armstrong, Margaret; Valencia, Juan; Lagos, Guido; Emery, Xavier</t>
  </si>
  <si>
    <t>Constructing Branching Trees of Geostatistical Simulations</t>
  </si>
  <si>
    <t>MATHEMATICAL GEOSCIENCES</t>
  </si>
  <si>
    <t>This paper proposes the use of multi-stage stochastic programming with recourse for optimised strategic open-pit mine planning. The key innovations are, firstly, that a branching tree of geostatistical simulations is developed to take account of uncertainty in ore grades, and secondly, scenario reduction techniques are applied to keep the trees to a manageable size. Our example shows that different mine plans would be optimal for the downside case when the deposit turns out to be of lower grade than expected compared to when it is of higher grade than expected. Our approach further provides the probabilities of these outcomes; that is, the idea is to move toward adaptive mine planning rather than just producing a single mine plan.</t>
  </si>
  <si>
    <t>Emery, Xavier/H-4202-2013; Barrios, Guido/AAQ-7117-2020; Valencia, Juan/GXN-0206-2022</t>
  </si>
  <si>
    <t>Lagos Barrios, Guido/0000-0001-8384-2577</t>
  </si>
  <si>
    <t>1874-8961</t>
  </si>
  <si>
    <t>1874-8953</t>
  </si>
  <si>
    <t>10.1007/s11004-021-09984-4</t>
  </si>
  <si>
    <t>WOS:000725900700001</t>
  </si>
  <si>
    <t>Barreto, Lindsei Brabec Mota; Aedo-Munoz, Esteban Ariel; Soto, Dany Alexis Sorbazo; Miarka, Bianca; Brito, Ciro Jose</t>
  </si>
  <si>
    <t>Road to Tokyo Olympic Games: do new judo rules change the technical-tactical behaviour of elite male athletes?</t>
  </si>
  <si>
    <t>This study compared the time-motion of the combat phases in male judo within two Olympic cycles (2016 vs. 2020). We analysed of 680 combats from belonging to two Olympic cycles (340 combats 2015-2016 and 340 combats 2019-2020). The combat phase was quantified according to a validated protocol (approach, gripping, attack/defence, groundwork, and pause). The 2020 cycle athletes spent less time in the gripping (79.7 +/- 50.1 vs. 104.3 +/- 54.1 seconds; p &lt; 0.001), attack/defence (7.6 +/- 5.2 vs. 9.5 +/- 7.2 seconds; p &lt; 0.001), and groundwork phases (33.9 +/- 29.0 vs. 42.2 +/- 32.0 seconds; p &lt; 0.001), and ashorter total combat time (200.0 +/- 104.6 vs. 238.0 +/- 94.8 seconds; p &lt; 0.001) than the 2016 athletes. Additionally, the 2020 athletes had ahigher occurrence of Golden Score (0.3 +/- 0.4 vs. 0.1 +/- 0.2 of total combats; p &lt; 0.001), and ahigher time spent in the Golden Score (23.9 +/- 53.5 vs. 4.1 +/- 21.4 seconds; p &lt; 0.001). The 2016 athletes had alonger total combat time; however, the time spent on the Golden Score increased in the 2020. These results should be helpful in preparing technical-tactical training aimed at performance.</t>
  </si>
  <si>
    <t>Miarka, Bianca/0000-0002-7513-7605; Sobarzo-Soto, Dany Alexis/0000-0001-8479-7149; Aedo-Munoz, Esteban/0000-0003-1544-2824; brito, ciro/0000-0002-9678-1977; Brabec Mota Barreto, Lindsei/0000-0001-5941-4409</t>
  </si>
  <si>
    <t>NOV 2</t>
  </si>
  <si>
    <t>10.1080/24748668.2021.1979839</t>
  </si>
  <si>
    <t>WOS:000713961200001</t>
  </si>
  <si>
    <t>González, C; Cartagena, C; Caballero, L; Melo, F; Areche, C; Cornejo, A</t>
  </si>
  <si>
    <t>Gonzalez, Camila; Cartagena, Constanza; Caballero, Leonardo; Melo, Francisco; Areche, Carlos; Cornejo, Alberto</t>
  </si>
  <si>
    <t>The Fumarprotocetraric Acid Inhibits Tau Covalently, Avoiding Cytotoxicity of Aggregates in Cells</t>
  </si>
  <si>
    <t>Neurodegenerative disorders, including Tauopathies that involve tau protein, base their pathological mechanism on forming proteinaceous aggregates, which has a deleterious effect on cells triggering an inflammatory response. Moreover, tau inhibitors can exert their mechanism of action through noncovalent and covalent interactions. Thus, Michael's addition appears as a feasible type of interaction involving an alpha, beta unsaturated carbonyl moiety to avoid pathological confirmation and further cytotoxicity. Moreover, we isolated three compounds from Antarctic lichens Cladonia cariosa and Himantormia lugubris: protolichesterinic acid (1), fumarprotocetraric acid (2), and lichesterinic acid (3). The maleimide cysteine labeling assay showed that compounds 1, 2, and 3 inhibit at 50 mu M, but compounds 2 and 3 are statistically significant. Based on its inhibition capacity, we decided to test compound 2 further. Thus, our results suggest that compound 2 remodel soluble oligomers and diminish beta sheet content, as demonstrated through ThT experiments. Hence, we added externally treated oligomers with compound 2 to demonstrate that they are harmless in cell culture. First, the morphology of cells in the presence of aggregates does not suffer evident changes compared to the control. Additionally, the externally added aggregates do not provoke a substantial LDH release compared to the control, indicating that treated oligomers do not provoke membrane damage in cell culture compared with aggregates alone. Thus, in the present work, we demonstrated that Michael's acceptors found in lichens could serve as a scaffold to explore different mechanisms of action to turn tau aggregates into harmless species.</t>
  </si>
  <si>
    <t>Cornejo, Alberto/AAE-7978-2022; Melo, Francisco/M-3923-2014; González, Camila/JDC-3277-2023; Areche, Carlos/I-2461-2013</t>
  </si>
  <si>
    <t>Cornejo, Alberto/0000-0003-0837-4130; Areche, Carlos/0000-0001-5246-1368; Melo, Francisco Esteban/0000-0001-6818-5476</t>
  </si>
  <si>
    <t>10.3390/molecules26123760</t>
  </si>
  <si>
    <t>WOS:000666504200001</t>
  </si>
  <si>
    <t>Cáceres, G; Rojas, V; López, S; Henríquez, R; Grez, P; Schrebler, R; Herrera, F; Pereyra, CJ; Marotti, RE; Navarrete, E; Muñoz, E</t>
  </si>
  <si>
    <t>Caceres, Gustavo; Rojas, Victor; Lopez, Silvana; Henriquez, Rodrigo; Grez, Paula; Schrebler, Ricardo; Herrera, Francisco; Pereyra, C. Javier; Marotti, Ricardo E.; Navarrete, Emilio; Munoz, Eduardo</t>
  </si>
  <si>
    <t>Changes in the spectroelectrochemical properties of copper(II) hexacyanoferrate(III) during electrochemical insertion of alkaline ions</t>
  </si>
  <si>
    <t>In this work, the influence of the electrochemical insertion of different alkali ions, e.g., lithium, sodium, and potassium, on the electrochromic properties of copper(II) hexacyanoferrate(III) (CuHCF) was addressed. CuHCF was electrochemically synthesized on FTO substrates, and a nucleation and growth analysis was shown that follows a 3D progressive nucleation with diffusion-controlled growth, which was confirmed by SEM analysis. The spectroelectrochemical study demonstrated that spectral changes were centered into three regions: a green band (506 nm) associated with a charge transfer (Fe-III -&gt; Cu-II), a violet band (413 nm) associated with d-d orbital transition for Cu+2 ions, and an ultraviolet band (354 nm) associated with a ligand-metal charge transfer (CN--&gt; Fe-III). This electronic transfer, along with the calculated electrochromic efficiency averages, indicates a relationship between the ionic radius of insertion ions and the deformation generated in CuHCF. An increase in the ionic radius decreases the interatomic charge transfer, which produces a low electrochromic efficiency.</t>
  </si>
  <si>
    <t>Henríquez, Rodrigo/E-2155-2014</t>
  </si>
  <si>
    <t>Rojas, Victor/0000-0002-5009-0046; Herrera, Francisco/0000-0001-7783-2970; Lopez Estay, Silvana Makarena/0000-0002-5665-1166; Caceres Inzunza, Gustavo Alejandro/0000-0002-4483-2672</t>
  </si>
  <si>
    <t>10.1007/s10008-021-04960-8</t>
  </si>
  <si>
    <t>WOS:000645873700001</t>
  </si>
  <si>
    <t>Cofré-Bolados, C; Chandía-Martinez, J; Chacana-Cañas, C; Marín-Rámirez, D; Rodriguez-Gutierrez, S; Rosales, W; Alvarez-Arangua, S; Farías-Valenzuela, C</t>
  </si>
  <si>
    <t>Cofre-Bolados, C.; Chandia-Martinez, J.; Chacana-Canas, C.; Marin-Ramirez, D.; Rodriguez-Gutierrez, S.; Rosales, W.; Alvarez-Arangua, S.; Farias-Valenzuela, C.</t>
  </si>
  <si>
    <t>TEST VALIDATION FIVE-REPETITION SIT-TO-STAND TEST IN OLDER ADULTS WITH ARTHROSIS IN THE LOWER LIMBS</t>
  </si>
  <si>
    <t>The five-rep sit-and-stand test (5R-STS) is a quick and objective tool that uses movements often used in everyday life. Objective: The objective of this prospective study was to validate the use of the 5R-STS Test in older adults with degenerative osteoarthritis-type pathologies in the lower extremities. Voluntary older adults with osteoarthritis and older adults without osteoarthritis completed the standardized 5R-STS in test and retest and the Time Up and Go (TUG) test. 88 older adults participated (67 women and 21 men) of which 42 had knee and / or hip osteoarthritis. The 5R-STS test demonstrated excellent test-retest reliability with an intraclass correlation coefficient of 0.98 in the total group. The cut-off point or upper limit indicative of functional deterioration associated with frailty, was identified for this study by age in 11.4 sec between 60 and 69 years; 12.6 sec from 70 to 79 years and 14.9 sec from 80 to 89 years. 31.4% of the subjects without osteoarthritis did not meet the short point and 44.8% of those without osteoarthritis, with an Od ratio of 0.71. The 5R-STS test is a simple and effective tool to evaluate the functionality and muscular strength of the lower extremities in older adults with osteoarthritis, when applying the statistical analysis there are no significant differences in the performance in the 5R-STS test between the group. with osteoarthritis and the group without osteoarthritis (p = 0.21), this same result was presented in the TUG (p=0.99) showing the validation of the test.</t>
  </si>
  <si>
    <t>Arangua, Sebastian/AAQ-3480-2021</t>
  </si>
  <si>
    <t>Alvarez Arangua, Sebastian/0000-0002-1930-5512; Farias Valenzuela, Claudio/0000-0002-4027-4415</t>
  </si>
  <si>
    <t>WOS:000709411800008</t>
  </si>
  <si>
    <t>Vera, CG; de Stange, AS</t>
  </si>
  <si>
    <t>Vera, CG; Figueroa, CT</t>
  </si>
  <si>
    <t>Garay Vera, Cristian; Soliz de Stange, Ana</t>
  </si>
  <si>
    <t>The Mercury of Valparaiso and the Truce Pact of 1884 with Bolivia</t>
  </si>
  <si>
    <t>RELACIONES INTERNACIONALES REGIONALES DE CHILE HACIA 1904</t>
  </si>
  <si>
    <t>978-956-6095-25-5</t>
  </si>
  <si>
    <t>10.26448/ae9789566095255.11</t>
  </si>
  <si>
    <t>WOS:000762754900005</t>
  </si>
  <si>
    <t>Gonzalez, A; Valero-Breton, M; Huerta-Salgado, C; Achiardi, O; Simon, F; Cabello-Verrugio, C</t>
  </si>
  <si>
    <t>Gonzalez, Andrea; Valero-Breton, Mayalen; Huerta-Salgado, Camila; Achiardi, Oscar; Simon, Felipe; Cabello-Verrugio, Claudio</t>
  </si>
  <si>
    <t>Impact of exercise training on the sarcopenia criteria in non-alcoholic fatty liver disease: a systematic review and meta-analysis</t>
  </si>
  <si>
    <t>EUROPEAN JOURNAL OF TRANSLATIONAL MYOLOGY</t>
  </si>
  <si>
    <t>Sarcopenia is a highly prevalent complication of non-alcoholic fatty liver disease (NAFLD). We aimed to conduct a systematic review and meta-analyses to elucidate the exercise training (ET)'s efficacy on NAFLD adult patients' sarcopenia criteria. We identified relevant randomized controlled trials (RCT) in electronic databases PubMed, CINAHL, and Scopus. We selected seven RCT from 66 screened studies. The ET programs included endurance or combined (endurance and resistance) training. No study performed resistance training alone. The physical function improved with endurance or combined training (mean differences [MD] 8.26 mL/Kg*min [95% CI 5.27 to 11.24 mL/Kg*min], p &lt; 0.0001); Muscle mass showed no evidence of the beneficial effects of endurance or combined training (MD 1.01 Kg [95% CI -1.78 to 3.80 Kg], p = 0.48). None of the selected studies evaluated muscle strength. Endurance and combined training increase physical function criteria but do not improve muscle mass criteria on sarcopenia in NAFLD patients. These results must be interpreted with caution for the small number of patients included in the RCTs analyzed, the different characteristics of the ET carried out, the non-use of resistance training, which prevents assess its effect on sarcopenia despite the evidence that recommends it and does not assessment muscle strength criteria in RCT include. Future research should include muscle strength assessments and resistance training to evaluate the effects in this condition. Exercise training is beneficial for sarcopenia in NAFLD but is necessary more experimental evidence to define the best type of training that positively affects the three criteria of sarcopenia. PROSPERO reference number CRD42020191471.</t>
  </si>
  <si>
    <t>Achiardi, Oscar/LFU-4968-2024; Cabello-Verrugio, Claudio/AAD-1454-2020; Gonzalez, Andrea/HGU-7618-2022</t>
  </si>
  <si>
    <t>Gonzalez, Andrea/0000-0001-5003-7109; Simon, Felipe/0000-0002-2653-9798</t>
  </si>
  <si>
    <t>2037-7452</t>
  </si>
  <si>
    <t>2037-7460</t>
  </si>
  <si>
    <t>10.4081/ejtm.2021.9630</t>
  </si>
  <si>
    <t>WOS:000634947900008</t>
  </si>
  <si>
    <t>Valdés-Jiménez, A; Larriba-Pey, JL; Núñez-Vivanco, G; Reyes-Parada, M</t>
  </si>
  <si>
    <t>Valdes-Jimenez, Alejandro; Larriba-Pey, Josep-L.; Nunez-Vivanco, Gabriel; Reyes-Parada, Miguel</t>
  </si>
  <si>
    <t>3D-PP: A Tool for Discovering Conserved Three-Dimensional Protein Patterns</t>
  </si>
  <si>
    <t>Discovering conserved three-dimensional (3D) patterns among protein structures may provide valuable insights into protein classification, functional annotations or the rational design of multi-target drugs. Thus, several computational tools have been developed to discover and compare protein 3D-patterns. However, most of them only consider previously known 3D-patterns such as orthosteric binding sites or structural motifs. This fact makes necessary the development of new methods for the identification of all possible 3D-patterns that exist in protein structures (allosteric sites, enzyme-cofactor interaction motifs, among others). In this work, we present 3D-PP, a new free access web server for the discovery and recognition all similar 3D amino acid patterns among a set of proteins structures (independent of their sequence similarity). This new tool does not require any previous structural knowledge about ligands, and all data are organized in a high-performance graph database. The input can be a text file with the PDB access codes or a zip file of PDB coordinates regardless of the origin of the structural data: X-ray crystallographic experiments or in silico homology modeling. The results are presented as lists of sequence patterns that can be further analyzed within the web page. We tested the accuracy and suitability of 3D-PP using two sets of proteins coming from the Protein Data Bank: (a) Zinc finger containing and (b) Serotonin target proteins. We also evaluated its usefulness for the discovering of new 3D-patterns, using a set of protein structures coming from in silico homology modeling methodologies, all of which are overexpressed in different types of cancer. Results indicate that 3D-PP is a reliable, flexible and friendly-user tool to identify conserved structural motifs, which could be relevant to improve the knowledge about protein function or classification. The web server can be freely utilized at https://appsbio.utalca.cl/3d-pp/.</t>
  </si>
  <si>
    <t>Nuñez, Gabriel/IAN-2843-2023</t>
  </si>
  <si>
    <t>Nunez Vivanco, Gabriel/0000-0002-2858-1789; Valdes-Jimenez, Alejandro/0000-0003-2345-5510</t>
  </si>
  <si>
    <t>10.3390/ijms20133174</t>
  </si>
  <si>
    <t>WOS:000477041100062</t>
  </si>
  <si>
    <t>Cerrillo-Urbina, AJ; García-Hermoso, A; Pardo-Guijarro, MJ; Sánchez-López, M; Santos-Gómez, JL; Martínez-Vizcaíno, V</t>
  </si>
  <si>
    <t>Jose Cerrillo-Urbina, Alberto; Garcia-Hermoso, Antonio; Jesus Pardo-Guijarro, Maria; Sanchez-Lopez, Mairena; Luis Santos-Gomez, Jose; Martinez-Vizcaino, Vicente</t>
  </si>
  <si>
    <t>The Effects of Long-Acting Stimulant and Nonstimulant Medications in Children and Adolescents with Attention-Deficit/Hyperactivity Disorder: A Meta-Analysis of Randomized Controlled Trials</t>
  </si>
  <si>
    <t>JOURNAL OF CHILD AND ADOLESCENT PSYCHOPHARMACOLOGY</t>
  </si>
  <si>
    <t>Objective: The aim of this study was to assess the efficacy and safety of stimulant and nonstimulant medications in children and adolescents using as an outcome measure the Attention-Deficit/Hyperactivity Disorder Rating Scale-IV (ADHD-RS-IV), and to examine the effect of medications in different ADHD subtypes (i.e., inattention and hyperactivity/impulsivity). Methods: MEDLINE, Scopus, EMBASE, EBSCO (E-journal, CINAHL and SportDiscus), PUBMED, and The Cochrane Central Register of Controlled Trials databases were searched. Randomized controlled trials (RCTs) with parallel group or placebo-controlled studies comparing the effect of medications (stimulants or nonstimulants) in children and adolescents with ADHD were included. The main outcomes were the ADHD-RS-IV total score and subtypes (inattention and hyperactivity/impulsivity). Treatment-emergent adverse events (TEAEs) and secondary outcomes such as systolic and diastolic blood pressure, and pulse rate were considered. Results: The search strategy identified 15 RCTs, including a total of 4648 children and/or adolescents diagnosed with ADHD aged 6 to 17 years old. Overall, both stimulant and nonstimulant medications reduce the ADHD-RS-IV score with a standardized mean difference (SMD) of -0.70 (confidence interval [95% CI], -0.85 to -0.55); in subgroup analyses, the SMD was -0.83 (95% CI, -1.11 to -0.54) for stimulant medications and -0.58 (95% CI, -0.69 to -0.46) for nonstimulant medications. Similar results were observed in inattention and hyperactivity/impulsivity subtypes. The placebo group also showed a medium effect SMD of -0.68 (95% CI, -0.82 to -0.54). The most frequent TEAEs for stimulant and nonstimulant medications, respectively, were decreased appetite (28.6% and 14.2%) and somnolence (4.4% and 34.1%). Conclusions: These results suggest that both stimulant and nonstimulant medications mitigate ADHD symptoms in children and adolescents, although subgroup analyses suggest a greater effectiveness of stimulant medications.</t>
  </si>
  <si>
    <t>SANCHEZ-LOPEZ, MAIRENA/J-7933-2016; VIZCAINO, VICENTE/R-4336-2017; García-Hermoso, Antonio/ADU-2591-2022; Garcia-Hermoso, Antonio/P-1857-2017</t>
  </si>
  <si>
    <t>Cerrillo Urbina, Alberto Jose/0000-0001-5854-069X; Sanchez Lopez, Mairena/0000-0002-0217-0623; Garcia-Hermoso, Antonio/0000-0002-1397-7182</t>
  </si>
  <si>
    <t>1044-5463</t>
  </si>
  <si>
    <t>1557-8992</t>
  </si>
  <si>
    <t>10.1089/cap.2017.0151</t>
  </si>
  <si>
    <t>WOS:000447002800002</t>
  </si>
  <si>
    <t>Montes, C; Castro, A; Barba, P; Rubio, J; Sánchez, E; Carvajal, D; Aguirre, C; Tapia, E; DellOrto, P; Decroocq, V; Prieto, H</t>
  </si>
  <si>
    <t>Montes, Christian; Castro, Alvaro; Barba, Paola; Rubio, Julia; Sanchez, Evelyn; Carvajal, Denisse; Aguirre, Carlos; Tapia, Eduardo; DellOrto, Paola; Decroocq, Veronique; Prieto, Humberto</t>
  </si>
  <si>
    <t>Differential RNAi responses of Nicotiana benthamiana individuals transformed with a hairpin-inducing construct during Plum pox virus challenge</t>
  </si>
  <si>
    <t>VIRUS GENES</t>
  </si>
  <si>
    <t>Gene silencing and large-scale small RNA analysis can be used to develop RNA interference (RNAi)-based resistance strategies for Plum pox virus (PPV), a high impact disease of Prunus spp. In this study, a pPPViRNA hairpin-inducing vector harboring two silencing motif-rich regions of the PPV coat protein (CP) gene was evaluated in transgenic Nicotiana benthamiana (NB) plants. Wild-type NB plants infected with a chimeric PPV virus (PPV:: GFP) exhibited affected leaves with mosaic chlorosis congruent to GFP fluorescence at 21 day post-inoculation; transgenic lines depicted a range of phenotypes from fully resistant to susceptible. ELISA values and GFP fluorescence intensities were used to select transgenic-resistant (TG-R) and transgenic-susceptible (TG-S) lines for further characterization of small interfering RNAs (siRNAs) by large-scale small RNA sequencing. In infected TG-S and untransformed (WT) plants, the observed siRNAs were nearly exclusively 21- and 22-nt siRNAs that targeted the whole PPV:: GFP genome; 24-nt siRNAs were absent in these individuals. Challenged TG-R plants accumulated a full set of 21- to 24-nt siRNAs that were primarily associated with the selected motif-rich regions, indicating that a trans-acting siRNAs process prevented viral multiplication. BLAST analysis identified 13 common siRNA clusters targeting the CP gene. 21-nt siRNA sequences were associated with the 22-nt siRNAs and the scarce 23- and 24-nt molecules in TG-S plants and with most of the observed 22-, 23-, and 24-nt siRNAs in TG-R individuals. These results validate the use of a multi-hot spot silencing vector against PPV and elucidate the molecules by which hairpin-inducing vectors initiate RNAi in vivo.</t>
  </si>
  <si>
    <t>Montes, Christian/M-2398-2014; Prieto, H./B-4400-2008; Tapia, Eduardo/AAA-4295-2022; SANCHEZ, EVELYN/MEO-5601-2025; Decroocq, Veronique/C-9980-2019; Aguirre, Carlos/H-9886-2013; Rubio Astudillo, Julia/H-3973-2013</t>
  </si>
  <si>
    <t>Montes, Christian/0000-0003-1249-2308; Tapia, Eduardo/0000-0001-5705-098X; Prieto, Humberto/0000-0002-9013-1906; Rubio Astudillo, Julia/0000-0001-8210-4951; Barba, Paola/0000-0001-9485-4733</t>
  </si>
  <si>
    <t>0920-8569</t>
  </si>
  <si>
    <t>1572-994X</t>
  </si>
  <si>
    <t>10.1007/s11262-014-1093-5</t>
  </si>
  <si>
    <t>WOS:000345094000016</t>
  </si>
  <si>
    <t>Dayyani, I; Friswell, MI; Ziaei-Rad, S; Flores, EIS</t>
  </si>
  <si>
    <t>Dayyani, Iman; Friswell, Michael I.; Ziaei-Rad, Saeed; Saavedra Flores, E. I.</t>
  </si>
  <si>
    <t>Equivalent models of composite corrugated cores with elastomeric coatings for morphing structures</t>
  </si>
  <si>
    <t>Coated composite corrugated panels have wide applications in engineering, especially in morphing skin applications. The optimal design of these structures requires simple models of the panels that may be incorporated into multi-disciplinary system models. Therefore equivalent structural models are required that retain the dependence on the geometric parameters of the coated corrugated panels. Taking into account the geometric and mechanical properties of the coated corrugated panel, an analytical homogenization model is investigated in this paper. The importance of this work is that it provides a simple equivalent analytical model which uses the geometric and mechanical properties of panel as variables that can be applied for further optimization studies. In this regard, two analytical solutions to calculate the equivalent tensile and bending flexural properties of a coated composite corrugated core in the longitudinal and transverse directions are presented. Then different experimental and numerical models are investigated to verify the accuracy and efficiency of the presented equivalent model. The comparison studies demonstrate the suitability of the proposed method for application in further complex design investigations. (C) 2013 Elsevier Ltd. All rights reserved.</t>
  </si>
  <si>
    <t>Flores, Erick/I-7646-2012; Friswell, Michael/B-5581-2009</t>
  </si>
  <si>
    <t>Friswell, Michael/0000-0003-4677-7395; Dayyani, Iman/0000-0001-8956-2090</t>
  </si>
  <si>
    <t>10.1016/j.compstruct.2013.04.034</t>
  </si>
  <si>
    <t>WOS:000322057800027</t>
  </si>
  <si>
    <t>Bascuñán-Godoy, L; Sanhueza, C; Cuba, M; Zuñiga, GE; Corcuera, LJ; Bravo, LA</t>
  </si>
  <si>
    <t>Bascunan-Godoy, Luisa; Sanhueza, Carolina; Cuba, Marely; Zuniga, Gustavo E.; Corcuera, Luis J.; Bravo, Leon A.</t>
  </si>
  <si>
    <t>Cold-acclimation limits low temperature induced photoinhibition by promoting a higher photochemical quantum yield and a more effective PSII restoration in darkness in the Antarctic rather than the Andean ecotype of Colobanthus quitensis Kunt Bartl (Cariophyllaceae)</t>
  </si>
  <si>
    <t>BMC PLANT BIOLOGY</t>
  </si>
  <si>
    <t>Background: Ecotypes of Colobanthus quitensis Kunt Bartl (Cariophyllaceae) from Andes Mountains and Maritime Antarctic grow under contrasting photoinhibitory conditions, reaching differential cold tolerance upon cold acclimation. Photoinhibition depends on the extent of photodamage and recovery capability. We propose that cold acclimation increases resistance to low-temperature-induced photoinhibition, limiting photodamage and promoting recovery under cold. Therefore, the Antarctic ecotype (cold hardiest) should be less photoinhibited and have better recovery from low-temperature-induced photoinhibition than the Andean ecotype. Both ecotypes were exposed to cold induced photoinhibitory treatment (PhT). Photoinhibition and recovery of photosystem II (PSII) was followed by fluorescence, CO2 exchange, and immunoblotting analyses. Results: The same reduction (25%) in maximum PSII efficiency (Fv/Fm) was observed in both cold-acclimated (CA) and non-acclimated (NA) plants under PhT. A full recovery was observed in CA plants of both ecotypes under dark conditions, but CA Antarctic plants recover faster than the Andean ecotype. Under PhT, CA plants maintain their quantum yield of PSII, while NA plants reduced it strongly (50% and 73% for Andean and Antarctic plants respectively). Cold acclimation induced the maintenance of PsaA and Cyt b6/f and reduced a 41% the excitation pressure in Antarctic plants, exhibiting the lowest level under PhT. xCold acclimation decreased significantly NPQs in both ecotypes, and reduced chlorophylls and D1 degradation in Andean plants under PhT. NA and CA plants were able to fully restore their normal photosynthesis, while CA Antarctic plants reached 50% higher photosynthetic rates after recovery, which was associated to electron fluxes maintenance under photoinhibitory conditions. Conclusions: Cold acclimation has a greater importance on the recovery process than on limiting photodamage. Cold acclimation determined the kinetic and extent of recovery process under darkness in both C. quitensis ecotypes. The greater recovery of PSII at low temperature in the Antarctic ecotype was related with its ability to maintain PsaA, Cyt b6/f and D1 protein after photoinhibitory conditions. This is probably due to either a higher stability of these polypeptides or to the maintenance of their turnover upon cold acclimation. In both cases, it is associated to the maintenance of electron drainage from the intersystem pool, which maintains Q(A) more oxidized and may allow the synthesis of ATP and NADPH necessaries for the regeneration of ribulose 1,5-bisphosphate in the Calvin Cycle. This could be a key factor for C. quitensis success under the harsh conditions and the short growing period in the Maritime Antarctic.</t>
  </si>
  <si>
    <t>Godoy, Luisa/AAF-2978-2019; Zuñiga, Gustavo/P-8306-2015; Corcuera, Luis/G-1714-2014; Sanhueza, Carolina/AAG-7456-2019; Bravo, Leon/H-9251-2018</t>
  </si>
  <si>
    <t>Zuniga, Gustavo/0000-0002-8286-9468; Bravo, Leon/0000-0003-4705-4842</t>
  </si>
  <si>
    <t>1471-2229</t>
  </si>
  <si>
    <t>JUL 24</t>
  </si>
  <si>
    <t>10.1186/1471-2229-12-114</t>
  </si>
  <si>
    <t>WOS:000311198200001</t>
  </si>
  <si>
    <t>Orihuela, PA; Zuñiga, LM; Rios, M; Parada-Bustamante, A; Sierralta, WD; Velásquez, LA; Croxatto, HB</t>
  </si>
  <si>
    <t>Orihuela, Pedro A.; Zuniga, Lidia M.; Rios, Mariana; Parada-Bustamante, Alexis; Sierralta, Walter D.; Velasquez, Luis A.; Croxatto, Horacio B.</t>
  </si>
  <si>
    <t>Mating changes the subcellular distribution and the functionality of estrogen receptors in the rat oviduct</t>
  </si>
  <si>
    <t>REPRODUCTIVE BIOLOGY AND ENDOCRINOLOGY</t>
  </si>
  <si>
    <t>Background: Mating changes the mode of action of 17beta-estradiol (E2) to accelerate oviductal egg transport from a nongenomic to a genomic mode, although in both pathways estrogen receptors (ER) are required. This change was designated as intracellular path shifting (IPS). Methods: Herein, we examined the subcellular distribution of ESR1 and ESR2 (formerly known as ER-alpha and ER-beta) in oviductal epithelial cells of rats on day 1 of cycle (C1) or pregnancy (P1) using immunoelectron microscopy for ESR1 and ESR2. The effect of mating on intraoviductal ESR1 or ESR2 signaling was then explored comparing the expression of E2-target genes c-fos, brain creatine kinase (Ckb) and calbindin 9 kDa (s100g) in rats on C1 or P1 treated with selective agonists for ESR1 (PPT) or ESR2 (DPN). The effect of ER agonists on egg transport was also evaluated on C1 or P1 rats. Results: Receptor immunoreactivity was associated with the nucleus, cytoplasm and plasma membrane of the epithelial cells. Mating affected the subcellular distribution of both receptors as well as the response to E2. In C1 and P1 rats, PPT increased Ckb while both agonists increased c-fos. DPN increased Ckb and s100g only in C1 and P1 rats, respectively. PPT accelerated egg transport in both groups and DPN accelerated egg transport only in C1 rats. Conclusion: Estrogen receptors present a subcellular distribution compatible with E2 genomic and nongenomic signaling in the oviductal epithelial cells of C1 and P1 although IPS occurs independently of changes in the distribution of ESR1 and ESR2 in the oviductal epithelial cells. Mating affected intraoviductal ER-signaling and induced loss of functional involvement of ESR2 on E2-induced accelerated egg transport. These findings reveal a profound influence on the ER signaling pathways exerted by mating in the oviduct.</t>
  </si>
  <si>
    <t>Parada-Bustamante, Alexis/I-1127-2013</t>
  </si>
  <si>
    <t>Velasquez, Luis/0000-0002-9479-1792; Zuniga Condor, Lidia M/0000-0001-8655-1994; Parada Bustamante, Alexis/0000-0002-3240-4961</t>
  </si>
  <si>
    <t>1477-7827</t>
  </si>
  <si>
    <t>NOV 30</t>
  </si>
  <si>
    <t>10.1186/1477-7827-7-139</t>
  </si>
  <si>
    <t>WOS:000272721900002</t>
  </si>
  <si>
    <t>Armijo, F; Goya, MC; Reina, M; Canales, MJ; Arévalo, MC; Aguirre, MJ</t>
  </si>
  <si>
    <t>Armijo, Francisco; Goya, Ma Carmen; Reina, Matias; Canales, M. Josefina; Arevalo, Ma Carmen; Aguirre, Ma Jesus</t>
  </si>
  <si>
    <t>Electrocatalytic oxidation of nitrite to nitrate mediated by Fe(III) poly-3-aminophenyl porphyrin grown on five different electrode surfaces</t>
  </si>
  <si>
    <t>JOURNAL OF MOLECULAR CATALYSIS A-CHEMICAL</t>
  </si>
  <si>
    <t>Conducting poly-tetrakis(3-aminophenyl) porphyrin-Fe(III) chloride films are prepared by electropolymerization of the complex on five different electrode surfaces: highly oriented pyrolytic graphite (HOPG), glassy carbon (GC), transparent electrode modified with tin oxide doped with indium (ITO), polycrystalline gold (Au(pc)) and monocrystalline An(111). The electrocatalytic behaviors of the polymer film-modified electrodes in the nitrite electrooxidation reaction were investigated. The results show that three of the five modified electrodes, HOPG, GC and ITO, have catalytic effect toward the oxidation of nitrite to nitrate. According to the shift of the potential, the activity shows the following order: HOPG approximate to ITO &gt; GC. However, the activity measured as the increase in current between modified and unmodified electrode in the presence of nitrite at a fixed potential shows the following order: ITO &gt;&gt; HOPE &gt; GC. In the case of Au(111) there is a current enhancement when the electrode is covered with the polymer film, but the foot of the oxidation wave appears at more positive potential. For Au(pc) the response in both current or potential is the same whether the electrode is modified or not. On the other hand, after a few cycles in the presence of nitrite, gold-modified electrodes (mono and polycrystalline) lose their activity. In the cases of HOPG, GC and ITO, the modified electrodes are stable and reproducible systems for the electrooxidation of nitrite. (c) 2007 Elsevier B.V. All rights reserved.</t>
  </si>
  <si>
    <t>Armijo, Francisco/G-3391-2013; Arévalo, M./AAY-1729-2020; Aguirre, Maria/A-3935-2013</t>
  </si>
  <si>
    <t>Armijo, Francisco/0000-0002-2479-6280; Aguirre, Maria/0000-0003-1134-4469; Arevalo, M. Carmen/0000-0003-4629-1643</t>
  </si>
  <si>
    <t>1381-1169</t>
  </si>
  <si>
    <t>1873-314X</t>
  </si>
  <si>
    <t>10.1016/j.molcata.2006.11.055</t>
  </si>
  <si>
    <t>WOS:000245897100023</t>
  </si>
  <si>
    <t>Rannou, FR; Kohli, V; Prout, DL; Chatziioannou, AF</t>
  </si>
  <si>
    <t>Investigation of OPET performance using GATE, a Geant4-based simulation software</t>
  </si>
  <si>
    <t>IEEE TRANSACTIONS ON NUCLEAR SCIENCE</t>
  </si>
  <si>
    <t>A combined optical positron emission tomography (OPET) system is capable of both optical and PET imaging in the same setting, and it can provide information/interpretation not possible in single-mode imaging. The scintillator array here serves the dual function of coupling the optical signal from bioluminescence/fluorescence to the photodetector and also of channeling optical scintillations from the gamma rays. We report simulation results of the PET part of OPET using GATE, a Geant4 simulation package. The purpose of this investigation is the definition of the geometric parameters of the OPET tomograph. OPET is composed of six detector blocks arranged in a hexagonal ring-shaped pattern with an inner radius of 15.6 mm. Each detector consists of a two-dimensional array of 8 x 8 scintillator crystals each measuring 2 x 2 x 10 mm(3). Monte Carlo simulations were performed using the GATE software to measure absolute sensitivity, depth of interaction, and spatial resolution for two ring configurations, with and without gantry rotations, two crystal materials, and several crystal lengths. Images were reconstructed with filtered backprojection after angular interleaving and transverse one-dimensional interpolation of the sinogram. We report absolute sensitivities nearly seven times that of the prototype microPET at the center of field of view and 2.0 mm tangential and 2.3 mm radial resolutions with gantry rotations up to an 8.0 mm radial offset. These performance parameters indicate that the imaging spatial resolution and sensitivity of the OPET system will be suitable for high-resolution and high-sensitivity small-animal PET imaging.</t>
  </si>
  <si>
    <t>0018-9499</t>
  </si>
  <si>
    <t>1558-1578</t>
  </si>
  <si>
    <t>10.1109/TNS.2004.835737</t>
  </si>
  <si>
    <t>WOS:000224491100031</t>
  </si>
  <si>
    <t>Castro, DAE; Altbir, D; Retamal, JC; Vargas, P</t>
  </si>
  <si>
    <t>Comment on Scaling approach to the magnetic phase diagram of nanosized systems - Reply</t>
  </si>
  <si>
    <t>Vargas, Patricio/AAL-2633-2020; Altbir, Dora/R-6781-2018; Retamal, Juan/G-6425-2010</t>
  </si>
  <si>
    <t>SEP 26</t>
  </si>
  <si>
    <t>10.1103/PhysRevLett.91.139702</t>
  </si>
  <si>
    <t>WOS:000185573700061</t>
  </si>
  <si>
    <t>Cerda, EA; Tirapegui, EL</t>
  </si>
  <si>
    <t>Faraday's instability in viscous fluid</t>
  </si>
  <si>
    <t>JOURNAL OF FLUID MECHANICS</t>
  </si>
  <si>
    <t>We find a quantitative approximation which explains the appearance and amplification of surface waves in a highly viscous fluid when it is subjected to vertical accelerations (Faraday's instability). Although stationary surface waves with frequency equal to half of the frequency of the excitation are observed in fluids of different kinematical viscosities we show here that the mechanism which produces the instability is very different for a highly viscous fluid as compared with a weakly viscous fluid. This is achieved by deriving an exact equation for the linear evolution of the surface which is non-local in time. We show that for a highly viscous fluid this equation becomes local and of second order and is then a Mathieu equation which is different from the one found for weak viscosity. Analysing the new equation we find an intimate relation with the Rayleigh-Taylor instability.</t>
  </si>
  <si>
    <t>Tirapegui, Enrique/G-8141-2016</t>
  </si>
  <si>
    <t>0022-1120</t>
  </si>
  <si>
    <t>10.1017/S0022112098001578</t>
  </si>
  <si>
    <t>WOS:000075775000008</t>
  </si>
  <si>
    <t>Gutierrez, M; Gomez, B; Retamal, G; Peña, G; Germany, E; Ortega-Bastidas, P; Aqueveque, P</t>
  </si>
  <si>
    <t>Gutierrez, Manuel; Gomez, Britam; Retamal, Gustavo; Pena, Guisella; Germany, Enrique; Ortega-Bastidas, Paulina; Aqueveque, Pablo</t>
  </si>
  <si>
    <t>Comparing Optical and Custom IoT Inertial Motion Capture Systems for Manual Material Handling Risk Assessment Using the NIOSH Lifting Index</t>
  </si>
  <si>
    <t>TECHNOLOGIES</t>
  </si>
  <si>
    <t>Assessing musculoskeletal disorders (MSDs) in the workplace is vital for improving worker health and safety, reducing costs, and increasing productivity. Traditional hazard identification methods are often inefficient, particularly in detecting complex risks, which may compromise risk management. This study introduces a semi-automatic platform using two motion capture systems-an optical system (OptiTrack (R)) and a Bluetooth Low Energy (BLE)-based system with inertial measurement units (IMUs), developed at the Biomedical Engineering Laboratory, Universidad de Concepci &amp; oacute;n, Chile. These systems, tested on 20 participants (10 women and 10 men, aged 30 +/- 9 years without MSDs), facilitate risk assessments via the digitized NIOSH Index method. Analysis of ergonomically significant variables (H, V, A, D) and calculation of the RWL and LI showed both systems aligned with expected ergonomic standards, although significant differences were observed in vertical displacement (V), horizontal displacement (H), and trunk rotation (A), indicating areas for improvement, especially for the BLE system. The BLE Inertial MoCap system recorded mean heights of 33.87 cm (SD = 4.46) and vertical displacements of 13.17 cm (SD = 4.75), while OptiTrack (R) recorded mean heights of 30.12 cm (SD = 2.91) and vertical displacements of 15.67 cm (SD = 2.63). Despite the greater variability observed in BLE system measurements, both systems accurately captured vertical vertical absolute displacement (D), with means of 32.05 cm (SD = 7.36) for BLE and 31.80 cm (SD = 3.25) for OptiTrack (R). Performance analysis showed high precision for both systems, with BLE and OptiTrack (R) achieving precision rates of 98.5%. Sensitivity, however, was lower for BLE (97.5%) compared to OptiTrack (R) (98.7%). The BLE system's F1 score was 97.9%, while OptiTrack (R) scored 98.6%, indicating both systems can reliably assess ergonomic risk. These findings demonstrate the potential of using BLE-based IMUs for workplace ergonomics, though further improvements in measurement accuracy are needed. The user-friendly BLE-based system and semi-automatic platform significantly enhance risk assessment efficiency across various workplace environments.</t>
  </si>
  <si>
    <t>Gómez, Britam/AAY-6534-2020; Aqueveque, Pablo/I-1463-2012; Germany Morrison, Enrique Ignacio/HHC-2009-2022</t>
  </si>
  <si>
    <t>Aqueveque, Pablo/0000-0001-9101-0383; Germany Morrison, Enrique Ignacio/0000-0002-3100-187X</t>
  </si>
  <si>
    <t>2227-7080</t>
  </si>
  <si>
    <t>10.3390/technologies12100180</t>
  </si>
  <si>
    <t>WOS:001342674800001</t>
  </si>
  <si>
    <t>Rezende, LFM; de Almeida-Pittito, B; Wahrhaftig, J; Matos, B; Ferrari, G; da Silva, LES; Cardoso, LD; Maciel, E; Claro, R</t>
  </si>
  <si>
    <t>Rezende, Leandro F. M.; de Almeida-Pittito, Bianca; Wahrhaftig, Jacqueline; Matos, Bruna; Ferrari, Gerson; da Silva, Luiza Eunice Sa; de Oliveira Cardoso, Leticia; Maciel, Ethel; Claro, Rafael</t>
  </si>
  <si>
    <t>Time trends in hypertension and diabetes prevalence by body mass index categories in Brazilian adults from 2006 to 2023</t>
  </si>
  <si>
    <t>DIABETES OBESITY &amp; METABOLISM</t>
  </si>
  <si>
    <t>Aim: The prevalence of diabetes and hypertension according to body mass index (BMI) status in Brazilian adults has not been described yet. Herein, we aimed to identify the time trends in hypertension and diabetes, individually and combined (multimorbidity), by BMI in Brazilian adults. Methods: In this time series cross-sectional study, we retrieved self-reported data from 806 169 adults between 2006 and 2023, using the Surveillance System of Risk and Protective Factors from Chronic Diseases by Telephone Survey (Vigitel). Weight and height were used to classify participants into normal/underweight (&lt;25 kg/m(2)), pre-obesity (25 to 29.9 kg/m(2)), and obesity (&gt;= 30 kg/m(2)). We calculated the prevalence of medical diagnoses of hypertension and diabetes, individually and combined, by BMI categories, and by sociodemographic characteristics (sex, age group, educational attainment) for participants with obesity. We performed Prais-Winsten linear regression models to identify temporal trends. Results: The prevalence of hypertension and diabetes increased between 2006 and 2023. Among adults with obesity, we observed a slight decrease in the prevalence of hypertension (from 44.5% in 2006 to 41.7% in 2023) and the prevalence of either hypertension or diabetes (47.1% to 45.5%); an increase in the prevalence of diabetes (12.8% to 15.13) and both conditions combined (10.2% to 11.2%). Participants with obesity had more than twice the prevalence of hypertension and diabetes compared with those who were normal/underweight. We observed a differential time trend by sex, age group, and educational attainment. Conclusion: Our findings indicate the need for differentiated approaches for interventions for hypertension and diabetes, considering variations over time by sociodemographic characteristics.</t>
  </si>
  <si>
    <t>Ferrari, Gerson/HHM-6173-2022; Claro, Rafael/F-8996-2012; de Almeida Pititto, Bianca/N-2075-2018; Ferrari, Gerson/P-1152-2014; Rezende, Leandro/C-1724-2012</t>
  </si>
  <si>
    <t>Ferrari, Gerson/0000-0003-3177-6576; Rezende, Leandro/0000-0002-7469-1399</t>
  </si>
  <si>
    <t>1462-8902</t>
  </si>
  <si>
    <t>1463-1326</t>
  </si>
  <si>
    <t>10.1111/dom.15780</t>
  </si>
  <si>
    <t>WOS:001274001700001</t>
  </si>
  <si>
    <t>Prosser, G; Rojas-Andrade, R; Aranguren, S; Zúñiga, CC; Navarro, ES; Romo-Medina, I</t>
  </si>
  <si>
    <t>Prosser, Gabriel; Rojas-Andrade, Rodrigo; Aranguren, Samuel; Zuniga, Camilo Caro; Navarro, Ema Schroder; Romo-Medina, Ivan</t>
  </si>
  <si>
    <t>Compost for your seeds: implementation strategies for environmental education in Chile from the ERIC taxonomy</t>
  </si>
  <si>
    <t>INTERNATIONAL RESEARCH IN GEOGRAPHICAL AND ENVIRONMENTAL EDUCATION</t>
  </si>
  <si>
    <t>The increasing interest in climate change and environmental education has highlighted the importance of strategies to enhance the adoption, implementation, and sustainability of these initiatives. However, the field of environmental education has not extensively explored implementation strategies, despite the existence of frameworks and taxonomies. This study aims to address this gap by identifying strategies suggested by environmental education professionals in Chile. A total of 91 participants responded to an online survey that included open-ended questions. Through content analysis, 24 categories aligned with existing frameworks and 7 categories emerging from the local context were identified. These categories were organized in a descending order, revealing the prominence of scale-up, process, capacity-building, integration, and dissemination strategies. While strategies from established frameworks were found, the study also highlights the emergence of strategies specific to the environmental education field, contextual factors, and the implementation phase of environmental education in Chile.</t>
  </si>
  <si>
    <t>Aranguren Zurita, Samuel Alejandro/0000-0001-6623-0114; Romo-Medina, Ivan/0000-0002-7663-7687; Prosser Bravo, Gabriel/0000-0003-1255-5890; Caro Zuniga, Camilo Andres/0000-0002-9515-2618</t>
  </si>
  <si>
    <t>1038-2046</t>
  </si>
  <si>
    <t>1747-7611</t>
  </si>
  <si>
    <t>10.1080/10382046.2024.2348279</t>
  </si>
  <si>
    <t>WOS:001215385900001</t>
  </si>
  <si>
    <t>Oetiker, N; Salinas, D; Lucero-Mora, J; Orellana, R; Quiroz-Muñoz, M; Bravo, D; Pérez-Donoso, JM</t>
  </si>
  <si>
    <t>Oetiker, Nia; Salinas, Daniela; Lucero-Mora, Joaquin; Orellana, Rocio; Quiroz-Munoz, Mariana; Bravo, Denisse; Perez-Donoso, Jose M.</t>
  </si>
  <si>
    <t>Antimicrobial Effect of Copper Nanoparticles on Relevant Supragingival Oral Bacteria</t>
  </si>
  <si>
    <t>Copper nanoparticles (Cu NPs) show promise in dentistry for combating bacterial dysbiosis and tooth decay. Understanding their effects on commensal versus pathogenic bacteria is vital for maintaining oral health balance. While Cu NPs demonstrate antibacterial properties against various oral bacteria, including common pathogens associated with tooth decay, their impact on commensal bacteria requires careful examination. In our work, we analyzed three types of Cu NPs for their effects on the growth, viability, and biofilm formation of representative caries-associated and commensal oral bacteria. S. sanguinis showed high tolerance to all Cu NPs, while L. rhamnosus was highly sensitive. Oxide-Cu NPs exhibited a stronger inhibitory effect on pathobionts compared with commensal bacteria. Moreover, the biofilm formation of the key cariogenic bacteria S. mutans was reduced, with minimal negative effects on commensal species' biofilm formation. All our results showed that CuO nanoparticles (CuO NPs) exhibit reduced toxicity toward commensal bacteria growth and development but have a strong impact on pathogens. This suggests their potential for targeted treatments against pathogenic bacteria, which could help in maintaining the balance of the oral bacterial community.</t>
  </si>
  <si>
    <t>Perez-Donoso, Jose/G-3668-2013</t>
  </si>
  <si>
    <t>Perez-Donoso, Jose/0000-0002-9506-1716</t>
  </si>
  <si>
    <t>10.3390/microorganisms12030624</t>
  </si>
  <si>
    <t>WOS:001192958200001</t>
  </si>
  <si>
    <t>Arenas-Henriquez, G; Diaz, F; Novoa, Y</t>
  </si>
  <si>
    <t>Arenas-Henriquez, Gabriel; Diaz, Felipe; Novoa, Yerko</t>
  </si>
  <si>
    <t>Thermal fluctuations of black holes with non-linear electrodynamics and charged Renyi entropy</t>
  </si>
  <si>
    <t>JOURNAL OF HIGH ENERGY PHYSICS</t>
  </si>
  <si>
    <t>We extend the charged Renyi entropy to a more general holographic scenario. Coupling an arbitrary non-linear electrodynamics Lagrangian density to AdS gravity, we analyse the thermodynamic features of non-linearly charged hyperbolic black holes and the thermal fluctuations in the grand canonical ensemble. We provide a general form for the relevant holographic quantities that describes a CFT with a global U(1) symmetry in terms of horizon data and we compute the first thermal fluctuation of the charged Renyi entropy. We demonstrate the validity of the formulae through an analytic example; the Coulomb source in 2 + 1 dimensions. We propose this model to be dual to charged free bosons in 1 + 1 dimensions. The corrections generates a subleading logarithmic divergence in the entanglement entropy which appear in some Condensed Matter systems with spontaneous symmetry breaking due to IR effects in the ground state. We comment on the possibility of interpreting these results in terms of holography beyond the saddle point approximation.</t>
  </si>
  <si>
    <t>Diaz, Felipe/GQI-4024-2022; Arenas, Gabriel/MIN-3348-2025</t>
  </si>
  <si>
    <t>Diaz, Felipe/0000-0003-4107-7162; Arenas-Henriquez, Gabriel/0000-0002-5704-5045</t>
  </si>
  <si>
    <t>1029-8479</t>
  </si>
  <si>
    <t>10.1007/JHEP05(2023)072</t>
  </si>
  <si>
    <t>WOS:000986899900001</t>
  </si>
  <si>
    <t>Machado, VG; Millan, D; Rezende, MC</t>
  </si>
  <si>
    <t>Machado, Vanderlei Gageiro; Millan, Daniela; Rezende, Marcos Caroli</t>
  </si>
  <si>
    <t>Binary mixtures with deep eutectic Solvents: Comparing properties with a Non-Ideality approach</t>
  </si>
  <si>
    <t>The non-ideality approach for the comparison of different properties of related binary mixtures of deep eutectic solvents (DESs) is illustrated with seventy examples from the literature. A preferential-solvation index (PSI) is used to compare polarities and the preferential solvation of solvatochromic probes in these systems. A non-ideality index (NII) and/or area (NIA) allow the comparison of thermodynamic properties of related mixtures. The approach, which is of easy application from experimental plots, can in principle be used for the comparison of any property of related binary mixtures of DESs. It is not based on theoretical assumptions and complements existing models, by comparing scattered data from different sources and revealing unexpected trends or patterns with a predictive power. It thus represents a simple alternative to the problem of interpreting and predicting the behavior of such complex, multi-component mixtures, which defy the application of theoretical models to their rationalization. (c) 2022 Elsevier B.V. All rights reserved.</t>
  </si>
  <si>
    <t>Millan, Daniela/ABD-4398-2021; Caroli, Marcos/H-3570-2019; Machado, Vanderlei/B-2269-2009; Gageiro Machado, Vanderlei/C-7045-2018</t>
  </si>
  <si>
    <t>Gageiro Machado, Vanderlei/0000-0002-6995-6591</t>
  </si>
  <si>
    <t>10.1016/j.molliq.2022.119259</t>
  </si>
  <si>
    <t>WOS:000804373700007</t>
  </si>
  <si>
    <t>Garnica, JC; Gómez, LG; Navarro, AA; Rodríguez, Y</t>
  </si>
  <si>
    <t>Garnica, Juan C.; Gomez, L. Gabriel; Navarro, Andres A.; Rodriguez, Yeinzon</t>
  </si>
  <si>
    <t>Constant-Roll Inflation in the Generalized SU(2) Proca Theory</t>
  </si>
  <si>
    <t>ANNALEN DER PHYSIK</t>
  </si>
  <si>
    <t>The generalized SU(2) Proca theory (GSU2P) is a variant of the well known generalized Proca theory where the vector field belongs to the Lie algebra of the SU(2) group of global transformations under which the action is made invariant. New interesting possibilities arise in this framework because of the existence of new interactions of purely non-Abelian character and new configurations of the vector field resulting in spatial spherical symmetry and the cosmological dynamics being driven by the propagating degrees of freedom. We study the 2D phase space of the system that results when the cosmic triad configuration is employed in the Friedmann-Lemaitre-Robertson-Walker background and find an attractor curve whose attraction basin both covers almost all the allowed region and does not include a Big-Bang singularity. Such an attractor curve corresponds to a primordial inflationary solution that has the following characteristic properties: 1) it is a de Sitter solution whose Hubble parameter is regulated by a generalized version of the SU(2) group coupling constant, 2) it is constant-roll including, as a limiting case, the slow-roll variety, 3) a number of e-folds N&gt;60 is easily reached, 4) it has a graceful exit into a radiation dominated period powered by the canonical kinetic term of the vector field and the Einstein-Hilbert term. The free parameters of the action are chosen such that the tensor sector of the theory is the same as that of general relativity at least up to second-order perturbations, thereby avoiding the presence of ghost and Laplacian instabilities in the tensor sector as well as making the gravity waves propagate at light speed. This is a proof of concept of the interesting properties that could be found in this scenario when the coupling constants be replaced by general coupling functions and more terms be discovered in the GSU2P.</t>
  </si>
  <si>
    <t>Rodríguez García, Yeinzon/I-3893-2019; Gomez, Gabriel/MVW-4321-2025</t>
  </si>
  <si>
    <t>Gomez Diaz, Luis Gabriel/0000-0002-3618-9824; Rodriguez Garcia, Yeinzon/0000-0002-9830-7128; Garnica Aguirre, Juan Camilo/0000-0002-8648-4039</t>
  </si>
  <si>
    <t>0003-3804</t>
  </si>
  <si>
    <t>1521-3889</t>
  </si>
  <si>
    <t>10.1002/andp.202100453</t>
  </si>
  <si>
    <t>WOS:000739334000001</t>
  </si>
  <si>
    <t>Probst, TM; Jiang, LX; Bohle, SAL</t>
  </si>
  <si>
    <t>Probst, Tahira M.; Jiang Lixin; Bohle, Sergio Andres Lopez</t>
  </si>
  <si>
    <t>Job insecurity and impression management Which is the horse and which is the cart when it comes to job performance?</t>
  </si>
  <si>
    <t>Purpose The purpose of this paper is to test competing models of the relationship between job insecurity and two forms of impression management (self- and supervisor-focused) on job performance. Specifically, does job insecurity lead to greater subsequent impression management; or, does preventative use of impression management subsequently lead to reductions in job insecurity? Additionally, how do these both relate to in-role performance? Design/methodology/approach Using two-wave survey data collected from 184 working adults in the USA and the two-step approach recommended by Cole and Maxwell (2003) and Taris and Kompier (2006), the authors tested cross-lagged relationship between job insecurity and both forms of impression management by comparing four different models: a stability model, a normal causation model (with cross-lagged paths from T1 job insecurity to T2 impression management), a reversed causation model (with cross-lagged paths from T1 impression management to T2 job insecurity) and a reciprocal causation model (with all cross-lagged paths described in the normal and reversed causation model). Findings Results were supportive of the reversed causation model which indicated that greater use of supervisor-focused impression management at Time 1 predicted lower levels of job insecurity at Time 2 (after controlling for prior levels of job insecurity); moreover, job insecurity at Time 1 was then significantly associated with more positive in-role behaviors at Time 2. Moreover, the test of the indirect effect between T1 impression management and T2 performance was significant. Originality/value These results suggest that impression management clearly plays an important role in understanding the relationship between job insecurity and job performance. However, employees appear to utilize impression management as a means of pre-emptively enhancing their job security, rather than as a tool to reactively cope with perceived job insecurity.</t>
  </si>
  <si>
    <t>Probst, Tahira/ABD-5600-2021; Bohle, Sergio/P-7698-2014; Probst, Tahira/K-2494-2014</t>
  </si>
  <si>
    <t>Lopez Bohle, Sergio/0000-0002-6202-4089; Jiang, Lixin/0000-0003-0853-9329; Probst, Tahira/0000-0002-2789-4492</t>
  </si>
  <si>
    <t>JUN 8</t>
  </si>
  <si>
    <t>10.1108/CDI-04-2018-0119</t>
  </si>
  <si>
    <t>WOS:000524860900006</t>
  </si>
  <si>
    <t>Gaya, AR; Mello, JB; Dias, AF; Brand, C; Cardoso, VD; Nagorny, GAK; Mota, J; García-Hermoso, A; Gaya, ACA</t>
  </si>
  <si>
    <t>Gaya, Anelise Reis; Mello, Julio Brugnara; Dias, Arieli Fernandes; Brand, Caroline; Cardoso, Vinicius Denardin; Kunst Nagorny, Gabriel Alberto; Mota, Jorge; Garcia-Hermoso, Antonio; Araujo Gaya, Adroaldo Cezar</t>
  </si>
  <si>
    <t>Temporal trends in physical fitness and obesity among Brazilian children and adolescents between 2008 and 2014</t>
  </si>
  <si>
    <t>JOURNAL OF HUMAN SPORT AND EXERCISE</t>
  </si>
  <si>
    <t>The research aims to assess the trend of the health-related physical fitness over a period comprising 2008-2014, in two cohorts of a voluntary Brazilian school aged children and adolescents. Data was obtained from the database of Project Sport Brazil. The sample comprised children and adolescents aged between 10-17 years, assessed in two cohorts: 2008-2009 (6,281) and 2013-2014 (4,052) from different Brazilian regions. Measurement of the health-related physical fitness included: sit-up abdominal test, sit and reach, nine-minute of running/walking test, and body mass index. Descriptive data analyses and Poisson Logistic Regression were used. Prevalence trends of unhealthy flexibility increased significantly for boys from 35.2% to 38.4% and girls 23.5% to 38.0%, while prevalence on unhealthy abdominal strength/resistance decreased significantly for boys from 35.9% to 30.0% and did not show differences over time for girls. Overweight/obesity increased significantly over time in boys from 18.9% to 23.7%, as well as in girls from 19.4% to 28.0%. Cardiorespiratory fitness (CRF) showed the highest variation over time with a significantly increase of the unhealthy zone for both, boys from 33.4% to 61.3% and girls 33.3% to 66.6%. Therefore, we emphasize the importance of implementation national campaigns and interventions promoting physical activity in order to improve health.</t>
  </si>
  <si>
    <t>Brand, Caroline/ABH-5856-2020; DENARDIN CARDOSO, VINICIUS/AFQ-9680-2022; Mello, Júlio/O-2112-2017; García-Hermoso, Antonio/ADU-2591-2022; mota, jorge/B-2980-2013; Gaya, Anelise/C-1140-2012; Garcia-Hermoso, Antonio/P-1857-2017</t>
  </si>
  <si>
    <t>Brugnara Mello, Julio/0000-0002-3013-1760; Brand, Caroline/0000-0002-5624-3592; Gaya, Anelise/0000-0002-8335-6947; Garcia-Hermoso, Antonio/0000-0002-1397-7182</t>
  </si>
  <si>
    <t>1988-5202</t>
  </si>
  <si>
    <t>10.14198/jhse.2020.153.07</t>
  </si>
  <si>
    <t>WOS:000565221500007</t>
  </si>
  <si>
    <t>Díaz, L; Devis, S; Sotomayor, C; González, G; Benavente, E</t>
  </si>
  <si>
    <t>Diaz, Leslie; Devis, Sindy; Sotomayor, Clivia; Gonzalez, Guillermo; Benavente, Eglantina</t>
  </si>
  <si>
    <t>Synthesis and photocatalytic activity of hybrid layered ZnO(myristic acid)/Ag nanoparticles</t>
  </si>
  <si>
    <t>A new hybrid hetero nanocomposite, consisting of ZnO(myristic acid)/Ag-NPs, has been synthesized. The nanocomposite, made up of single ZnO nanosheets sandwiched between myristic acid self-assembled monolayers was synthesized and decorated with metal nanoparticles by chemical solution and tested in the photodegradation of methylene blue under UV light irradiation. The product displayed significant photocatalytic activity for degradation of the dye, and the activity was improved by a factor of three compared to bulk ZnO under similar conditions. The observed photodegradation efficiency is discussed in terms of the confinement of the semiconductor in the two dimensional structure, the adsorption ability of the organic component and the plasmonic absorption of Ag nanoparticles, which makes them act as electron wells, thus promoting charge separation and a reduced recombination rate. (C) 2016 Elsevier B.V. All rights reserved.</t>
  </si>
  <si>
    <t>Benavente, Eglantina/F-7662-2015; Gonzalez, Guillermo/HMV-7330-2023; Sotomayor Torres, Clivia M/E-8418-2010</t>
  </si>
  <si>
    <t>BENAVENTE, EGLANTINA/0000-0002-8414-9317; Diaz Jalaff, Leslie/0000-0002-9001-2093; Devis Ruiz, Sindy/0000-0001-7384-5774; Sotomayor Torres, Clivia M/0000-0001-9986-2716</t>
  </si>
  <si>
    <t>10.1016/j.matlet.2016.05.126</t>
  </si>
  <si>
    <t>WOS:000381540100003</t>
  </si>
  <si>
    <t>Cruz, C; Spodine, E; Vega, A; Venegas-Yazigi, D; Paredes-García, V</t>
  </si>
  <si>
    <t>Cruz, Carlos; Spodine, Evgenia; Vega, Andres; Venegas-Yazigi, Diego; Paredes-Garcia, Veronica</t>
  </si>
  <si>
    <t>Novel 3d/4f Metal Organic Networks Containing CoII Chiral Chains</t>
  </si>
  <si>
    <t>Novel 3d/4f heterometallic three-dimensional (3D) networks, based on Co-II/Gd-III cations and imidazole-4,5-dicarboxylic acid (H3IDC) and oxalate which are acting as main and auxiliary ligand, respectively, were hydro-/solvothermally synthesized using different synthetic strategies. While [Gd (H2O) (C2O4) Co (IDC) (H2O)(1.26)(-) (CH3CH2OH)(0.74)]center dot 1.75H(2)O (1) was obtained in a one-pot synthesis, [Gd(H2O)Co(HIDC)(C2O4)(1.5)]center dot 2.65H(2)O (2) was obtained using a Co-II complex precursor. Both compounds crystallize in a monoclinic system within the centrosymmetric space group C2/c. These structures are characterized by presenting an intricate covalent 3D network. A notable aspect is the fact that in these centrosymmetric structures Co-II(IDC/HIDC) moieties are disposed along the networks forming alternate chiral chains, A and A. From a magnetic point of view, both (1) and (2) have antiferromagnetic interactions, but in (1) a magnetic order appears below 8 K, probably as product of uncompensated antiferromagnetic interactions produced by centers with different spin values. This ferrimagnetic behavior was verified by the hysteresis curve at 1.8 K, and by well-defined maxima, both in the in-phase and out-of-phase ac susceptibilities curves. Remarkably, this work reports efficient synthetic methods through which it is possible to generate 3d/4f networks, these being scarce in the literature.</t>
  </si>
  <si>
    <t>Paredes-Garcia, Veronica/C-4415-2011; Vega, Andres/B-2122-2010; Cruz, Carlos/KIG-8993-2024; Venegas-Yazigi, Diego/C-5022-2009</t>
  </si>
  <si>
    <t>Cruz Herrera, Carlos/0000-0002-2644-4297; Venegas-Yazigi, Diego/0000-0001-7816-2841; Vega, Andres/0000-0001-6501-4161</t>
  </si>
  <si>
    <t>10.1021/acs.cgd.5b01843</t>
  </si>
  <si>
    <t>WOS:000373747700048</t>
  </si>
  <si>
    <t>Pérez-Cruz, F; Cortés, C; Atala, E; Bohle, P; Valenzuela, F; Olea-Azar, C; Speisky, H; Aspée, A; Lissi, E; López-Alarcón, C; Bridi, R</t>
  </si>
  <si>
    <t>Perez-Cruz, Fernanda; Cortes, Contanza; Atala, Elias; Bohle, Pamela; Valenzuela, Francisco; Olea-Azar, Claudio; Speisky, Hernan; Aspee, Alexis; Lissi, Eduardo; Lopez-Alarcon, Camilo; Bridi, Raquel</t>
  </si>
  <si>
    <t>Use of Pyrogallol Red and Pyranine as Probes to Evaluate Antioxidant Capacities towards Hypochlorite</t>
  </si>
  <si>
    <t>Hypochlorite is a strong oxidant able to induce deleterious effects in biological systems. The goal of this work was to investigate the use of PGR and PYR as probes in assays aimed at evaluating antioxidant activities towards hypochorite and apply it to plant extracts employed in Chilean folk medicine. The consumption of PGR and PYR was evaluated from the decrease in the visible absorbance and fluorescence intensity, respectively. Total phenolic content was determined by the Folin Ciocalteau assay. PGR and PYR react with hypochlorite with different kinetics, being considerably faster the consumption of PGR. Different stoichiometric values were also determined: 0.7 molecules of PGR and 0.33 molecules of PYR were bleached per each molecule of added hypochlorite. Both probes were protected by antioxidants, but the rate of PGR bleaching was too fast to perform a kinetic analysis. For PYR, the protection took place without changes in its initial consumption rate, suggesting a competition between the dye and the antioxidant for hypochlorite. Plant extracts protected PYR giving a PYR-HOCl index that follows the order: Fuchsia magellanica approximate to Marrubium vulgare approximate to Tagetes minuta &gt; Chenopodium ambrosoides approximate to Satureja montana &gt; Thymus praecox. Based on both the kinetic data and the protection afforded by pure antioxidants, we selected PYR as the best probe. The proposed methodology allows evaluating an antioxidant capacity index of plant extracts related to the reactivity of the samples towards hypochlorite.</t>
  </si>
  <si>
    <t>SPEISKY, HERNAN/E-6146-2013; Lopez, Camilo/J-5770-2013; Perez-Cruz, Fernanda/V-4354-2019; Bridi, Raquel/JCN-9916-2023; bridi, raquel/F-1572-2015; OLEA AZAR, CLAUDIO/I-1605-2013</t>
  </si>
  <si>
    <t>Valenzuela, Francisco/0000-0001-8478-652X; Lopez, Camilo/0000-0002-0174-8972; bridi, raquel/0000-0002-3891-5770; OLEA AZAR, CLAUDIO/0000-0001-5805-0746</t>
  </si>
  <si>
    <t>10.3390/molecules18021638</t>
  </si>
  <si>
    <t>WOS:000315400600022</t>
  </si>
  <si>
    <t>Zura-Bravo, L; Vega-Gálvez, A; Lemus-Mondaca, R; Ah-Hen, KS; Di Scala, K</t>
  </si>
  <si>
    <t>Zura-Bravo, Liliana; Vega-Galvez, Antonio; Lemus-Mondaca, Roberto; Ah-Hen, Kong Shun; Di Scala, Karina</t>
  </si>
  <si>
    <t>EFFECT OF TEMPERATURE ON REHYDRATION KINETICS, FUNCTIONAL PROPERTIES, TEXTURE AND ANTIOXIDANT ACTIVITY OF RED PEPPER VAR. HUNGARIAN (CAPSICUM ANNUUM L.)</t>
  </si>
  <si>
    <t>JOURNAL OF FOOD PROCESSING AND PRESERVATION</t>
  </si>
  <si>
    <t>Dehydrated peppers at 60C were rehydrated at three temperatures (20, 40 and 60C) to analyze the effect of processing temperature on rehydration kinetics and quality attributes of final products. Several empirical and diffusive models were applied to simulate rehydration kinetics. Based on statistical results (sum of square error, root mean square error and chi-square), Weibull and exponential models obtained the best fit quality for the experimental data. Water holding capacity and rehydration ratio presented a maximum and minimum value at 40C, respectively, indicating structural modifications of pepper due to thermal processing. Based on the glass transition temperature of the dried samples, it could be inferred that peppers are susceptible to structural disruption during rehydration at the three working temperatures. Increasing rehydration temperatures lead to a reduction in the pepper firmness. The radical scavenging activity showed higher antioxidant activity at high temperatures (e.g., 60C) rather than at low temperatures (e.g., 20 and 40C). PRACTICAL APPLICATIONS The main utility of this study is the appliance of diffusional, statistical and empirical models in food rehydration, which can be considered a basis for a very accurate estimation of rehydration time and the optimization of the rehydration process. The physicochemical analyses on food products can confirm that thermal processes modify the cell structure of food, reducing the rehydration ability due to cellular and structural disruption that takes place during dehydration. Also, families of most peppers are rich in antioxidants due to the presence of bioactive compounds, which are associated to reduction of biological complications such as aging, cardiovascular disease and carcinogenesis. In addition, dried red pepper var. Hungarian and other dried pepper exports from Chile have become especially important, because these products are consumed both dry and rehydrated. Major markets for these products include the U.S.A., the European community and Japan.</t>
  </si>
  <si>
    <t>Ah-Hen, Kong/D-2591-2011; Vega-Galvez, Antonio/F-1089-2015; Zura-Bravo, Liliana/ACN-6815-2022; Lemus-Mondaca, Roberto/E-8348-2017</t>
  </si>
  <si>
    <t>Ah-Hen, Kong Shun/0000-0003-4595-0707; Vega-Galvez, Antonio/0000-0001-9991-6139; Zura-Bravo, Liliana/0000-0003-1403-5872; Lemus-Mondaca, Roberto/0000-0002-1252-2573</t>
  </si>
  <si>
    <t>0145-8892</t>
  </si>
  <si>
    <t>1745-4549</t>
  </si>
  <si>
    <t>10.1111/j.1745-4549.2011.00623.x</t>
  </si>
  <si>
    <t>WOS:000313946400009</t>
  </si>
  <si>
    <t>Troncoso, L; Martínez-Lope, MJ; Alonso, JA; Fernández-Díaz, MT</t>
  </si>
  <si>
    <t>Troncoso, L.; Martinez-Lope, M. J.; Alonso, J. A.; Fernandez-Diaz, M. T.</t>
  </si>
  <si>
    <t>Evaluation of Sr2MMoO6 (M = Mg, Mn) as anode materials in solid-oxide fuel cells: A neutron diffraction study</t>
  </si>
  <si>
    <t>Sr2MMoO6 (M = Mg, Mn) double perovskites have recently been proposed as anode materials in solid-oxide fuel cells (SOFC). The evolution of their crystal structures has been followed by in situ temperature-dependent neutron powder diffraction from 25 degrees C room temperature (RT) to 930 degrees C by heating in ultrahigh vacuum (P-O2 approximate to 10(-6) Torr) in order to simulate the reducing atmosphere corresponding to the working conditions of an anode in a SOFC. At RT, the samples are described as tetragonal (I4/m space group) and monoclinic (P2(1)/n) for M = Mg, Mn, respectively. Sr2MMoO6 undergoes a structural phase transition from tetragonal to cubic (Fm-3m) below 300 degrees C; Sr2MMoO6 experiences two consecutive phase transitions to tetragonal (I4/m) and finally cubic (Fm-3m) at 600 degrees C and above. In the cubic phases, the absence of octahedral tilting accounts for a good overlap between the oxygen and transition-metal orbitals, resulting in a good electronic conductivity; a high mobility of the oxygen atoms is derived from the elevated displacement parameters, for instance 3.0 angstrom(2) and 4.6 angstrom(2) at 930 degrees C for M = Mg, Mn, respectively. Both factors contribute to the excellent performance described for these mixed ionic and electronic conductor oxides as anodes in single fuel cells. From dilatometric measurements, the thermal expansion coefficients (TEC) in the cubic region are 12.7 x 10(-6) K-1 and 13.0 x 10(-6) K-1 for M = Mg and Mn, respectively. These figures are comparable to those obtained from the mentioned structural analysis; moreover, the TECs for the cubic phases perfectly match those of the usual electrolytes in a SOFC. (C) 2013 American Institute of Physics. [http://dx.doi.org/10.1063/1.4774764]</t>
  </si>
  <si>
    <t>Fernandez-Diaz, Maria Teresa/D-7373-2014; Alonso, Jose Antonio/A-5245-2011</t>
  </si>
  <si>
    <t>Troncoso, Loreto/0000-0003-1621-3310; Alonso, Jose Antonio/0000-0001-5329-1225; Fernandez-Diaz, Maria Teresa/0009-0009-0524-0787</t>
  </si>
  <si>
    <t>10.1063/1.4774764</t>
  </si>
  <si>
    <t>WOS:000313644500022</t>
  </si>
  <si>
    <t>Elías, AO; Abarca, MJ; Montes, RA; Chasteen, TG; Pérez-Donoso, JM; Vásquez, CC</t>
  </si>
  <si>
    <t>Elias, Alex O.; Jose Abarca, Maria; Montes, Rebecca A.; Chasteen, Thomas G.; Perez-Donoso, Jose M.; Vasquez, Claudio C.</t>
  </si>
  <si>
    <t>Tellurite enters Escherichia coli mainly through the PitA phosphate transporter</t>
  </si>
  <si>
    <t>MICROBIOLOGYOPEN</t>
  </si>
  <si>
    <t>Several transporters suspected to be involved in tellurite uptake in Escherichia coli were analyzed. Results showed that the PitA phosphate transporter was related to tellurite uptake. Escherichia coli Delta pitA was approximately four-fold more tolerant to tellurite, and cell viability remained almost unchanged during prolonged exposure to the toxicant as compared with wild type or Delta pitB cells. Notably, reduced thiols (toxicant targets) as well as superoxide dismutase, catalase, and fumarase C activities did not change when exposing the Delta pitA strain to tellurite, suggesting that tellurite-triggered oxidative damage is attenuated in the absence of PitA. After toxicant exposure, remaining extracellular tellurite was higher in E. coli Delta pitA than in control cells. Whereas inductively coupled plasma atomic emission spectrometric studies confirmed that E. coli Delta pitA accumulates similar to 50% less tellurite than the other strains under study, tellurite strongly inhibited P-32(i) uptake suggesting that the PitA transporter is one of the main responsible for tellurite uptake in this bacterium.</t>
  </si>
  <si>
    <t>Chasteen, Thomas/B-6601-2009; Perez-Donoso, Jose/G-3668-2013</t>
  </si>
  <si>
    <t>2045-8827</t>
  </si>
  <si>
    <t>10.1002/mbo3.26</t>
  </si>
  <si>
    <t>WOS:000209077700002</t>
  </si>
  <si>
    <t>Gutierrez, C; Silva, JF; Pavez, J; Bedioui, F; Zagal, JH</t>
  </si>
  <si>
    <t>Gutierrez, Cristian; Silva, J. Francisco; Pavez, Jorge; Bedioui, Fethi; Zagal, Jose H.</t>
  </si>
  <si>
    <t>Inverted Linear Correlation Between the Catalytic Activity of Iron Phthalocyanines and the Formal Potential of the Catalyst in the Electrooxidation of L-Cysteine</t>
  </si>
  <si>
    <t>ELECTROCATALYSIS</t>
  </si>
  <si>
    <t>The formal potential of macrocyclic complexes is a reactivity index that can serve to predict their electrocatalytic activity. We have investigated the effect of the Fe(II)/(I) formal potential EA degrees' of several iron phthalocyanines preadsorbed on graphite electrodes on their catalytic activity for the electrooxidation of l-cysteine. A linear and inverted correlation is observed between the catalytic activity (as log I at constant E) versus the Fe(II)/(I) formal potential of the catalyst, i.e., the activity decreases as the driving force of the catalyst increases. The slope of the correlation is close to -2RT/F and seems to be the falling region of an incomplete volcano plot so the decrease of the activity with increasing EA degrees aEuro(2) can be attributed to a gradual increase in the coverage of l-cysteine molecules adsorbed on the Fe sites with a subsequent decrease in free Fe(II) active sites.</t>
  </si>
  <si>
    <t>zagal, jose/L-9648-2014; Bedioui, Fethi/N-3507-2014; PAVEZ, JORGE/K-6904-2014; Gutierrez Ceron, Cristian/O-7236-2018</t>
  </si>
  <si>
    <t>Bedioui, Fethi/0000-0002-0063-4412; PAVEZ, JORGE/0000-0002-5100-6707; Gutierrez Ceron, Cristian/0000-0001-6078-1572</t>
  </si>
  <si>
    <t>1868-2529</t>
  </si>
  <si>
    <t>10.1007/s12678-012-0097-y</t>
  </si>
  <si>
    <t>WOS:000305231200009</t>
  </si>
  <si>
    <t>Burton, JC; Amundson, JM; Abbot, DS; Boghosian, A; Cathles, LM; Correa-Legisos, S; Darnell, KN; Guttenberg, N; Holland, DM; MacAyeal, DR</t>
  </si>
  <si>
    <t>Burton, J. C.; Amundson, J. M.; Abbot, D. S.; Boghosian, A.; Cathles, L. M.; Correa-Legisos, S.; Darnell, K. N.; Guttenberg, N.; Holland, D. M.; MacAyeal, D. R.</t>
  </si>
  <si>
    <t>Laboratory investigations of iceberg capsize dynamics, energy dissipation and tsunamigenesis</t>
  </si>
  <si>
    <t>JOURNAL OF GEOPHYSICAL RESEARCH-EARTH SURFACE</t>
  </si>
  <si>
    <t>We present laboratory experiments designed to quantify the stability and energy budget of buoyancy-driven iceberg capsize. Box-shaped icebergs were constructed out of low-density plastic, hydrostatically placed in an acrylic water tank containing freshwater of uniform density, and allowed (or forced, if necessary) to capsize. The maximum kinetic energy (translational plus rotational) of the icebergs was similar to 15% of the total energy released during capsize, and radiated surface wave energy was similar to 1% of the total energy released. The remaining energy was directly transferred into the water via hydrodynamic coupling, viscous drag, and turbulence. The dependence of iceberg capsize instability on iceberg aspect ratio implied by the tank experiments was found to closely agree with analytical predictions based on a simple, hydrostatic treatment of iceberg capsize. This analytical treatment, along with the high Reynolds numbers for the experiments (and considerably higher values for capsizing icebergs in nature), indicates that turbulence is an important mechanism of energy dissipation during iceberg capsize and can contribute a potentially important source of mixing in the stratified ocean proximal to marine ice margins.</t>
  </si>
  <si>
    <t>Guttenberg, Nicholas/F-9782-2010; Abbot, Dorian/J-6352-2012; Burton, Justin/M-9735-2016</t>
  </si>
  <si>
    <t>Burton, Justin/0000-0002-4797-8968</t>
  </si>
  <si>
    <t>2169-9003</t>
  </si>
  <si>
    <t>2169-9011</t>
  </si>
  <si>
    <t>JAN 20</t>
  </si>
  <si>
    <t>F01007</t>
  </si>
  <si>
    <t>10.1029/2011JF002055</t>
  </si>
  <si>
    <t>WOS:000299389000001</t>
  </si>
  <si>
    <t>Celedón, G; González, G; Lissi, E; Cerda, T; Bascuñant, D; Lepeley, M; Pazos, F; Lanio, ME; Alvarez, C</t>
  </si>
  <si>
    <t>Celedon, Gloria; Gonzalez, Gustavo; Lissi, Eduardo; Cerda, Tania; Bascunant, Denisse; Lepeley, Marcia; Pazos, Fabiola; Lanio, Maria E.; Alvarez, Carlos</t>
  </si>
  <si>
    <t>Effect of pre-exposure of human erythrocytes to oxidants on the haemolytic activity of Sticholysin II. A comparison between peroxynitrite and hypochlorous acid</t>
  </si>
  <si>
    <t>Stichodactyla heliantus II (St II) is a haemolytic toxin whose activity depends of the characteristics of red blood cells (RBC). Among the factors that may tune the response of the RBC to the toxin activity stand the oxidative status of the cell. This study investigates how pre-oxidation of RBC modifies St II activity employing two oxidants, peroxynitrite and hypochlorous acid. Results show that peroxynitrite-treated RBC are more resistant to St II activity. On the other hand, hypochlorous acid-treated RBC become more susceptible to St II. This contrasting behaviour of both oxidants is related to the modifications elicited in RBC by both oxidant agents. Peroxynitrite does not modify RBC osmotic fragility but reduces anion transport through band 3 protein. This effect, together with an increase in K+ efflux, can explain the increased resistance to the toxin activity. On the other hand, results obtained with hypochlorous acid can be explained in terms of a disruption of the membrane organization without the compensating effect of a reduction in band 3-mediated anion transport. The present results, obtained employing the effect of a model haemolytic toxin on RBC, emphasize the specificity of the RBC response to different endogenous oxidative agents.</t>
  </si>
  <si>
    <t>Fabiola, Isabel/0000-0002-9502-2186</t>
  </si>
  <si>
    <t>1029-2470</t>
  </si>
  <si>
    <t>10.3109/10715762.2010.536838</t>
  </si>
  <si>
    <t>WOS:000288217400003</t>
  </si>
  <si>
    <t>Aravena, S; Pizarro, C; Rubio, MA; Cavalcante, LCD; Garg, VK; Pereira, MC; Fabris, JD</t>
  </si>
  <si>
    <t>Aravena, S.; Pizarro, C.; Rubio, M. A.; Cavalcante, L. C. D.; Garg, V. K.; Pereira, M. C.; Fabris, J. D.</t>
  </si>
  <si>
    <t>Magnetic minerals from volcanic Ultisols as heterogeneous Fenton catalysts</t>
  </si>
  <si>
    <t>HYPERFINE INTERACTIONS</t>
  </si>
  <si>
    <t>11th Latin American Conference on the Applications of the Mossbauer Effect (LACAME)</t>
  </si>
  <si>
    <t>NOV 09-14, 2008</t>
  </si>
  <si>
    <t>La Plata, ARGENTINA</t>
  </si>
  <si>
    <t>This study was devoted to the evaluation of the effectiveness of Fenton catalysts, based on magnetically-concentrated portions of iron oxide-rich sand fractions from two magnetic Ultisols, derived from volcanic materials of southern Chile. The samples were labeled according to the municipality where the sample sites are geographically located, namely Metrenco and Collipulli, and were characterized with Mossbauer spectroscopy at 298 K and saturation magnetization (sigma) measurements. Mssbauer data revealed a complex magnetic hyperfine structure for these magnetic portions from both soil-sand materials, suggesting relatively complex mineral assemblages. The monitored rate of H2O2 decomposition via heterogeneous Fenton reaction revealed that materials from the Collipulli soil are more efficient Fenton catalyst than are those from the Metrenco soil. The reasons for these differences are from now on being explored on basis of a more detailed chemical investigation of these samples.</t>
  </si>
  <si>
    <t>Bajo, Maria/ABF-6991-2020; Fabris, José/H-4121-2012; Duarte Cavalcante, Luis Carlos/C-1928-2013; Pereira, Marcio/H-7672-2012</t>
  </si>
  <si>
    <t>Pizarro, Carmen/0000-0003-4927-5681; Duarte Cavalcante, Luis Carlos/0000-0003-0477-9771; Garg, Vijayendra/0000-0003-1213-3583; Pereira, Marcio/0000-0001-9143-782X</t>
  </si>
  <si>
    <t>0304-3843</t>
  </si>
  <si>
    <t>10.1007/s10751-009-0098-2</t>
  </si>
  <si>
    <t>WOS:000313355600006</t>
  </si>
  <si>
    <t>Arroyuelo, D; González, S; Oyarzún, M</t>
  </si>
  <si>
    <t>Chavez, E; Lonardi, S</t>
  </si>
  <si>
    <t>Arroyuelo, Diego; Gonzalez, Senen; Oyarzun, Mauricio</t>
  </si>
  <si>
    <t>Compressed Self-indices Supporting Conjunctive Queries on Document Collections</t>
  </si>
  <si>
    <t>STRING PROCESSING AND INFORMATION RETRIEVAL</t>
  </si>
  <si>
    <t>17th International Symposium on String Processing and Information Retrieval</t>
  </si>
  <si>
    <t>OCT 11-13, 2010</t>
  </si>
  <si>
    <t>Los Cabos, MEXICO</t>
  </si>
  <si>
    <t>Yahoo,Univ Michoacana,CONACYT</t>
  </si>
  <si>
    <t>We prove that a document collection, represented as a unique sequence T of n terms over a vocabulary Sigma, can be represented in nH(0)(T) + o(n)(H-0(T) + 1) bits of space, such that a conjunctive query t(1) Lambda ... Lambda t(k) can be answered in O(k delta log log vertical bar Sigma vertical bar) adaptive time, where 45 is the instance difficulty of the query, as defined by Barbay and Kenyon in their SODA'02 paper, and H-0(T) is the empirical entropy of order 0 of T. As a comparison, using an inverted index plus the adaptive intersection algorithm by Barbay and Kenyon takes O(k delta log nM/delta), where nm is the length of the shortest and longest occurrence lists, respectively, among those of the query terms. Thus, we can replace an inverted index by a more space-efficient in-memory encoding, outperforming the query performance of inverted indices when the ratio nM/delta is w(log vertical bar Sigma vertical bar).</t>
  </si>
  <si>
    <t>Arroyuelo, Diego/JJF-1083-2023; Oyarzún, Mauricio/AAE-6310-2019</t>
  </si>
  <si>
    <t>978-3-642-16320-3</t>
  </si>
  <si>
    <t>WOS:000288886400005</t>
  </si>
  <si>
    <t>Molimard, Jerome; Cordero, Raul; Vautrin, Alain</t>
  </si>
  <si>
    <t>Signal-to-noise based local decorrelation compensation for speckle interferometry applications</t>
  </si>
  <si>
    <t>APPLIED OPTICS</t>
  </si>
  <si>
    <t>Speckle-based interferometric techniques allow assessing the whole-field deformation induced on a specimen due to the application of load. These high sensitivity optical techniques yield fringe images generated by subtracting speckle patterns captured while the specimen undergoes deformation. The quality of the fringes, and in turn the accuracy of the deformation measurements, strongly depends on the speckle correlation. Specimen rigid body motion leads to speckle decorrelation that, in general, cannot be effectively counteracted by applying a global translation to the involved speckle patterns. In this paper, we propose a recorrelation procedure based on the application of locally evaluated translations. The proposed procedure implies dividing the field into several regions, applying a local translation, and calculating, in every region, the signal-to-noise ratio (SNR). Since the latter is a correlation indicator (the noise increases with the decorrelation) we argue that the proper translation is that which maximizes the locally evaluated SNR. The search of the proper local translations is, of course, an interactive process that can be facilitated by using a SNR optimization algorithm. The performance of the proposed recorrelation procedure was tested on two examples. First, the SNR optimization algorithm was applied to fringe images obtained by subtracting simulated speckle patterns. Next, it was applied to fringe images obtained by using a shearography optical setup from a specimen subjected to mechanical deformation. Our results show that the proposed SNR optimization method can significantly improve the reliability of measurement's performed by using speckle-based techniques. (c) 2008 Optical Society of America.</t>
  </si>
  <si>
    <t>Molimard, Jerome/0000-0002-3402-4970; Cordero, Raul R./0000-0001-7607-7993</t>
  </si>
  <si>
    <t>1559-128X</t>
  </si>
  <si>
    <t>2155-3165</t>
  </si>
  <si>
    <t>10.1364/AO.47.003535</t>
  </si>
  <si>
    <t>WOS:000257942600038</t>
  </si>
  <si>
    <t>Ermakova, NO; Antonova, EE; Stepanova, MV</t>
  </si>
  <si>
    <t>Ermakova, N. O.; Antonova, E. E.; Stepanova, M. V.</t>
  </si>
  <si>
    <t>Medium-scale splitting of outflowing field-aligned currents and kappa distribution of magnetospheric ions</t>
  </si>
  <si>
    <t>GEOMAGNETISM AND AERONOMY</t>
  </si>
  <si>
    <t>The medium-scale (50-200 km in the projection onto ionospheric altitudes) splitting of the field-aligned currents flowing out of the ionosphere has been considered in the case when the approximation of the distribution function of hot magnetospheric ions by the kappa distribution is taken into account. It was assumed that the condition of magnetostatic equilibrium and isotropy of hot magnetospheric plasma pressure is satisfied in the magnetosphere. The theoretical parameter of magnetospheric plasma hot stratification has been obtained for the case of ion kappa distribution. The parameter characterizes the number of structures into which the band of the field-aligned current flowing out of the ionosphere is split. The theoretical predictions have been compared with the observations on the Intercosmos-Bulgaria-1300 and Aureol-3 satellites. It has been indicated that the number of measured structures is in better agreement with that of the theoretically predicted structures in 70% of cases if the non-Maxwellian tails of ion distribution functions are taken into account.</t>
  </si>
  <si>
    <t>0016-7932</t>
  </si>
  <si>
    <t>10.1134/S0016793206030054</t>
  </si>
  <si>
    <t>WOS:000244578000005</t>
  </si>
  <si>
    <t>do O, J; Lorca, S; Sánchez, J; Ubilla, P</t>
  </si>
  <si>
    <t>Non-homogeneous elliptic equations in exterior domains</t>
  </si>
  <si>
    <t>We study the existence and multiplicity of positive solutions of the non-homogeneous elliptic equation -Delta u = q(vertical bar x vertical bar)f(u) for vertical bar x vertical bar &gt; 1 and x is an element of R-N, u(x) = a for vertical bar x vertical bar = 1, u(x) -&gt; b as vertical bar x vertical bar -&gt; +infinity, where N &gt; 3, the nonlinearity f is superlinear at both zero and infinity, q is a non-trivial, non-negative, function, and a and b are non-negative parameters. A typical model is given by f(u) = u(P), with p &gt; 1.</t>
  </si>
  <si>
    <t>Sánchez, Justino/AAB-8477-2022</t>
  </si>
  <si>
    <t>Sanchez, Justino/0000-0002-9607-5204; do O, Joao Marcos/0000-0001-7039-4365</t>
  </si>
  <si>
    <t>10.1017/S0308210500004479</t>
  </si>
  <si>
    <t>WOS:000236670200008</t>
  </si>
  <si>
    <t>Brasseur, G; Levican, G; Bonnefoy, V; Holmes, D; Jedlicki, E; Lemesle-Meunier, D</t>
  </si>
  <si>
    <t>Apparent redundancy of electron transfer pathways via bc1 complexes and terminal oxidases in the extremophilic chemolithoautotrophic Acidithiobacillus ferrooxidans</t>
  </si>
  <si>
    <t>BIOCHIMICA ET BIOPHYSICA ACTA-BIOENERGETICS</t>
  </si>
  <si>
    <t>Acidithiobacillus ferrooxidans is an acidophilic chemolithoautotrophic bacterium that can grow in the presence of either the weak reductant Fe2+, or reducing sulfur compounds that provide more energy for growth than Fe2+. We have previously shown that the uphill electron transfer pathway between Fe2+ and NAD(+) involved a bc(1) complex that functions only in the reverse direction [J. Bacteriol. 182, (2000) 3602]. In the present work, we demonstrate both the existence of a bc(1) complex functioning in the forward direction, expressed when the cells are grown on sulfur, and the presence of two terminal oxidases, a bd and a ba(3) type oxidase expressed more in sulfur than in iron-grown cells, besides the cytochrome aa(3) that was found to be expressed only in iron-grown cells. Sulfur-grown cells exhibit a branching point for electron flow at the level of the quinol pool leading on the one hand to a bd type oxidase, and on the other hand to a bc(1) --&gt; ba(3) pathway. We have also demonstrated the presence in the genome of transcriptionally active genes potentially encoding the subunits of a bo(3) type oxidase. A scheme for the electron transfer chains has been established that shows the existence of multiple respiratory routes to a single electron acceptor O-2. Possible reasons for these apparently redundant pathways are discussed. (C) 2004 Elsevier B.V. All rights reserved.</t>
  </si>
  <si>
    <t>0005-2728</t>
  </si>
  <si>
    <t>1879-2650</t>
  </si>
  <si>
    <t>2-3</t>
  </si>
  <si>
    <t>10.1016/j.bbabio.2004.02.008</t>
  </si>
  <si>
    <t>WOS:000222220500005</t>
  </si>
  <si>
    <t>Time in physics and biology</t>
  </si>
  <si>
    <t>In contrast with classical physics, particularly with Sir Isaac Newton, where time is a continuous function, generally valid, eternally and evenly flowing as an absolute time dimension, in the biological sciences, time is in essence of cyclical nature (physiological periodicities), where future passes to past through an infinitely thin boundary, the present. In addition, the duration of the present (DP) leads to the so-called 'granulation of time' in living beings, so that by the fusion of two successive pictures of the world, which are not entirely similar, they attain the perception of 'movement,' both in the real world as well as in the sham-movement in the mass media (TV).</t>
  </si>
  <si>
    <t>A</t>
  </si>
  <si>
    <t>WOS:000225458100004</t>
  </si>
  <si>
    <t>Barreto, M; Quatrini, R; Bueno, S; Arriagada, C; Valdes, J; Silver, S; Jedlicki, E; Holmes, DS</t>
  </si>
  <si>
    <t>Aspects of the predicted physiology of Acidithiobacillus ferrooxidans deduced from an analysis of its partial genome sequence</t>
  </si>
  <si>
    <t>HYDROMETALLURGY</t>
  </si>
  <si>
    <t>International Biohydeometallurgy Symposium</t>
  </si>
  <si>
    <t>SEP 16-19, 2001</t>
  </si>
  <si>
    <t>OURO PRETO, BRAZIL</t>
  </si>
  <si>
    <t>Candidate genes have been identified in the almost complete genome sequence of Acidithiobacillus ferrooxidans that are potentially involved in several physiological processes of relevance to the application of this microorganism to biohydrometallurgical processes. Candidates for six of the 10 missing genes in the previously described amino acid biosynthesis pathways have been located. Genes potentially involved in hydrogen utilization, conjugation, type IV pilus formation, heavy metal resistance and cation fluxes are described. (C) 2003 Elsevier B.V. All rights reserved.</t>
  </si>
  <si>
    <t>Valdes, Jorge/AAL-2779-2021; Bueno, Susan/KSL-5357-2024; Quatrini, Raquel/GSD-7689-2022; Barreto, Marlen/E-9366-2016; Quatrini, Raquel/N-1801-2013</t>
  </si>
  <si>
    <t>Silver, Simon/0000-0002-5692-3125; Quatrini, Raquel/0000-0003-2600-2605; Bueno, Susan M./0000-0002-7551-8088; Holmes, David/0000-0001-9555-138X</t>
  </si>
  <si>
    <t>0304-386X</t>
  </si>
  <si>
    <t>1879-1158</t>
  </si>
  <si>
    <t>10.1016/S0304-386X(03)00145-2</t>
  </si>
  <si>
    <t>WOS:000186357900013</t>
  </si>
  <si>
    <t>Gautier, JL; Marco, JF; Gracia, M; Gancedo, JR; Guadarrama, VD; Nguyen-Cong, H; Chartier, P</t>
  </si>
  <si>
    <t>Ni0.3Co2.7O4 spinel particles/polypyrrole composite electrode:: Study by X-ray photoelectron spectroscopy</t>
  </si>
  <si>
    <t>In this work we have studied the multilayered polypyrrole/oxide composite electrode on glassy carbon having the structure GC/PPy/PPy(Ni0.3CO2O4)/PPy, in which the spinel oxide Ni0.3CO2.7O4 is known to be an electrocatalyst of the oxygen reduction reaction in alkaline medium. The successive GC/PPy, GC/PPy/PPy(Ni0.3Co2.7O4) and GC/PPy/PPy(Ni0.3CO2.7O4)/PPY parts of the electrode were examined by X-ray photoelectron spectroscopy. The results indicate that the electronic structure of the PPy is independent of the thickness of the PPy used to prepare the electrodes. The XPS data also show that cobalt is present in both divalent and trivalent states. The PPy doping degree by Cl- ions (in terms of the Cl-/N) and the oxide/PPy mass ratio observed by XPS were 19 and 4.5%, respectively. (C) 2002 Elsevier Science Ltd. All rights reserved.</t>
  </si>
  <si>
    <t>Marco, JF/N-3176-2014</t>
  </si>
  <si>
    <t>Marco, JF/0000-0002-5147-1449</t>
  </si>
  <si>
    <t>NOV 21</t>
  </si>
  <si>
    <t>PII S0013-4686(02)00514-5</t>
  </si>
  <si>
    <t>10.1016/S0013-4686(02)00514-5</t>
  </si>
  <si>
    <t>WOS:000179126300003</t>
  </si>
  <si>
    <t>Argandoña, VH; Chaman, M; Cardemil, L; Muñoz, O; Zúniga, GE; Corcuera, LJ</t>
  </si>
  <si>
    <t>Ethylene production and peroxidase activity in aphid-infested barley</t>
  </si>
  <si>
    <t>JOURNAL OF CHEMICAL ECOLOGY</t>
  </si>
  <si>
    <t>The purpose of this work was to investigate whether ethylene is involved in the oxidative and defensive responses of barley to the aphids Schizaphis graminum (biotype C) and Rhopalophum padi. The effect of aphid infestation on ethylene production was measured in two barley cultivars (Frontera and Aramir) that differ in their susceptibility to aphids. Ethylene evolution was higher in plants infested for 16 hr than in plants infested for 4 hr in both cultivars. Under aphid infestation, the production of ethylene was higher in cv. Frontera than in Aramir, the more aphid susceptible cultivar. Ethylene production also increases with the degree of infestation. Maximum ethylene evolution was detected after 16 hr when plants were infested with 10 or more aphids. Comparing the two species of aphids. Schizaphis graminum induced more ethylene evolution than Rhopalosiphum padi. Infestation with S. graminum increased hydrogen peroxide content and total soluble peroxidase activity in cv. Frontera, with a maximum level of H2O2 observed after 20 min of infestation and the maximum in soluble peroxidase activity after 30 min of infestation. When noninfested barley seedlings from cv. Frontera were exposed to ethylene, an increase in hydrogen peroxide and in total peroxidase activity was detected at levels similar to those of infested plants.</t>
  </si>
  <si>
    <t>Chaman Medina, Mercedes Elizabeth/0000-0001-8621-375X; Cardemil, Liliana/0000-0003-3496-1101; Zuniga, Gustavo/0000-0002-8286-9468</t>
  </si>
  <si>
    <t>0098-0331</t>
  </si>
  <si>
    <t>1573-1561</t>
  </si>
  <si>
    <t>10.1023/A:1005615932694</t>
  </si>
  <si>
    <t>WOS:000167772000005</t>
  </si>
  <si>
    <t>Banados, M; Gomberoff, A; Martinez, C</t>
  </si>
  <si>
    <t>Anti-de Sitter space and black holes</t>
  </si>
  <si>
    <t>Anti-de Sitter space with identified points give rise to black-hole structures. This was first pointed out in three dimensions and generalized to higher dimensions by Aminneborg et al. In this paper, we analyse several aspects of the five-dimensional anti-dr? Sitter black hole, including its relation to thermal anti-de Sitter space, its embedding in a Chern-Simons supergravity theory, its global charges and holonomies and the existence of Killing spinors.</t>
  </si>
  <si>
    <t>; Martinez, Cristian/G-9899-2012</t>
  </si>
  <si>
    <t>Banados, Max/0000-0003-3238-7863; Martinez, Cristian/0000-0002-7874-0602; Gomberoff, Andres/0000-0002-4899-4927</t>
  </si>
  <si>
    <t>10.1088/0264-9381/15/11/018</t>
  </si>
  <si>
    <t>WOS:000077126000018</t>
  </si>
  <si>
    <t>Chnaiderman, J; Diaz, J; Magnusson, G; Liprandi, F; Spencer, E</t>
  </si>
  <si>
    <t>Characterization of a rotavirus rearranged gene 11 by gene reassortment</t>
  </si>
  <si>
    <t>ARCHIVES OF VIROLOGY</t>
  </si>
  <si>
    <t>The effect of replacement of gene Ii of rotavirus SA-II by a gene carrying a head to tail duplication obtained from a swine rotavirus strain was studied. The swine rotavirus strain with a duplicated gene (CC86) exhibits both a phenotype that allows to overgrow other viral strains when coinfected and an increased plaque size when plated in both CV-1 and MA-104 monkey kidney cells. Using reassortment methods the duplicated gene of the swine rotavirus was introduced into the SA-11 virus, replacing the regular gene II. The reasserted strain was characterized to find out the origin of each of the other viral gene segments. Based on electrophoretic mobilities segments 1, 2, 3, 5, 7, 8 and 10 were identified as of SA-11. The SA-11 origin of the segments 4, 6 and 9 was confirmed by neutralization with polyclonal and monoclonal antibodies and by ELISA. The results suggest that the new reassortant virus was a monoreassortant carrying SA-11 genes except the duplicated gene originated from the swine virus CC86. The ability to in vivo replicate and to synthesize viral proteins was identical in the reasserted virus and the parental strains. Sequence analysis indicates that the new phenotype does not originate in the duplication of gene Il but possibly from mutations in the coding region of NSP5 gene that may result in different phosphorylation patterns of the protein.</t>
  </si>
  <si>
    <t>Spencer, Eugenio/0000-0001-6109-140X</t>
  </si>
  <si>
    <t>0304-8608</t>
  </si>
  <si>
    <t>10.1007/s007050050411</t>
  </si>
  <si>
    <t>WOS:000076060600005</t>
  </si>
  <si>
    <t>Barbieri, S; Bissacot, R; Vedove, GD; Thieullen, P</t>
  </si>
  <si>
    <t>Barbieri, Sebastian; Bissacot, Rodrigo; Vedove, Gregorio Dalle; Thieullen, Philippe</t>
  </si>
  <si>
    <t>Zero-temperature chaos in bidimensional models with finite-range potentials</t>
  </si>
  <si>
    <t>ADVANCES IN MATHEMATICS</t>
  </si>
  <si>
    <t>We construct a finite-range potential on a bidimensional full shift on a finite alphabet that exhibits a zero-temperature chaotic behavior as introduced by van Enter and Ruszel. This is the phenomenon where there exists a sequence of temperatures that converges to zero for which the whole set of equilibrium measures at these given temperatures oscillates between two sets of ground states. Br &amp; eacute;mont's work shows that the phenomenon of non-convergence does not exist for finite-range potentials in dimension one for finite alphabets; Leplaideur obtained a different proof for the same fact. Chazottes and Hochman provided the first example of non- convergence in higher dimensions d &gt;= 3; we extend their result for d = 2 and highlight the importance of two estimates of recursive nature that are crucial for this proof: the relative complexity and the reconstruction function of an extension. We note that a different proof of this result was found by Chazottes and Shinoda, at around the same time that this article was initially submitted and that a strong generalization has been found by Gayral, Sablik and Taati. (c) 2024 Elsevier Inc. All rights are reserved, including those for text and data mining, AI training, and similar technologies.</t>
  </si>
  <si>
    <t>Barbieri, Sebastián/HTS-1654-2023; Bissacot, Rodrigo/C-9102-2012</t>
  </si>
  <si>
    <t>Bissacot, Rodrigo/0000-0003-0465-8996</t>
  </si>
  <si>
    <t>0001-8708</t>
  </si>
  <si>
    <t>1090-2082</t>
  </si>
  <si>
    <t>10.1016/j.aim.2024.109906</t>
  </si>
  <si>
    <t>WOS:001316661600001</t>
  </si>
  <si>
    <t>Stepanova, M; Pinto, V; Antonova, E</t>
  </si>
  <si>
    <t>Stepanova, Marina; Pinto, Victor; Antonova, Elizaveta</t>
  </si>
  <si>
    <t>Regarding the relativistic electron dynamics in the outer radiation belt: a historical view</t>
  </si>
  <si>
    <t>REVIEWS OF MODERN PLASMA PHYSICS</t>
  </si>
  <si>
    <t>The start of the space era marked the discovery of the Earth's radiation belts. Sixty-five years after that discovery, there are still many unknowns in its dynamics, but there is also a lot of understanding about many processes. This review summarizes a broad overview of a particular topic: the effect of geomagnetic storms on the radiation belts from a historical perspective. In writing this review, we aim to preserve, rescue, and put together the initial attempts at understanding the radiation belts since most of the literature is somewhat hidden or forgotten. This is particularly relevant for students and young researchers, who did not live the initial stages of the space age. To help in this endeavor, we included the description of the main satellite missions and their instruments starting from the first satellites like Sputnik and Explorer and finishing with contemporary missions like Van Allen Probes and Arase, and different techniques. In this review, we also tried to include the majority of points of view about the dynamics of radiation belts, giving everybody a chance to analyze them and make their conclusions. We selected a limited number of papers from one side that are representative with respect to a specific topic and from the other side help to see the evolution of our knowledge about radiation belts. We made a special tribute to pioneering works of the 50s and 60s and also included some interesting results, which are almost impossible to read in English. So this review is a good starting point for navigating the ocean of modern space physics related to the outer radiation belt.</t>
  </si>
  <si>
    <t>Stepanova, Marina/D-6329-2011; Pinto, Victor/C-9585-2011; Antonova, Elizaveta/A-2716-2012</t>
  </si>
  <si>
    <t>Pinto, Victor/0000-0003-1210-167X; Antonova, Elizaveta/0000-0001-6980-3993</t>
  </si>
  <si>
    <t>2367-3192</t>
  </si>
  <si>
    <t>AUG 7</t>
  </si>
  <si>
    <t>10.1007/s41614-024-00165-4</t>
  </si>
  <si>
    <t>WOS:001285829600001</t>
  </si>
  <si>
    <t>Zoccali, M; Rojas-Arriagada, A; Valenti, E; Ramos, RC; Valenzuela-Navarro, A; Salvo-Guajardo, C</t>
  </si>
  <si>
    <t>Zoccali, M.; Rojas-Arriagada, A.; Valenti, E.; Ramos, R. Contreras; Valenzuela-Navarro, A.; Salvo-Guajardo, C.</t>
  </si>
  <si>
    <t>Observed kinematics of the Milky Way nuclear stellar disk region</t>
  </si>
  <si>
    <t>Context. The nuclear region of the Milky Way, within approximately -1 degrees &lt; l &lt; +1 degrees and -0.3 degrees &lt; b &lt; +0.3 degrees (i.e., |l|&lt; 150 pc, |b|&lt; 45 pc), is believed to host a nuclear stellar disk, co-spatial with the gaseous central molecular zone. Previous kinematical studies detected faster rotation for the stars belonging to the nuclear stellar disk, compared to the surrounding regions. Aims. We analyze the rotation velocity of stars at the nuclear stellar disk, and compare them with its analog in a few control fields just outside this region. We limit our analysis to stars in the red clump of the color magnitude diagram, in order to be able to relate their mean de-reddened luminosity with distance along the line of sight. Methods. We used a proper motion catalog, obtained from point spread function photometry on VISTA variables in the V &amp; iacute;a L &amp; aacute;ctea images, to construct maps of the transverse velocity for these stars. We complemented our analysis with radial velocities from the 17th data release of the APOGEE survey. Results. We find that the main difference between the nuclear stellar disk region and its surroundings is that at the former we see only stars moving eastward, which we believe are located in front of the Galactic center. On the contrary, in every other direction, we see the brightest red clump stars moving eastward, and the faintest ones moving westward, as expected for a rotating disk. We interpret these observations as being produced by the central molecular zone, hiding stars behind itself. What we observe is compatible with being produced by just the absence of the component at the back, without requiring the presence of a cold, fast rotating disk. This component is also not clearly detected in the newest release of the APOGEE catalog. In other words, we find no clear signature of the nuclear stellar disk as a distinct kinematical component. Conclusions. This work highlights the need for nearby control fields when attempting to characterize the properties of the nuclear stellar disk, as the different systematics affecting this region, compared to nearby ones, might introduce spurious results. Deep, wide field and high resolution photometry of the inner 4 deg of the Milky Way is needed in order to understand the structure and kinematics of this very unique region of our Galaxy.</t>
  </si>
  <si>
    <t>Ramos, Roberto/JFS-2543-2023</t>
  </si>
  <si>
    <t>Rojas-Arriagada, Alvaro/0000-0003-0208-8854; Valenti, Elena/0000-0002-6092-7145; Zoccali, Manuela/0000-0002-5829-2267; Valenzuela Navarro, Alvaro/0000-0002-9523-1228; Salvo Guajardo, Claudio/0009-0007-6076-0115</t>
  </si>
  <si>
    <t>A214</t>
  </si>
  <si>
    <t>10.1051/0004-6361/202347923</t>
  </si>
  <si>
    <t>WOS:001208011600001</t>
  </si>
  <si>
    <t>Assal, M; Fujiie, S; Higuchi, K</t>
  </si>
  <si>
    <t>Semiclassical Resonance Asymptotics for Systems With Degenerate Crossings of Classical Trajectories</t>
  </si>
  <si>
    <t>INTERNATIONAL MATHEMATICS RESEARCH NOTICES</t>
  </si>
  <si>
    <t>This paper is concerned with the asymptotics of resonances in the semiclassical limit $h\to 0&lt;^&gt;{+}$ for two-by-two matrix Schrodinger operators in one dimension. We study the case where the two underlying classical Hamiltonian trajectories cross tangentially in the phase space. In the setting that one of the classical trajectories is a simple closed curve whereas the other one is non-trapping, we show that the imaginary part of the resonances is of order $h&lt;^&gt;{(m_{0}+3)/(m_{0}+1)}$, where $m_{0}$ is the maximal contact order of the crossings. This principal order comes from the subprincipal term of the transfer matrix at crossing points, which describes the propagation of microlocal solutions from one trajectory to the other. In addition, we compute explicitly the leading coefficient of the resonance widths.</t>
  </si>
  <si>
    <t>Higuchi, Kenta/0000-0002-2646-4044; Assal, Marouane/0000-0001-9634-9124</t>
  </si>
  <si>
    <t>1073-7928</t>
  </si>
  <si>
    <t>1687-0247</t>
  </si>
  <si>
    <t>APR 22</t>
  </si>
  <si>
    <t>10.1093/imrn/rnad290</t>
  </si>
  <si>
    <t>DEC 2023</t>
  </si>
  <si>
    <t>WOS:001121214800001</t>
  </si>
  <si>
    <t>Pinheiro, AC; Quintiliano-Scarpelli, D; Araneda-Flores, J; Oliveira, RAD; Pizarro, T; Suarez-Reyes, M; de Oliveira, MRM</t>
  </si>
  <si>
    <t>Pinheiro, Anna Christina; Quintiliano-Scarpelli, Daiana; Araneda-Flores, Jacqueline; Oliveira, Rogerio Antonio de; Pizarro, Tito; Suarez-Reyes, Monica; Marques de Oliveira, Maria Rita</t>
  </si>
  <si>
    <t>Food insecurity and its determinants in a vulnerable area of Santiago, Chile</t>
  </si>
  <si>
    <t>FRONTIERS IN SUSTAINABLE FOOD SYSTEMS</t>
  </si>
  <si>
    <t>This study aims to identify the determinants associated to food insecurity in a group of households composed of schoolchildren and their mothers/caregivers, who lived in a low-to-medium community development index area of the city of Santiago, Chile with a high presence of migrant population. The non-probabilistic and convenience sample was made up of 646 people, who answered a series of surveys with the aim of characterizing this group in sociodemographic terms (sex, age, number of inhabitants in the household, place of food purchase, conditional or non-conditional state transfer program beneficiary status, persons in charge of purchasing food for the household, mothers/caregivers education level and basic knowledge of food and nutrition). To assess moderate-to-severe food insecurity and severe food insecurity, the Food Insecurity Experience Scale-FIES was applied between September and October 2021. Logistic regression analysis were used to carry out multivariate analyses, with the use of stepwise back-and-forward strategies for the selected variables and defining p &lt; 0.05. These models were adjusted per number of inhabitants in the household. The results indicate that 25.4% of households presented moderate-to-severe food insecurity, and 6.4% severe food insecurity experience. The variables that presented significant odds of risk to food insecurity were being a migrant, low maternal education level, low performance on basic knowledge in nutrition and when the father was responsible for food purchases. Several public policies have been implemented in Chile during the most recent decades aimed at increasing access to healthier foods and the implementation of healthier food environments. Despite this, there are still social and economic health determinants that contribute to the risk of odds insecurity for the most vulnerable groups in the country, thus putting at risk the fulfillment of the human right to adequate food at risk.</t>
  </si>
  <si>
    <t>Pizarro, Tito/AAY-2260-2021; FERNANDES, ANNA/AAS-5661-2021; Dourado, Daiana/AAO-6746-2021; Suárez- Reyes, Mónica/GYE-3153-2022; de Oliveira, Maria/AAV-4670-2021</t>
  </si>
  <si>
    <t>QUINTILIANO SCARPELLI DOURADO, DAIANA/0000-0003-4317-4601; PINHEIRO FERNANDES, ANNA CHRISTINA/0000-0002-5188-2619</t>
  </si>
  <si>
    <t>2571-581X</t>
  </si>
  <si>
    <t>SEP 14</t>
  </si>
  <si>
    <t>10.3389/fsufs.2022.924921</t>
  </si>
  <si>
    <t>WOS:000861603400001</t>
  </si>
  <si>
    <t>Sepúlveda, FA; Sánchez, J; Oyarzun, DP; Rodríguez-González, FE; Tundidor-Camba, A; García-Herrera, C; Zapata, PA; Pizarro, GD; Martin-Trasanco, R</t>
  </si>
  <si>
    <t>Antonella Sepulveda, Francesca; Sanchez, Julio; Oyarzun, Diego P.; Rodriguez-Gonzalez, Fidel E.; Tundidor-Camba, Alain; Garcia-Herrera, Claudio; Zapata, Paula A.; Pizarro, Guadalupe del C.; Martin-Trasanco, Rudy</t>
  </si>
  <si>
    <t>Polycaprolactone and poly-β-cyclodextrin polymer blend: a Biopolymers composite film for drug release</t>
  </si>
  <si>
    <t>JOURNAL OF INCLUSION PHENOMENA AND MACROCYCLIC CHEMISTRY</t>
  </si>
  <si>
    <t>Nowadays, biomedical films containing drug carriers are preferred over conventional ones, since the protection of the injury and the therapy is joined within a single device. In the current work, we prepared polycaprolactone (PCL) composite films with beta-cyclodextrin (beta CD) or its epichlorohydrin crosslinked polymer (beta CDP) as ibuprofen (Ibu) drug carrier. The composite films were prepared at different PCL/additive ratios (2, 5, 10 and 20 wt%). ATR-FTIR spectroscopy and water contact angle (WCA) measurements indicated a scarce presence of the additives on the surface. Cross-section scanning electron micrographs showed the presence of aggregates corresponding to beta CD and beta CDP in the inner regions of the films. The incorporation of beta CD and beta CDP into the PCL films did not affect their thermal properties as was determined from differential scanning calorimetry (DSC). PCL-films with 10 wt% of the inclusion complexes Ibu@beta CD and Ibu@beta CDP were prepared and the release studies were performed. At pH = 7.2, PCL-Ibu@beta CDP composite film released 55% of Ibu within the first six hours; eight times the amount released by PCL-Ibu@beta CD within the same time interval. A plausible mechanism for ibuprofen release is discussed based on the cross-section SEM micrographs of composite films.</t>
  </si>
  <si>
    <t>PIZARRO, GUADALUPE/V-3353-2017; García-Herrera, Claudio/ABE-8991-2020; Oyarzun, Diego/MTF-4062-2025; Martin-Trasancos, Rudy/L-2791-2017; Sepúlveda, Francesca/AAW-8092-2021; Sanchez, Julio/AEO-4360-2022</t>
  </si>
  <si>
    <t>Sepulveda Espinoza, Francesca Antonella/0000-0001-5135-8123; Tundidor, Alain/0000-0001-8653-8722; Zapata, Paula Andrea/0000-0003-3361-6226</t>
  </si>
  <si>
    <t>1388-3127</t>
  </si>
  <si>
    <t>1573-1111</t>
  </si>
  <si>
    <t>10.1007/s10847-021-01101-6</t>
  </si>
  <si>
    <t>WOS:000692636200002</t>
  </si>
  <si>
    <t>Govan, J; Arancibia-Miranda, N; Escudey, M; Bonelli, B; Tasca, F</t>
  </si>
  <si>
    <t>Govan, Joseph; Arancibia-Miranda, Nicolas; Escudey, Mauricio; Bonelli, Barbara; Tasca, Federico</t>
  </si>
  <si>
    <t>Imogolite: a nanotubular aluminosilicate: synthesis, derivatives, analogues, and general and biological applications</t>
  </si>
  <si>
    <t>Imogolite is an aluminosilicate mineral originally found in volcanic ash derived soils. Through the use of chemical synthesis methods this mineral has been successfully synthesized and a number of modified similar nanomaterials have also been produced. Due to its nanotubular arrangement this mineral shows a similar structure to carbon nanotubes and as such has been investigated for possible applications in a range of fields like polymer composites, gas storage, adsorption and catalysis. This review will start with an introduction to the basic characteristics of imogolite, followed by the synthetic methods of production, techniques for the production of composite and hybrid materials, characterization, potential applications, and, finally, biological applications, focusing particularly on composites with biological molecules and interactions with living cells as well as toxicological activity.</t>
  </si>
  <si>
    <t>Govan, Joseph/AAR-4394-2021; Tasca, Federico/J-4134-2015; Bonelli, Barbara/D-4882-2011; Arancibia-Miranda, Nicolás/I-6743-2013</t>
  </si>
  <si>
    <t>Tasca, Federico/0000-0002-4111-4624; Govan, Joseph/0000-0001-7668-1883; Bonelli, Barbara/0000-0002-4716-864X</t>
  </si>
  <si>
    <t>SEP 21</t>
  </si>
  <si>
    <t>10.1039/d1qm00617g</t>
  </si>
  <si>
    <t>WOS:000685150600001</t>
  </si>
  <si>
    <t>Valencia, FJ; Amigo, N; Bringa, EM</t>
  </si>
  <si>
    <t>Valencia, Felipe J.; Amigo, Nicolas; Bringa, Eduardo M.</t>
  </si>
  <si>
    <t>Tension-compression behavior in gold nanoparticle arrays: a molecular dynamics study</t>
  </si>
  <si>
    <t>The mechanical properties of Au nanoparticle arrays are studied by tensile and compressive deformation, using large-scale molecular dynamics simulations which include up to 16 million atoms. Our results show that mechanical response is dominated by nanoparticle size. For compression, strength versus particle size shows similar trends in strength than full-density nanocrystals. For diameters (d) below 10 nm there is an inverse Hall-Petch (HP) regime. Beyond a maximum at 10 nm, strength decreases following a HP d(-1/2) dependence. In both regimes, interparticle sliding and dislocation activity play a role. The array with 10 nm nanoparticles showed the same mechanical properties than a polycrystalline bulk with the same grain size. This enhanced strength, for a material nearly 20% lighter, is attributed to the absence of grain boundary junctions, and to the array geometry, which leads to constant flow stress by means of densification, nanoparticle rotation, and dislocation activity. For tension, there is something akin to brittle fracture for large grain sizes, with NPs debonding perpendicular to the traction direction. The Johnson-Kendall-Roberts contact theory was successfully applied to describe the superlattice porosity, predicting also the array strength within 10% of molecular dynamics values. Although this study is focused on Au nanoparticles, our findings could be helpful in future studies of similar arrays with NPs of different kinds of materials.</t>
  </si>
  <si>
    <t>Bringa, Eduardo/F-8918-2011; Valencia, Felipe/D-9223-2015; Amigo, Nicolas/GSD-7249-2022</t>
  </si>
  <si>
    <t>Valencia, Felipe J./0000-0002-5461-6885; Amigo, Nicolas/0000-0002-8956-8318; Bringa, Eduardo/0000-0002-1403-1954</t>
  </si>
  <si>
    <t>APR 2</t>
  </si>
  <si>
    <t>10.1088/1361-6528/abd5e8</t>
  </si>
  <si>
    <t>WOS:000608626100001</t>
  </si>
  <si>
    <t>Alaniz, AJ; Soares, AO; Vergara, PM; de Azevedo, EB; Grez, AA</t>
  </si>
  <si>
    <t>Alaniz, Alberto J.; Soares, Antonio O.; Vergara, Pablo M.; de Azevedo, Eduardo Brito; Grez, Audrey A.</t>
  </si>
  <si>
    <t>The failed invasion ofHarmonia axyridisin the Azores, Portugal: Climatic restriction or wrong population origin?</t>
  </si>
  <si>
    <t>INSECT SCIENCE</t>
  </si>
  <si>
    <t>We tested two questions: (i) whether the climatic conditions of the Azorean Islands in Portugal may have restricted the invasion ofHarmonia axyridisacross this archipelago and (ii) determine what population of this species could have a higher probability of invading the islands. We used MaxEnt to project the climate requirements of differentH. axyridispopulations from three regions of the world, and the potential global niche of the species in the Azorean islands. Then we assessed the suitability of the islands for each of the threeH. axyridispopulations and global potential niche through histograms analysis, Principal Component Analysis (PCA) of climate variables, and a variable-by-variable assessment of the suitability response curves compared with the climatic conditions of the Azores. Climatic conditions of the Azores are less suitable for the U.S. and native Asian populations ofH. axyridis, and more suitable for European populations and the global potential niche. The PCA showed that the climatic conditions of the islands differed from the climatic requirements ofH. axyridis. This difference is mainly explained by precipitation of the wettest month, isothermality, and the minimum temperature of the coldest month. We concluded that the climatic conditions of the Azores could have influenced the establishment and spread ofH. axyridison these islands from Europe. Our results showed that abiotic resistance represented by the climate of the potentially colonizable zones could hinder the establishment of invasive insects, but it could vary depending of the origin of the colonizing population.</t>
  </si>
  <si>
    <t>Grez, Audrey/G-8677-2013; Alaniz, Alberto/J-3104-2019; Vergara, Pablo/F-2519-2010; Brito de Azevedo, Eduardo/M-4266-2013; Soares, Antonio Onofre/M-4207-2013</t>
  </si>
  <si>
    <t>Brito de Azevedo, Eduardo/0000-0001-5172-7742; Alaniz, Alberto J./0000-0003-4878-8848; Vergara, Pablo/0000-0002-0024-1678; Soares, Antonio Onofre/0000-0001-7922-6296</t>
  </si>
  <si>
    <t>1672-9609</t>
  </si>
  <si>
    <t>1744-7917</t>
  </si>
  <si>
    <t>10.1111/1744-7917.12756</t>
  </si>
  <si>
    <t>WOS:000541510700001</t>
  </si>
  <si>
    <t>de Valle, MA; González, B; Espinosa-Bustos, C; Ramírez, AMR; Gacitúa, M; Hernández, LA</t>
  </si>
  <si>
    <t>de Valle, M. A.; Gonzalez, B.; Espinosa-Bustos, C.; Ramirez, A. M. R.; Gacitua, M.; Hernandez, L. A.</t>
  </si>
  <si>
    <t>dsDNA Sensing Capabilities of Metallopolymers Electrochemically Deposited from Ruthenium-Pyrrole and - Thiophene Complexes</t>
  </si>
  <si>
    <t>In the current work, a study is presented based on the variation of the monomer unit (thiophene or pyrrole) at electrochemically polymerizable ruthenium complexes, evaluating their possible applications in the field of biosensors to detect dsDNA. For both complexes ([Ru(p-cymene)(C4H4S)(2)](2+) and [Ru(p-cymene)(C5H4NH)(2)](2+)), the metallopolymer is deposited on platinum electrodes displaying voltamperometric responses consistent with expected polymer including the corresponding Ru-III -&gt; II redox signa. The subsequent evaluation of these electrodeposits, in the presence and absence of dsDNA, demonstrated the essential role that monomer play when an application of these modified electrodes is needed. The use of thiophene as a polymerizable produces a more intense analyte-electrode interaction, with an electrode about 1.7 more sensitive to dsDNA compared to that of pyrrole.</t>
  </si>
  <si>
    <t>Espinosa-Bustos, Christian/E-8127-2012; Ramírez, Andres/JPL-2918-2023; Gacitua, Manuel/R-8868-2019</t>
  </si>
  <si>
    <t>Ramirez Ramirez, Andres/0000-0001-8786-7149; Espinosa-Bustos, Christian/0000-0001-6038-8439; Gacitua, Manuel/0000-0003-0807-2677</t>
  </si>
  <si>
    <t>10.20964/2019.08.64</t>
  </si>
  <si>
    <t>WOS:000477867100089</t>
  </si>
  <si>
    <t>Jiang, LX; Bohle, SL; Roche, M</t>
  </si>
  <si>
    <t>Jiang, Lixin; Lopez Bohle, Sergio; Roche, Maree</t>
  </si>
  <si>
    <t>Contingent Reward Transactional Leaders as Good Parents: Examining the Mediation Role of Attachment Insecurity and the Moderation Role of Meaningful Work</t>
  </si>
  <si>
    <t>JOURNAL OF BUSINESS AND PSYCHOLOGY</t>
  </si>
  <si>
    <t>Deriving from the analogy between contingent reward transactional leaders (featured by clarity, consistency, consideration, and consequences) and good parents, we develop a moderated mediation model where attachment insecurity (avoidance and anxiety attachment) mediates the relationship of contingent reward transactional leadership with follower job insecurity, burnout, job performance, and organizational citizenship behaviors, and meaningful work moderates the relationship between contingent reward transactional leadership and attachment insecurity. Results based on two-wave data from two independent samples largely support our hypotheses. Specifically, supporting attachment theory, the relationship of contingent reward transactional leadership and follower outcomes (i.e., job insecurity, burnout, and job performance) is mediated by both avoidance attachment and anxiety attachment. Supporting the contingency theory of leadership, meaningful work strengthens the relationship between contingent reward transactional leadership and avoidance and anxiety attachment. Additionally, the indirect effect of contingent reward transactional leadership and follower outcomes via avoidance and anxiety attachment is contingent upon meaningful work.</t>
  </si>
  <si>
    <t>Bohle, Sergio/P-7698-2014; Roche, Maree/Q-7790-2016</t>
  </si>
  <si>
    <t>Jiang, Lixin/0000-0003-0853-9329; Lopez Bohle, Sergio/0000-0002-6202-4089; Roche, Maree/0000-0003-2711-4895</t>
  </si>
  <si>
    <t>0889-3268</t>
  </si>
  <si>
    <t>1573-353X</t>
  </si>
  <si>
    <t>10.1007/s10869-018-9553-x</t>
  </si>
  <si>
    <t>WOS:000475660800007</t>
  </si>
  <si>
    <t>Bustamante, S; Hàn, H; Stein, M</t>
  </si>
  <si>
    <t>Bustamante, Sebastian; Han, Hiep; Stein, Maya</t>
  </si>
  <si>
    <t>Almost partitioning 2-colored complete 3-uniform hypergraphs into two monochromatic tight or loose cycles</t>
  </si>
  <si>
    <t>JOURNAL OF GRAPH THEORY</t>
  </si>
  <si>
    <t>We show that for every eta &gt; 0 there exists an integer n(0) such that every 2-coloring of the 3-uniform complete hypergraph on n &gt;= n(0) vertices contains two disjoint monochromatic tight cycles of distinct colors that together cover all but at most eta n vertices. The same result holds if tight cycles are replaced by loose cycles.</t>
  </si>
  <si>
    <t>Stein, Maya/A-4960-2016; Han, Hiep/IVV-0527-2023</t>
  </si>
  <si>
    <t>stein, maya/0000-0001-7922-6413; Han, Hiep/0000-0001-7757-7244</t>
  </si>
  <si>
    <t>0364-9024</t>
  </si>
  <si>
    <t>1097-0118</t>
  </si>
  <si>
    <t>10.1002/jgt.22417</t>
  </si>
  <si>
    <t>WOS:000462358700001</t>
  </si>
  <si>
    <t>Ruiz-León, D; Mompean, F; Prado-Gonjal, J; Marco, JF; García-Hernandez, M; Schmidt, R</t>
  </si>
  <si>
    <t>Ruiz-Leon, Domingo; Mompean, Federico; Prado-Gonjal, Jesus; Marco, Jose F.; Garcia-Hernandez, Mar; Schmidt, Rainer</t>
  </si>
  <si>
    <t>Structural, magnetic and dielectric properties of the novel magnetic spinel compounds ZnCoSnO4 and ZnCoTiO4</t>
  </si>
  <si>
    <t>JOURNAL OF THE EUROPEAN CERAMIC SOCIETY</t>
  </si>
  <si>
    <t>The transparent semiconductor Zn2SnO4 with cubic spinel structure and the isostructural Zn2TiO4 have been magnetically doped with Co2+ ZnCoSnO4 and ZnCoTiO4 exhibit ferrimagnetism below T-N approximate to 13 K and TN 17 K. Ferrimagnetic moments are evident in M vs H curves below TN by small hysteresis. Fits to strictly linear Curie-Weiss plots above TN give mu(eff) approximate to 4.86 mu(B) and approximate to 4.91 mu(B) for ZnCoSnO4 and ZnCoTiO4, above theoretical predictions. Impedance spectroscopy data from sintered ceramic can be fitted with a standard equivalent circuit model based on two RC elements for bulk and GB areas. The relative dielectric permittivity of the bulk is approximate to 20 and approximate to 30 for Zn2SnO4 and Zn2TiO4. The semiconducting ZnCoSnO4 and ZnCoTiO4 ceramics exhibit bulk resistivity of approximate to 1 10(6) Omega cm and approximate to 1 10(5) Omega cm at 560 K (287 degrees C), and bulk activation energies of E-A approximate to 1.2 eV and 1.1 eV.</t>
  </si>
  <si>
    <t>Schmidt, Rainer/A-4265-2008; Mompean, Federico/B-8713-2011; Prado-Gonjal, Jesús/AAP-3865-2020; León, Domingo/AAE-7630-2019; Garcia-Hernandez, Mar/J-9520-2014; Marco, JF/N-3176-2014; Prado-Gonjal, Jesus/O-4552-2017</t>
  </si>
  <si>
    <t>Garcia-Hernandez, Mar/0000-0002-5987-0647; Marco, JF/0000-0002-5147-1449; Prado-Gonjal, Jesus/0000-0003-4880-8503; Mompean, Federico J./0000-0002-6346-1475; Ruiz Leon, Domingo/0000-0002-0950-6919; Schmidt, Rainer/0000-0002-8344-8403</t>
  </si>
  <si>
    <t>0955-2219</t>
  </si>
  <si>
    <t>1873-619X</t>
  </si>
  <si>
    <t>10.1016/j.jeurceramsoc.2018.07.031</t>
  </si>
  <si>
    <t>WOS:000444664300020</t>
  </si>
  <si>
    <t>Fuentes, JR; Espinoza, CM; Reisenegger, A; Shaw, B; Stappers, BW; Lyne, AG</t>
  </si>
  <si>
    <t>Fuentes, J. R.; Espinoza, C. M.; Reisenegger, A.; Shaw, B.; Stappers, B. W.; Lyne, A. G.</t>
  </si>
  <si>
    <t>The glitch activity of neutron stars (vol 608, A131, 2017)</t>
  </si>
  <si>
    <t>Espinoza, Cristóbal/U-4428-2017; Rowlinson, Antonia/M-7054-2018; Reisenegger, Andreas/ABF-8997-2020</t>
  </si>
  <si>
    <t>Reisenegger, Andreas/0000-0003-4059-6796</t>
  </si>
  <si>
    <t>OCT 5</t>
  </si>
  <si>
    <t>C1</t>
  </si>
  <si>
    <t>10.1051/0004-6361/201731519e</t>
  </si>
  <si>
    <t>WOS:000446427100001</t>
  </si>
  <si>
    <t>Díaz-Vegas, A; Espinoza, A; Cofré, C; Sánchez-Aguilera, P</t>
  </si>
  <si>
    <t>Diaz-Vegas, A.; Espinoza, A.; Cofre, C.; Sanchez-Aguilera, P.</t>
  </si>
  <si>
    <t>Eccentric resistance training reduces both non-response to exercise and cardiovascular risk factors in adult with overweight or obesity</t>
  </si>
  <si>
    <t>SCIENCE &amp; SPORTS</t>
  </si>
  <si>
    <t>Objectives. - The aim of this study was to compare the effect of concentric or eccentric resistance training on different cardiovascular risk factors and the prevalence of non-response to exercise. Materials and methods. - Twenty two overweight or obese men were divided into two exercise groups and underwent concentric (CRT) or eccentric resistance (ERT) training respectively, that consisted in squats developed with the help of a Russian belt. Each protocol was performed in Non-responding four sets of eight repetitions, developed three times per week for four weeks. Results. - CRT reduced waist circumference (WC) from 111.1 +/- 4.30 to 109.4 +/- 4.69cm and systolic pressure (SP) from 119.7 +/- 6.41 to 117 +/- 5.32nnm Hg. ERT reduced the WC from 110.5 +/- 4.69 to 104.4 +/- 4.05cm and SP from 121.2 +/- 4.74 to 116.9 +/- 5.18mm Hg. ERT had greater effect reducing WC value compared to CRT (-3.5% and -11.7% for CT and ET respectively). Additionally, CRT and ERT increased the VO2 peak from 29.5 +/- 2.01 to 30.5 +/- 1.43ml/kg/min and from 28.6 +/- 2.34 to 31.92 +/- 2.31 ml/kg/min respectively. Finally, higher percentage of responses to training was observed after ERT protocol compared to CRT. (C) 2018 Elsevier Masson SAS. All rights reserved.</t>
  </si>
  <si>
    <t>Diaz-Vegas, Alexis/Z-4026-2019; Diaz Vegas, Alexis/I-1941-2013</t>
  </si>
  <si>
    <t>Diaz Vegas, Alexis/0000-0001-5227-4482; Espinoza-Salinas, Alexis/0000-0001-9709-2850</t>
  </si>
  <si>
    <t>0765-1597</t>
  </si>
  <si>
    <t>10.1016/j.scispo.2017.12.002</t>
  </si>
  <si>
    <t>WOS:000443929400007</t>
  </si>
  <si>
    <t>Shifman, M; Tallarita, G; Yung, A</t>
  </si>
  <si>
    <t>Shifman, M.; Tallarita, G.; Yung, A.</t>
  </si>
  <si>
    <t>'t Hooft-Polyakov monopoles with non-Abelian moduli</t>
  </si>
  <si>
    <t>We extend the Georgi-Glashow model of the 't Hooft-Polyakov monopoles to include additional collective coordinates-orientational isospin moduli. The low-energy theory of these solitonic solutions can be interpreted as dyons with isospin.</t>
  </si>
  <si>
    <t>Tallarita, Gianni/AAU-8079-2021; Yung, Alexei/N-2364-2015; Tallarita, Gianni/J-5409-2018</t>
  </si>
  <si>
    <t>Shifman, Mikhail/0000-0003-3851-3672; Yung, Alexei/0000-0003-4669-686X; Tallarita, Gianni/0000-0001-9737-9050</t>
  </si>
  <si>
    <t>MAY 27</t>
  </si>
  <si>
    <t>10.1103/PhysRevD.91.105026</t>
  </si>
  <si>
    <t>WOS:000355095200014</t>
  </si>
  <si>
    <t>Silva-Weiss, A; Bifani, V; Ihl, M; Sobral, PJA; Gómez-Guillén, MC</t>
  </si>
  <si>
    <t>Silva-Weiss, A.; Bifani, V.; Ihl, M.; Sobral, P. J. A.; Gomez-Guillen, M. C.</t>
  </si>
  <si>
    <t>Polyphenol-rich extract from murta leaves on rheological properties of film-forming solutions based on different hydrocolloid blends</t>
  </si>
  <si>
    <t>Film-forming solutions (FFS) based on sodium carboxymethylcellulose (CMC), low and high molecular weight fish-skin gelatin (LG and HG), unmodified and modified corn starch (CS and MS) and chitosan (CH) were prepared. Seven binary blends were evaluated (CH-CMC, CH-CS, CS-CMC, MS-CMC, HG-CMC and LG-CMC). The rheological properties of FFS and blends were studied as a function of the hydrocolloid blend type and as a function of polyphenol-rich extract from murta leaves (Ugni molinae Turcz) (PEML) in FFS. Steady-state flow tests and oscillatory measurements within the linear viscoelasticity region (LVR) were carried out. Flow behavior of FFS was significantly affected by the hydrocolloid blend type as well as presence or absence of PEML in the matrix. FFS behaves as non-Newtonian and pseudoplastic fluid above 0.4 s(-1) shear rate. The PEML formed aggregates with chitosan, leading to a gel-like structure with thirotropic behavior on CH and CH-CS solutions. PEML induced thermal stability in CH-CIVIC FFS. The FFS based on LG-CMC and HG-CMC were unstable with frequency when PEML was added. The FFS based on CS-CMC, MS-CMC, and CMC behaved as homogeneus solution, either without or with PEML. The viscosity, ranging between 2.75 and 8.49 Pa s to 2 s(-1) 25 degrees C, was suitable for the casting process and provided stable solutions in the wide frequency range and temperature studied. (C) 2014 Elsevier Ltd. All rights reserved.</t>
  </si>
  <si>
    <t>Silva-Weiss, Andrea/AAL-3271-2021; Sobral, Paulo/N-8889-2016; Gomez-Guillen, M. Carmen/K-7796-2014</t>
  </si>
  <si>
    <t>do Amaral Sobral, Paulo Jose/0000-0002-3913-3172; Gomez-Guillen, M. Carmen/0000-0003-1063-9169</t>
  </si>
  <si>
    <t>10.1016/j.jfoodeng.2014.04.010</t>
  </si>
  <si>
    <t>WOS:000338400800004</t>
  </si>
  <si>
    <t>Vargas, E; Toro, P; Palma, JL; Escrig, J; Chanéac, C; Coradin, T; Denardin, JC</t>
  </si>
  <si>
    <t>Vargas, E.; Toro, P.; Palma, J. L.; Escrig, J.; Chaneac, C.; Coradin, T.; Denardin, J. C.</t>
  </si>
  <si>
    <t>Facile synthesis and magnetic characterizations of single-crystalline hexagonal cobalt nanoplates</t>
  </si>
  <si>
    <t>Single crystalline hexagonal cobalt nanoplates with diameter ca. 260 nm and thicknesses of 10 nm were synthesized through a one step simple reduction process using a soft-template approach. The sample exhibits a ferromagnetic behavior with a high coercivity field. The effect of the shape anisotropy on magnetic properties was investigated using numerical simulations, showing good agreement with experimental results. (C) 2012 Elsevier B.V. All rights reserved.</t>
  </si>
  <si>
    <t>Denardin, Juliano/S-6407-2019; Toro, Pascal/M-7218-2019; Coradin, Thibaud/L-8932-2013; Vargas, Edson/E-8344-2015; Chaneac, Corinne/C-2846-2017; Palma, Juan/IAP-4554-2023; Escrig, Juan/N-4304-2015</t>
  </si>
  <si>
    <t>Coradin, Thibaud/0000-0003-3374-5722; Denardin, Juliano/0000-0002-1373-6207; Escrig, Juan/0000-0002-3958-8185; Palma, JuanLuis/0000-0003-2068-174X</t>
  </si>
  <si>
    <t>10.1016/j.matlet.2012.12.044</t>
  </si>
  <si>
    <t>WOS:000315254400033</t>
  </si>
  <si>
    <t>Oliva, C; Olguín, P; Canovas, J; Berndt, A; López, E; Aerts, S; Hassan, B; Sierralta, J</t>
  </si>
  <si>
    <t>Oliva, C.; Olguin, P.; Canovas, J.; Berndt, A.; Lopez, E.; Aerts, S.; Hassan, B.; Sierralta, J.</t>
  </si>
  <si>
    <t>Identification of HNT targets in the eye disc.</t>
  </si>
  <si>
    <t>JOURNAL OF NEUROGENETICS</t>
  </si>
  <si>
    <t>Sierralta, Jimena/A-7591-2008; Olguin, Patricio/H-3270-2014; Aerts, Stein/A-1100-2009</t>
  </si>
  <si>
    <t>0167-7063</t>
  </si>
  <si>
    <t>WOS:000314975100082</t>
  </si>
  <si>
    <t>Galotto, MJ; Ulloa, P; Escobar, R; Guarda, A; Gavara, R; Miltz, J</t>
  </si>
  <si>
    <t>Galotto, Maria Jose; Ulloa, Pablo; Escobar, Rodrigo; Guarda, Abel; Gavara, Rafael; Miltz, Joseph</t>
  </si>
  <si>
    <t>Effect of High-Pressure Food Processing on the Mass Transfer Properties of Selected Packaging Materials</t>
  </si>
  <si>
    <t>PACKAGING TECHNOLOGY AND SCIENCE</t>
  </si>
  <si>
    <t>The effect of high-pressure processing (HPP) on the total migration into distilled water and olive oil and on the barrier properties of four complex packaging materials were evaluated. The films were polyethylene/ethylene-vinyl-alcohol/polyethylene (PE/EVOH/PE), metallized polyester/polyethylene, polyester/polyethylene (PET/PE), and polypropylene-SiOx (PPSiOx). Pouches made from these films were filled with food simulants, sealed and then processed at a pressure of 400 MPa for 30 min, at 20 or 60 degrees C. Pouches kept at atmospheric pressure were used as controls. Prior to and after treatment, all films were evaluated for their barrier properties (oxygen transmission rate and water vapour transmission rate) and 'Total' migration into the two food simulants. In the case of water as the food stimulant, a low 'Total' migration was observed and even a lower one after the HPP treatment. In the case of oil as the food simulant, a higher 'Total' migration was found compared to the control as a result of damage to the structures during the HPP treatment. The gas permeability of the films increased after the HPP, compared to the control, due to damages in the structure caused during the treatment. The PET/PE film presented minimum changes in properties after HPP. Copyright (C) 2010 John Wiley &amp; Sons, Ltd.</t>
  </si>
  <si>
    <t>Gavara, Rafael/H-4096-2012</t>
  </si>
  <si>
    <t>Gavara, Rafael/0000-0001-6376-8939; Ulloa, Pablo A/0000-0002-7267-9505</t>
  </si>
  <si>
    <t>0894-3214</t>
  </si>
  <si>
    <t>1099-1522</t>
  </si>
  <si>
    <t>AUG-SEP</t>
  </si>
  <si>
    <t>10.1002/pts.893</t>
  </si>
  <si>
    <t>WOS:000281271100002</t>
  </si>
  <si>
    <t>Cordero, RR; Molimard, J; Labbé, F; Martínez, A</t>
  </si>
  <si>
    <t>Cordero, Raul R.; Molimard, Jerome; Labbe, Fernando; Martinez, Amalia</t>
  </si>
  <si>
    <t>Strain maps obtained by phase-shifting interferometry:: An uncertainty analysis</t>
  </si>
  <si>
    <t>OPTICS COMMUNICATIONS</t>
  </si>
  <si>
    <t>We used Moire interferometry to evaluate the strains induced on a specimen subjected to a steady tensile load. The strains were evaluated by differentiating the whole-field phase values obtained by a phase-shifting algorithm. Because the direct differentiation of even slightly noisy data may lead to unacceptable derivative errors, the strain evaluation procedure included the application of a low-pass filter, which allowed us to smooth out local fluctuations in the phase data. In addition to the noise, the strain values were also affected by systematic errors in the phase values tendered by the phase-shifting algorithm as well as uncertainties in the determination of both the interferometer sensitivity and the magnification of the imaging system. In this paper, the influence of these error sources was assessed by applying a Monte Carlo-based uncertainty propagation technique; the strain uncertainty evaluation was based on simulating a large number of times, both the phase-shifting procedure and the post-image processing (which included the filter application). We found that the strain uncertainty strongly depends on the low-pass filter used to counteract the noise effect. Although we obtained the phase data from a Moire pattern, the procedure presented to evaluate the strain uncertainty is valid independently of the techniques used to generate the fringe pattern or the algorithm applied to exploit the phase-shifting procedure. (C) 2007 Elsevier B.V. All rights reserved.</t>
  </si>
  <si>
    <t>0030-4018</t>
  </si>
  <si>
    <t>1873-0310</t>
  </si>
  <si>
    <t>10.1016/j.optcom.2007.12.005</t>
  </si>
  <si>
    <t>WOS:000254566000048</t>
  </si>
  <si>
    <t>Marin, M; Gil-Costa, V; Bouacic, C</t>
  </si>
  <si>
    <t>Luque, E; Margalef, T; Benitez, D</t>
  </si>
  <si>
    <t>Marin, Mauricio; Gil-Costa, Veronica; Bouacic, Carolina</t>
  </si>
  <si>
    <t>A search engine index for multimedia content</t>
  </si>
  <si>
    <t>EURO-PAR 2008 PARALLEL PROCESSING, PROCEEDINGS</t>
  </si>
  <si>
    <t>14th International Euro-Par Conference on Parallel Computing</t>
  </si>
  <si>
    <t>AUG 26-29, 2008</t>
  </si>
  <si>
    <t>Las Palmas de Gran Canaria, SPAIN</t>
  </si>
  <si>
    <t>We present a distributed index data structure and algorithms devised to support parallel query processing of multimedia content in search engines. We present a comparative study with a number of data structures used as indexes for metric space databases. Our optimization criteria are based on requirements for high-performance search engines. The main advantages of our proposal are efficient performance with respect to other approaches (sequentially and in parallel), suitable treatment of secondary memory, and support for OpenMP multithreading. We presents experiments for the asynchronous (MPI) and bulk-synchronous (BSP) message passing models of parallel computing showing that in both models our approach outperforms others consistently.</t>
  </si>
  <si>
    <t>Marin, Mauricio/GLR-7700-2022; Gil-Costa, Veronica/GPT-4785-2022</t>
  </si>
  <si>
    <t>Marin, Mauricio/0000-0003-0662-7149; Gil-Costa, Veronica/0000-0003-4637-9725</t>
  </si>
  <si>
    <t>978-3-540-85450-0</t>
  </si>
  <si>
    <t>WOS:000259084900080</t>
  </si>
  <si>
    <t>Altbir, D; Escrig, J; Landeros, P; Amaral, FS; Bahiana, M</t>
  </si>
  <si>
    <t>Altbir, D.; Escrig, J.; Landeros, P.; Amaral, F. S.; Bahiana, M.</t>
  </si>
  <si>
    <t>Vortex core size in interacting cylindrical nanodot arrays</t>
  </si>
  <si>
    <t>The effect of dipolar interactions among cylindrical nanodots, with a vortex-core magnetic configuration, is analyzed by means of analytical calculations. The cylinders are placed in a N x N square array in two configurations-cores oriented parallel to each other and with antiparallel alignment between nearest neighbors. Results comprise the variation in the core radius with the number of interacting dots, the distance between them and dot height. The dipolar interdot coupling leads to a decrease (increase) of the core radius for parallel (antiparallel) arrays.</t>
  </si>
  <si>
    <t>Altbir, Dora/R-6781-2018; Escrig, Juan/N-4304-2015; Landeros, Pedro/B-4603-2012</t>
  </si>
  <si>
    <t>Altbir, Dora/0000-0002-2945-4909; Escrig, Juan/0000-0002-3958-8185; Landeros, Pedro/0000-0002-0927-1419</t>
  </si>
  <si>
    <t>DEC 5</t>
  </si>
  <si>
    <t>10.1088/0957-4484/18/48/485707</t>
  </si>
  <si>
    <t>WOS:000250725600027</t>
  </si>
  <si>
    <t>Del'Arco, APWT; Ferrari, G; Previdelli, AN; Fisberg, M</t>
  </si>
  <si>
    <t>Del'Arco, Ana Paula Wolf Tasca; Ferrari, Gerson; Previdelli, Agatha Nogueira; Fisberg, Mauro</t>
  </si>
  <si>
    <t>Association of socio-demographic factors with physical activity in adolescents and young adults: data from EBANS study</t>
  </si>
  <si>
    <t>SPORT SCIENCES FOR HEALTH</t>
  </si>
  <si>
    <t>PurposeTo describe the physical activity (PA) level and its association with socio-demographic factors in the Brazilian youth.MethodsWe analyzed 476 individual participants of the Brazilian Study of Nutrition and Health (EBANS), using the age cutoff proposed by the World Health Organization to define the adolescence period. The International Physical Activity Questionnaire, was used to obtain PA data. Region, sex, age, socioeconomic level (SEL), education level, and type of occupation were used as socio-demographic factors. The multiple logistic regression stepwise was used for the associated factors.Results48% of adolescents and 53% of young adults did not meet the PA recommendations. For adolescents, sex (female OR 0.43; 95%CI 0.23-0.78), SEL (low OR 5.65; 95%CI 1.91-16.67) and type of occupation (student OR 2.07; 95%CI 1.04-4.12) were associated with PA recommendations meeting, and for adults only region (Northeast OR 0.24; 95%CI 0.06-0.97 and Midwest OR 0.16; 95%CI 0.03-0.89) and sex (female OR 0.47; 95%CI 0.25-0.87).ConclusionsThe socio-demographic factors identified in this work may be considered in interventions aimed to increase the PA level in the Brazilian youth. The prevalence of individuals who did not meet the PA recommendations found in this study suggests an eminent need to foster sustainable public policies to increase the PA level in the population aged 15-24.9 years.Trial registrationClinicalTrials.Gov NCT02226627. Retrospectively registered on August 27, 2014.</t>
  </si>
  <si>
    <t>Ferrari, Gerson/ABG-6635-2021; Ferrari, Gerson/P-1152-2014; Fisberg, Mauro/E-7149-2010</t>
  </si>
  <si>
    <t>Ferrari, Gerson/0000-0003-3177-6576; Fisberg, Mauro/0000-0003-2992-3215; Previdelli, Agatha/0000-0003-0032-4323</t>
  </si>
  <si>
    <t>1824-7490</t>
  </si>
  <si>
    <t>1825-1234</t>
  </si>
  <si>
    <t>10.1007/s11332-024-01234-4</t>
  </si>
  <si>
    <t>WOS:001272270500001</t>
  </si>
  <si>
    <t>Rodriguez, JK; Procter, S; Arrau, G</t>
  </si>
  <si>
    <t>Doing extreme work in an extreme context: situated experiences of Chilean frontline healthcare workers during the COVID-19 pandemic</t>
  </si>
  <si>
    <t>INTERNATIONAL JOURNAL OF HUMAN RESOURCE MANAGEMENT</t>
  </si>
  <si>
    <t>This paper problematizes micro-level conceptualizations of extreme work to develop new research directions. The paper shows how frontline healthcare workers interpret and articulate ideas about doing extreme work during the COVID-19 pandemic. Two interconnected themes are discussed: a narrative of professional opportunity, related to identifying the extreme context as a space of opportunity to re-shape understandings about their professional purpose and gain professional legitimacy, and a narrative of occupational heroism, related to a way of doing extreme work that focuses on establishing dependable relational dynamics and working extremely as a means to become indispensable. The article reinforces the importance of the situated understanding of work settings and suggests a research agenda that can help to inform HRM policies and practices to manage and develop specific groups of professionals.</t>
  </si>
  <si>
    <t>Rodriguez, Jenny K/0000-0001-9288-6125</t>
  </si>
  <si>
    <t>0958-5192</t>
  </si>
  <si>
    <t>1466-4399</t>
  </si>
  <si>
    <t>MAY 14</t>
  </si>
  <si>
    <t>10.1080/09585192.2023.2237863</t>
  </si>
  <si>
    <t>JUL 2023</t>
  </si>
  <si>
    <t>WOS:001032142400001</t>
  </si>
  <si>
    <t>Bravo, K; González-Ortiz, M; Beltrán-Castillo, S; Cáceres, D; Eugenín, J</t>
  </si>
  <si>
    <t>Gonzalez-Ortiz, M</t>
  </si>
  <si>
    <t>Bravo, Karina; Gonzalez-Ortiz, Marcelo; Beltran-Castillo, Sebastian; Caceres, Daniela; Eugenin, Jaime</t>
  </si>
  <si>
    <t>Development of the Placenta and Brain Are Affected by Selective Serotonin Reuptake Inhibitor Exposure During Critical Periods</t>
  </si>
  <si>
    <t>ADVANCES IN MATERNAL-FETAL BIOMEDICINE: Cellular and Molecular Mechanisms of Pregnancy Pathologies</t>
  </si>
  <si>
    <t>Advances in Experimental Medicine and Biology</t>
  </si>
  <si>
    <t>Selective serotonin reuptake inhibitors (SSRIs) are usually prescribed to treat major depression and anxiety disorders. Fetal brain development exhibits dependency on serotonin (5-hydroxytryptamine, 5-HT) from maternal, placental, and fetal brain sources. At very early fetal stages, fetal serotonin is provided by maternal and placental sources. However, in later fetal stages, brain sources are indispensable for the appropriate development of neural circuitry and the rise of emergent functions implied in behavior acquisition. Thus, susceptible serotonin-related critical periods are recognized, involving the early maternal and placental 5-HT synthesis and the later endogenous 5-HT synthesis in the fetal brain. Acute and chronic exposure to SSRIs during these critical periods may result in short- and long-term placental and brain dysfunctions affecting intrauterine and postnatal life. Maternal and fetal cells express serotonin receptors which make them susceptible to changes in serotonin levels influenced by SSRIs. SSRIs block the serotonin transporter (SERT), which is required for 5-HT reuptake from the synaptic cleft into the presynaptic neuron. Chronic SSRI administration leads to pre- and postsynaptic 5-HT receptor rearrangement. In this review, we focus on the effects of SSRIs administered during critical periods upon placentation and brain development to be considered in evaluating the risk-safety balance in the clinical use of SSRIs.</t>
  </si>
  <si>
    <t>Bravo García, Martha/KZT-8810-2024; Beltran Castillo, Sebastian/AAT-2028-2021; Gonzalez Ortiz, Marcelo/O-4416-2016</t>
  </si>
  <si>
    <t>Gonzalez Ortiz, Marcelo/0000-0002-0521-3633; Bravo-Flores, Karina Alejandra/0000-0001-8871-294X; Beltran-Castillo, Sebastian/0000-0003-4550-6323</t>
  </si>
  <si>
    <t>0065-2598</t>
  </si>
  <si>
    <t>2214-8019</t>
  </si>
  <si>
    <t>978-3-031-32556-4; 978-3-031-32554-0; 978-3-031-32553-3</t>
  </si>
  <si>
    <t>10.1007/978-3-031-32554-0_8</t>
  </si>
  <si>
    <t>10.1007/978-3-031-32554-0</t>
  </si>
  <si>
    <t>WOS:001168210800008</t>
  </si>
  <si>
    <t>Fuentes-Nuñez, J; Olivares-Gómez, C; Farías-Valenzuela, C; Poblete-Aro, C; Alvarez-Arangua, S; Ferrero-Hernández, P</t>
  </si>
  <si>
    <t>Fuentes-Nunez, Javier; Olivares-Gomez, Carelia; Farias-Valenzuela, Claudio; Poblete-Aro, Carlos; Alvarez-Arangua, Sebastian; Ferrero-Hernandez, Paloma</t>
  </si>
  <si>
    <t>Benefits of exercise and/or physical activity in the five types of cancer with the highest incidence and mortality worldwide: A narrative review</t>
  </si>
  <si>
    <t>This review aims to declare the benefits of physical exercise and/or physical activity in the five types of cancer with the highest mortality rate in the world. A search was carried out in the databases: Pubmed, Cochrane, Scopus, Web of science, Scielo (Latin America) and Medline. The terms used for the search were: lung cancer, liver cancer, breast cancer, stomach cancer, colon cancer, physical exercise, physical activity, exercise. resistance and aerobic exercise. Physical exercise and physical activity have shown benefits in morphological, metabolic and psychological variables, having a positive impact on increasing functionality, life expectancy and quality of life in cancer patients. Aerobic exercise demonstrated greater benefits in oxygen consumption, in addition to high adherence, while strength training in greater capacity specifically in the lower limbs.</t>
  </si>
  <si>
    <t>Arangua, Sebastian/AAQ-3480-2021; Poblete, Carlos/HOF-8260-2023</t>
  </si>
  <si>
    <t>WOS:001143891900009</t>
  </si>
  <si>
    <t>de Dicastillo, CL; Veláquez, E; Rojas, A; Garrido, L; Moreno, MC; Guarda, A; Galotto, MJ</t>
  </si>
  <si>
    <t>Lopez de Dicastillo, Carol; Velasquez, Eliezer; Rojas, Adrian; Garrido, Luan; Carolina Moreno, Maria; Guarda, Abel; Jose Galotto, Maria</t>
  </si>
  <si>
    <t>Developing Core/Shell Capsules Based on Hydroxypropyl Methylcellulose and Gelatin through Electrodynamic Atomization for Betalain Encapsulation</t>
  </si>
  <si>
    <t>Betalains are bioactive compounds with remarkable functional and nutritional activities for health and food preservation and attractiveness. Nevertheless, they are highly sensitive to external factors, such as oxygen presence, light, and high temperatures. Therefore, the search for new structures, polymeric matrices, and efficient methods of encapsulation of these compounds is of great interest to increase their addition to food products. In this work, betalains were extracted from red beetroot. Betacyanin and betaxanthin contents were quantified. Subsequently, these compounds were successfully encapsulated into the core of coaxial electrosprayed capsules composed of hydroxypropyl methylcellulose (HPMC) and gelatin (G). The effect of incorporating the carbohydrate and the protein both in the core or shell structures was studied to elucidate the best composition for betalain protection. Morphological, optical, and structural properties were analyzed to understand the effect of the incorporation of the bioactive compounds in the morphology, color, and chemical interactions between components of resulting electrosprayed capsules. The results of the thermogravimetric and encapsulation efficiency analysis coincided that the incorporation of beetroot extract in G in the core and HPMC in the shell resulted in the structure with greater betalain protection. The effectiveness of the core/shell structure was confirmed for future food applications.</t>
  </si>
  <si>
    <t>Moreno Constenla, María Carolina/IAM-2189-2023; Rojas, Adrián/ISB-5770-2023; Lopez-de-Dicastillo, Carol/C-6347-2019</t>
  </si>
  <si>
    <t>Lopez-de-Dicastillo, Carol/0000-0003-0067-9765; Moreno Constenla, Maria Carolina/0000-0002-0135-9600; Rojas, Adrian/0000-0001-9253-1295; VELASQUEZ, ELIEZER/0000-0001-8858-8926</t>
  </si>
  <si>
    <t>10.3390/polym15020361</t>
  </si>
  <si>
    <t>WOS:000918607700001</t>
  </si>
  <si>
    <t>Labra, FA; San Martín, VA; Jahnsen-Guzmán, N; Fernández, C; Zapata, J; García-Huidobroro, MR; Duarte, C; García-Herrera, C; Vivanco, JF; Lardies, MA; Lagos, NA</t>
  </si>
  <si>
    <t>Labra, Fabio A.; San Martin, Valeska A.; Jahnsen-Guzman, Nicole; Fernandez, Carolina; Zapata, Javier; Roberto Garcia-Huidobroro, M.; Duarte, Cristian; Garcia-Herrera, Claudio; Vivanco, Juan F.; Lardies, Marco A.; Lagos, Nelson A.</t>
  </si>
  <si>
    <t>Metabolic rate allometry in intertidal mussels across environmental gradients: The role of coastal carbonate system parameters in mediating the effects of latitude and temperature</t>
  </si>
  <si>
    <t>MARINE POLLUTION BULLETIN</t>
  </si>
  <si>
    <t>We assess the role of direct and indirect effects of coastal environmental drivers (including the parameters of the carbonate system) on energy expenditure (MR) and body mass (M) of the intertidal mussel, Perumytilus pur-puratus, across 10 populations distributed over 2800 km along the Southern Eastern Pacific (SEP) coast. We find biogeographic and local variation in carbonate system variables mediates the effects of latitude and temperature on metabolic rate allometry along the SEP coast. Also, the fitted Piecewise Structural Equation models (PSEM) have greater predictive ability (conditional R2 = 0.95) relative to the allometric scaling model (R2 = 0.35). The largest standardized coefficients for MR and M were determined by the influence of temperature and latitude, followed by pCO2, pH, total alkalinity, and salinity. Thus, physiological diversity of P. purpuratus along the SEP coast emerges as the result of direct and indirect effects of biogeographic and local environmental variables.</t>
  </si>
  <si>
    <t>Duarte, Cristian/I-4013-2016; Labra, Fabio/B-6992-2013; Lardies, Marco/R-6203-2017; García-Herrera, Claudio/ABE-8991-2020</t>
  </si>
  <si>
    <t>San Martin, Valeska/0000-0002-8485-8578; Lardies, Marco/0000-0003-3525-1830; Duarte Valenzuela, Cristian Hernan/0000-0002-7033-3551</t>
  </si>
  <si>
    <t>0025-326X</t>
  </si>
  <si>
    <t>1879-3363</t>
  </si>
  <si>
    <t>10.1016/j.marpolbul.2022.114149</t>
  </si>
  <si>
    <t>SEP 2022</t>
  </si>
  <si>
    <t>WOS:000876716300001</t>
  </si>
  <si>
    <t>Cantero-López, P; Santoyo-Flores, J; Vega, A; Carreño, A; Fuentes, JA; Ramirez-Osorio, A; Ortiz, A; Illicachi, LA; Sánchez, J; Olea, AF; Páez-Hernández, D</t>
  </si>
  <si>
    <t>Cantero-Lopez, Plinio; Santoyo-Flores, Julian; Vega, Andres; Carreno, Alexander; Fuentes, Juan A.; Ramirez-Osorio, Angelica; Ortiz, Alejandro; Illicachi, Luis Alberto; Sanchez, Julio; Olea, Andres F.; Paez-Hernandez, Dayan</t>
  </si>
  <si>
    <t>A theoretical chemistry-based strategy for the rational design of new luminescent lanthanide complexes: an approach from a multireference SOC-NEVPT2 method</t>
  </si>
  <si>
    <t>DALTON TRANSACTIONS</t>
  </si>
  <si>
    <t>Theoretical methods of the SOC-NEVPT2 type combined with a molecular fragmentation scheme have been proven to be a powerful tool that allows explaining the luminescence sensitization mechanism in Ln(III) coordination compounds through the antenna effect. In this work, we have used this strategy to predict luminescence in a family of compounds of the Eu(R-phen)(BTA)(3) type where R-phen = 5-methyl-1,10-phenanthroline (Me-phen), 5-nitro-1,10-71 phenanthroline (Nitro-phen), 4,5-diazafluoren-9-one (One-phen), or 5,6-epoxy-5,6-dihydro-1,10-72 phenanthroline (Epoxy-phen); and BTA = fluorinated (3-diketone. Possible sensitization pathways were elucidated from the energy difference between the ligand-centered triplet (T-3) states and the emissive excited states of the Eu(III) fragments (Latva rules). Calculations show that the most probable mechanism occurs through the triplet state of the BTA which should be enriched by several parallel energy transfer pathways from R-phen substituents. The complexes were synthesized and structurally characterized by X-ray crystallography and various other physicochemical and spectroscopic methods to realize their optical properties and energy transfer pathways from dual antennae. Experimental results were in good agreement with the theoretical predictions, which reinforces the predictive power of the used theoretical methodology.</t>
  </si>
  <si>
    <t>Olea, Andres/AAF-6955-2019; Ortiz, Alejandro/AFL-4710-2022; Sanchez, Julio/AEO-4360-2022; Páez-Hernández, Dayán/AAJ-3317-2020; Illicachi Romero, Luis Alberto/AFM-9447-2022; Carreno, Alexander/I-6374-2019; Vega, Andres/B-2122-2010</t>
  </si>
  <si>
    <t>Carreno, Alexander/0000-0001-9733-8224; Paez-Hernandez, Dayan/0000-0002-8163-1343; Fuentes, Juan A./0000-0002-9374-0707; Ortiz, Alejandro/0000-0002-4392-9456; Vega, Andres/0000-0001-6501-4161; Illicachi Romero, Luis Alberto/0000-0003-2062-9589</t>
  </si>
  <si>
    <t>1477-9226</t>
  </si>
  <si>
    <t>1477-9234</t>
  </si>
  <si>
    <t>10.1039/d1dt02037d</t>
  </si>
  <si>
    <t>WOS:000695152900001</t>
  </si>
  <si>
    <t>Antonova, EE; Stepanova, MV</t>
  </si>
  <si>
    <t>Antonova, Elizaveta E.; Stepanova, Marina, V</t>
  </si>
  <si>
    <t>The Impact of Turbulence on Physics of the Geomagnetic Tail</t>
  </si>
  <si>
    <t>There is a vast amount of evidence that suggests that the geomagnetic tail is like a turbulent wake behind an obstacle. Large-scale vortices in the wake are able to generate turbulent transport that takes place both along the plasma sheet, in the X and Y directions, and across the plasma sheet, in the Z direction. Thus, turbulent fluctuations in all directions should be taken into consideration when analyzing plasma transport in the plasma sheet, and stability of the plasma sheet configurations. In this review, we summarize and discuss the main results of large and middle scale magnetospheric turbulence yielded by data analysis and modeling. We also identify changes in the description of the magnetospheric dynamics connected with the existence of turbulent fluctuations in the tail.</t>
  </si>
  <si>
    <t>10.3389/fspas.2021.622570</t>
  </si>
  <si>
    <t>WOS:000840829300001</t>
  </si>
  <si>
    <t>Barrera-Avalos, C; Díaz, X; Madrid, B; Michelson, SA; Robles-Planells, C; Sánchez-Guerrero, G; Ahumada, V; Mella-Torres, A; Rojo, LE; Imarai, M; Milla, LA; Leiva-Salcedo, E; Murgas, P; Fernández, R; Escobar, A; Acuña-Castillo, C</t>
  </si>
  <si>
    <t>Barrera-Avalos, Carlos; Diaz, Ximena; Madrid, Bastian; Michelson, Sofia A.; Robles-Planells, Claudia; Sanchez-Guerrero, Giselle; Ahumada, Viviana; Mella-Torres, Andrea; Rojo, Leonel E.; Imarai, Monica; Milla, Luis A.; Leiva-Salcedo, Elias; Murgas, Paola; Fernandez, Ricardo; Escobar, Alejandro; Acuna-Castillo, Claudio</t>
  </si>
  <si>
    <t>In Vivo Antitumor Effect against Murine Cells of CT26 Colon Cancer and EL4 Lymphoma by Autologous Whole Tumor Dead Cells</t>
  </si>
  <si>
    <t>BIOMED RESEARCH INTERNATIONAL</t>
  </si>
  <si>
    <t>Active immunotherapy against cancer is based on immune system stimulation, triggering efficient and long-lasting antigen-specific immune responses. Immunization strategies using whole dead cells from tumor tissue, containing specific antigens inside, have become a promising approach, providing efficient lymphocyte activation through dendritic cells (DCs). In this work, we generate whole dead tumor cells from CT26, E.G7, and EL4 live tumor cells as antigen sources, which termed immunogenic cell bodies (ICBs), generated by a simple and cost-efficient starvation-protocol, in order to determine whether are capable of inducing a transversal anticancer response regardless of the tumor type, in a similar way to what we describe previously with B16 melanoma. We evaluated the anticancer effects of immunization with doses of ICBs in syngeneic murine tumor models. Our results showed that mice's immunization with ICBs-E.G7 and ICBs-CT26 generate 18% and 25% of tumor-free animals, respectively. On the other hand, all carrying tumor-animals and immunized with ICBs, including ICBs-EL4, showed a significant delay in their growth compared to not immunized animals. These effects relate to DCs maturation, cytokine production, increase in CD4+T-bet+ and CD4+ROR-gamma t+ population, and decrease of T regulatory lymphocytes in the spleen. Altogether, our data suggest that whole dead tumor cell-based cancer immunotherapy generated by a simple starvation protocol is a promising way to develop complementary, innovative, and affordable antitumor therapies in a broad spectrum of tumors.</t>
  </si>
  <si>
    <t>Fernández, Ricardo/H-3422-2018; diaz, ximena/KUD-4752-2024; Milla, Luis/AAU-5222-2020; Robles-Planells, Claudia/LTF-7300-2024; Acuña-Castillo, Claudio/AAI-7090-2021; Escobar, Alejandro/I-2775-2013; Murgas, Paola/AAY-8814-2020</t>
  </si>
  <si>
    <t>Imarai, Monica/0000-0001-8767-9180; Ahumada, Viviana/0000-0003-3465-7222; Sanchez-Guerrero, Giselle/0000-0003-4974-1021; Acuna-Castillo, Claudio/0000-0003-3607-6077; Rojo, Leonel/0000-0002-0188-2266; Murgas Alcaino, Paola/0000-0001-9601-9096; Milla, Luis/0000-0001-9738-6234; Robles-Planells, Claudia/0000-0003-3339-8871; Diaz, Ximena/0000-0001-9036-4868; Barrera-Avalos, Carlos/0000-0001-6160-9563; Mella Torres, Andrea/0000-0002-7207-619X</t>
  </si>
  <si>
    <t>2314-6133</t>
  </si>
  <si>
    <t>2314-6141</t>
  </si>
  <si>
    <t>FEB 3</t>
  </si>
  <si>
    <t>10.1155/2021/6626851</t>
  </si>
  <si>
    <t>WOS:000620155600010</t>
  </si>
  <si>
    <t>Leiguarda, C; Villarreal, A; Potilinski, C; Pelissier, T; Coronel, MF; Bayo, J; Ramos, AJ; Montaner, A; Villar, MJ; Constandil, L; Brumovsky, PR</t>
  </si>
  <si>
    <t>Leiguarda, C.; Villarreal, A.; Potilinski, C.; Pelissier, T.; Coronel, M. F.; Bayo, J.; Ramos, A. J.; Montaner, A.; Villar, M. J.; Constandil, L.; Brumovsky, Pablo R.</t>
  </si>
  <si>
    <t>Intrathecal Administration of an Anti-nociceptive Non-CpG Oligodeoxynucleotide Reduces Glial Activation and Central Sensitization</t>
  </si>
  <si>
    <t>Inflammatory pain associates with spinal glial activation and central sensitization. Systemic administration of IMT504, a non-CpG oligodeoxynucleotide originally designed as an immunomodulator, exerts remarkable anti-allodynic effects in rats with complete Freunds adjuvant (CFA)-induced hindpaw inflammation. However, the anti-nociceptive mechanisms of IMT504 remain unknown. Here we evaluated whether IMT504 blocks inflammatory pain-like behavior by modulation of spinal glia and central sensitization. The study was performed in Sprague Dawley rats with intraplantar CFA, and a single lumbosacral intrathecal (i.t.) administration of IMT504 or vehicle was chosen to address if changes in glial activation and spinal sensitization relate to the pain-like behavior reducing effects of the ODN. Naive rats were also included. Von Frey and Randall-Selitto tests, respectively, exposed significant reductions in allodynia and mechanical hypersensitivity, lasting at least 24 h after i.t. IMT504. Analysis of electromyographic responses to electrical stimulation of C fibers showed progressive reductions in wind-up responses. Accordingly, IMT504 significantly downregulated spinal glial activation, as shown by reductions in the protein expression of glial fibrillary acidic protein, CD11b/c, Toll-like receptor 4 (TLR4) and the phosphorylated p65 subunit of NF kappa B, evaluated by immunohistochemistry and western blot. In vitro experiments using early post-natal cortical glial cultures provided further support to in vivo data and demonstrated IMT504 internalization into microglia and astrocytes. Altogether, our study provides new evidence on the central mechanisms of anti-nociception by IMT504 upon intrathecal application, and further supports its value as a novel anti-inflammatory ODN with actions upon glial cells and the TLR4/NF kappa B pathway.</t>
  </si>
  <si>
    <t>Brumovsky, Pablo/AAH-6903-2019; Ramos, Alberto/AAR-7796-2020; Villar, Marcelo/H-6596-2017</t>
  </si>
  <si>
    <t>Constandil, Luis/0000-0002-2504-0119; Potilinski, Constanza/0000-0003-4116-5875; Bayo Fina, Juan Miguel/0000-0003-3999-0841; Ramos, Alberto Javier/0000-0003-4009-6337; Coronel, Maria Florencia/0000-0001-7037-5105</t>
  </si>
  <si>
    <t>10.1007/s11481-021-09983-6</t>
  </si>
  <si>
    <t>WOS:000612297100001</t>
  </si>
  <si>
    <t>Cooling in the shade of warped transition disks (vol 486, pg L58, 2019)</t>
  </si>
  <si>
    <t>Pérez, Sebastián/AAS-5857-2020; Casassus, Simon/I-8609-2016; Marino, Sebastian/AFP-2400-2022; Osses, Axel/AAG-4825-2019</t>
  </si>
  <si>
    <t>Casassus, Simon/0000-0002-0433-9840; Marino, Sebastian/0000-0002-5352-2924; Perez, Sebastian/0000-0003-2953-755X</t>
  </si>
  <si>
    <t>L17</t>
  </si>
  <si>
    <t>10.1093/mnrasl/slz159</t>
  </si>
  <si>
    <t>WOS:000525753500004</t>
  </si>
  <si>
    <t>Loop Type Subcontinua of Positive Solutions for Indefinite Concave-Convex Problems</t>
  </si>
  <si>
    <t>We establish the existence of loop type subcontinua of nonnegative solutions for a class of concave-convex type elliptic equations with indefinite weights, under Dirichlet and Neumann boundary conditions. Our approach depends on local and global bifurcation analysis from the zero solution in a nonregular setting, since the nonlinearities considered are not differentiable at zero, so that the standard bifurcation theory does not apply. To overcome this difficulty, we combine a regularization scheme with a priori bounds, and Whyburn's topological method. Furthermore, via a continuity argument we prove a positivity property for subcontinua of nonnegative solutions. These results are based on a positivity theorem for the associated concave problem proved by us, and extend previous results established in the powerlike case.</t>
  </si>
  <si>
    <t>Ramos Quoirin, Humberto/0000-0001-6252-2515</t>
  </si>
  <si>
    <t>10.1515/ans-2018-2027</t>
  </si>
  <si>
    <t>WOS:000465562200008</t>
  </si>
  <si>
    <t>Canales, JP; Arce, R; Madariaga, C; García, M; Canales, C; Vélez, J; Arévalo, MC; Aguirre, MJ; Romero, J</t>
  </si>
  <si>
    <t>Canales, J. P.; Arce, R.; Madariaga, C.; Garcia, M.; Canales, C.; Velez, J.; Arevalo, M. C.; Aguirre, M. J.; Romero, J.</t>
  </si>
  <si>
    <t>Extraction of sulfite for wastewater treatment and for analytical determination</t>
  </si>
  <si>
    <t>DESALINATION AND WATER TREATMENT</t>
  </si>
  <si>
    <t>Due to the international demand for fresh agricultural products, especially fruits, which result in long travel times from the production centers to the final markets, the preservation of these products becomes very important. Within the most common conservation methods, sulfite stands out. However, to preserve the ecosystem and the environment, it is the great interest to remove this substance from residual waters of preservation treatments and to prevent the contamination of layers of water and soils. Due to the great importance of the fruit industry in our country is necessary to develop techniques that allow treating this kind of wastewater to avoid affecting environmental and human conditions. For that reason, in this work we describe a system specially designed to carry out tests of absorption of sulfite by membranes, using a Celgard Liquice (R) module, which puts in contact indirect two solutions, a feeding solution with the sulfite to extract and a solution NaOH receptor. The sulfite transferred from the feeding solution to the NaOH solution in the form of sulfur dioxide reacts with NaOH. Later, sulfite can be sensed via electrochemistry using modified reticular carbon electrodes. The best extraction results were obtained for a sodium hydroxide of 0.2 mol/dm(3) and a concentration of 1,500 mg/dm(3) sodium sulfite for the feeding, obtaining about 78% extraction, at a constant flow rate of 0.0083 dm(3)/s. By varying the flow rates keeping both concentrations constant, in the levels earlier mentioned, an increase in the extraction was observed from the flow of 0.0042 dm(3)/s to 0.0083 dm(3)/s, but no appreciable difference between the maximum of 0.0083 dm(3)/s and 0.0125 dm(3)/s was achieved. In addition, these results can lead to a marketable prototype that includes the separation and removal of sulfite from wastewater from the fruit and agricultural industry quickly and effectively.</t>
  </si>
  <si>
    <t>Canales Peñailillo, Juan Pablo/HSH-0731-2023; Arévalo, M./AAY-1729-2020; Romero, Julio/I-6705-2013; Aguirre, Maria/A-3935-2013; Arce, Roxana/V-8140-2019</t>
  </si>
  <si>
    <t>, Roxana/0000-0002-7529-8011; Arevalo, M. Carmen/0000-0003-4629-1643; Romero, Julio/0000-0002-1229-1592; ARCE, ROXANA/0000-0002-1387-9232; Canales, Camila/0000-0002-4966-3601</t>
  </si>
  <si>
    <t>1944-3994</t>
  </si>
  <si>
    <t>1944-3986</t>
  </si>
  <si>
    <t>10.5004/dwt.2019.23613</t>
  </si>
  <si>
    <t>WOS:000462344600032</t>
  </si>
  <si>
    <t>Appiah-Hagan, E; Chen, YW; Yu, X; Arteca, GA; Pizarro, J; Mercier, L; Wei, QL; Belzile, N</t>
  </si>
  <si>
    <t>Appiah-Hagan, Emmanuel; Chen, Yu-Wei; Yu, Xiao; Arteca, Gustavo A.; Pizarro, Jaime; Mercier, Louis; Wei, Qiliang; Belzile, Nelson</t>
  </si>
  <si>
    <t>Simple and energy-saving modifications of coal fly ash to remove simultaneously six toxic metal cations from mine effluents</t>
  </si>
  <si>
    <t>Modifications of original coal fly ash at low and elevated temperatures with NaOH can all generate improvement in surface area, pore volume and cation exchange capacity. However, modifications at room temperature of fly ash and with a 7-day freezing/thaw cycle proved to be much more energy-effective and of enhanced applicability, compared to high temperature treatments. The contact time of fly ash in the NaOH liquor remarkably influenced the outcome of fly ash modification at room temperature. Surface area increased by 64- to 70-fold for room temperature and freezing/thaw forms, respectively, in comparison to original. Both treatments also greatly enhanced porosity and cation exchange capacities. Solution pH of systems was constantly monitored and adjusted to avoid any possible formation of metallic hydroxides. Adsorption kinetics and isotherms of Cu2+, Pb2+, Ni2+, Cr3+, Co2+ and Cd2+ were studied in synthetic combined solution and tailing pond water media. Both modified forms demonstrated their effectiveness in removing metal ions from both media. Adsorption kinetics fitted well with pseudo-second order model; adsorption isotherms fitted acceptably with both Langmuir and Freundlich models. Thermodynamic studies of Ni2+ and Cu2+ with the freezing/thaw form in the synthetic solution revealed that the adsorption process was favorable, although endothermic with a decrease in entropy. Column studies were also done to complement the batch mode approach, and showed a strong influence of flow rate and pH. The studies showed that low temperature NaOH treatment of fly ash is not only energy saving and economic, but also facilitates large-scale industrial applications.</t>
  </si>
  <si>
    <t>Wei, Qiliang/HJZ-5354-2023; Belzile, Nelson/J-4607-2019</t>
  </si>
  <si>
    <t>10.1016/j.jece.2018.08.048</t>
  </si>
  <si>
    <t>WOS:000444046700178</t>
  </si>
  <si>
    <t>Chen, YW; Yu, X; Appiah-Hagan, E; Pizarro, J; Arteca, GA; Mercier, L; Wei, QL; Belzile, N</t>
  </si>
  <si>
    <t>Chen, Yu-Wei; Yu, Xiao; Appiah-Hagan, Emmanuel; Pizarro, Jaime; Arteca, Gustavo A.; Mercier, Louis; Wei, Qiliang; Belzile, Nelson</t>
  </si>
  <si>
    <t>Utilization of coal fly ash and drinking water sludge to remove anionic As (V), Cr(VI), Mo(VI) and Se(IV) from mine waters</t>
  </si>
  <si>
    <t>This study explores the potential of solid waste as effective and low-cost adsorbing materials to clean waters polluted by the mining sector. The selected adsorbents for our studies were drinking water sludge (SLG), coal fly ash (TB) and modified fly ash (TBFZ3). The adsorbates were the toxic oxyanions of As(V), Cr(VI), Mo(VI) and Se (IV). The studies were carried on in synthesized cocktail solutions (SCS) and real tailing pond waters (TPW). The investigation revealed that both TB and SLG contain very low non-leachable impurities, thus are suitable for most waste mining water treatment. The low temperature caustic liquor treatment of fly ash (TBFZ3) greatly improved the adsorption properties of original TB and made it even cleaner. The modification technique is simple and economic compared to other processes. The solution pH influences greatly and differently the adsorption process, depending on the nature of adsorbents and adsorbates and it must be monitored and controlled carefully. Excellent adsorption capacities were observed in both SCS and TPW matrices. The adsorption kinetics and adsorption capacity of the studied materials were remarkably enhanced in the high electrolyte containing TPW. The adsorption generally fits well the Langmuir and Freundlich isotherms.</t>
  </si>
  <si>
    <t>10.1016/j.jece.2018.03.043</t>
  </si>
  <si>
    <t>WOS:000436927400092</t>
  </si>
  <si>
    <t>The glitch activity of neutron stars</t>
  </si>
  <si>
    <t>We present a statistical study of the glitch population and the behaviour of the glitch activity across the known population of neutron stars. An unbiased glitch database was put together based on systematic searches of radio timing data of 898 rotation-powered pulsars obtained with the Jodrell Bank and Parkes observatories. Glitches identified in similar searches of 5 magnetars were also included. The database contains 384 glitches found in the rotation of 141 of these neutron stars. We confirm that the glitch size distribution is at least bimodal, with one sharp peak at approximately 20 mu Hz, which we call large glitches, and a broader distribution of smaller glitches. We also explored how the glitch activity (nu) over dot(g), defined as the mean frequency increment per unit of time due to glitches, correlates with the spin frequency nu , spin-down rate vertical bar(nu) over dot vertical bar, and various combinations of these, such as energy loss rate, magnetic field, and spin-down age. It is found that the activity is insensitive to the magnetic field and that it correlates strongly with the energy loss rate, though magnetars deviate from the trend defined by the rotation-powered pulsars. However, we find that a constant ratio. (nu) over dot(g)/vertical bar(nu) over dot vertical bar = 0.010 +/- 0.001 is consistent with the behaviour of all rotation-powered pulsars and magnetars. This relation is dominated by large glitches, which occur at a rate directly proportional to vertical bar(nu) over dot vertical bar,. For low vertical bar(nu) over dot vertical bar, only small glitches have been detected, making the inferred glitch activity formally lower than that predicted by the constant ratio, in many cases zero. However, we can attribute this to the low predicted rate for large glitches, together with the insufficient observing time, which makes it unlikely to detect any large glitches in this range. Taking this into consideration, we show that the behaviour of each rotation-powered pulsar and magnetar is statistically consistent with the above relationship, including those objects where no glitches have been detected so far. The only exception are the rotation-powered pulsars with the highest values of vertical bar(nu) over dot vertical bar, such as the Crab pulsar and PSR B0540 69, which exhibit a much smaller glitch activity, intrinsically different from each other and from the rest of the population. The activity due to small glitches also shows an increasing trend with vertical bar(nu) over dot vertical bar , but this relation is biased by selection effects.</t>
  </si>
  <si>
    <t>Rowlinson, Antonia/M-7054-2018; Espinoza, Cristobal/U-4428-2017; Reisenegger, Andreas/ABF-8997-2020</t>
  </si>
  <si>
    <t>Espinoza, Cristobal/0000-0003-2481-2348; Shaw, Benjamin/0000-0002-9581-2452; Reisenegger, Andreas/0000-0003-4059-6796; Stappers, Benjamin/0000-0001-9242-7041; Fuentes, Jose Rafael/0000-0003-2124-9764</t>
  </si>
  <si>
    <t>A131</t>
  </si>
  <si>
    <t>10.1051/0004-6361/201731519</t>
  </si>
  <si>
    <t>WOS:000418459900002</t>
  </si>
  <si>
    <t>Kaufmann, U.; Ramos Quoirin, H.; Umezu, K.</t>
  </si>
  <si>
    <t>Positivity results for indefinite sublinear elliptic problems via a continuity argument</t>
  </si>
  <si>
    <t>We establish a positivity property for a class of semilinear elliptic problems involving indefinite sublinear nonlinearities. Namely, we show that any nontrivial nonnegative solution is positive for a class of problems the strong maximum principle does not apply to. Our approach is based on a continuity argument combined with variational techniques, the sub and supersolutions method and some a priori bounds. Both Dirichlet and Neumann homogeneous boundary conditions are considered. As a byproduct, we deduce some existence and uniqueness results. Finally, as an application, we derive some positivity results for indefinite concave-convex type problems. (C) 2017 Elsevier Inc. All rights reserved.</t>
  </si>
  <si>
    <t>10.1016/j.jde.2017.05.021</t>
  </si>
  <si>
    <t>WOS:000407665900003</t>
  </si>
  <si>
    <t>Cruces, E; Rautenberger, R; Rojas-Lillo, Y; Cubillos, VM; Arancibia-Miranda, N; Ramírez-Kushel, E; Gómez, I</t>
  </si>
  <si>
    <t>Cruces, Edgardo; Rautenberger, Ralf; Rojas-Lillo, Yesenia; Mauricio Cubillos, Victor; Arancibia-Miranda, Nicolas; Ramirez-Kushel, Eduardo; Gomez, Ivan</t>
  </si>
  <si>
    <t>Physiological acclimation of Lessonia spicata to diurnal changing PAR and UV radiation: differential regulation among down-regulation of photochemistry, ROS scavenging activity and phlorotannins as major photoprotective mechanisms</t>
  </si>
  <si>
    <t>PHOTOSYNTHESIS RESEARCH</t>
  </si>
  <si>
    <t>Intertidal macroalgae are constantly subjected to high variations in the quality and quantity of incident irradiance that can eventually generate detrimental effect on the photosynthetic apparatus. The success of these organisms to colonize the stressful coastal habitat is mainly associated with the complexity of their morphological structures and the efficiency of the anti-stress mechanisms to minimize the physiological stress. Lessonia spicata (Phaeophyceae), a brown macroalga, that inhabits the intertidal zone in central-southern Chile was studied in regard to their physiological (quantum yield, electron transport rate, pigments) and biochemical (phlorotannins content, antioxidant metabolism, oxidative stress) responses during a daily light cycle under natural solar radiation. Major findings were that F (v)/F (m), photosynthetic parameters (ETRmax, alpha, E (k)) and pigments in L. spicata showed an inverse relationship to the diurnal changes in solar radiation. Phlorotannins levels and antioxidant activity showed their highest values in treatment that included UV radiation. There was an increase in SOD and APX in relation at light stress, with a peak in activity between 5.2 and 10.1 W m(-2) of biologically effective dose. The increase in peroxidative damage was proportional to light dose. These results indicated that different light doses can trigger a series of complementary mechanisms of acclimation in L. spicata based on: (i) down-regulation of photochemistry activity and decrease in concentration of photosynthetic pigments; (ii) induction of phenolic compounds with specific UV-screening functions; and (iii) reactive oxygen species (ROS) scavenging activity via complementary repair of the oxidative damage through increased activity of antioxidant enzymes and potentially increased amounts of phenolic compounds.</t>
  </si>
  <si>
    <t>Arancibia-Miranda, Nicolás/I-6743-2013; Rautenberger, Ralf/AAD-2659-2020</t>
  </si>
  <si>
    <t>Gomez, Ivan/0000-0001-8381-3792; Rautenberger, Ralf/0000-0002-1339-2838; Cruces, Edgardo/0000-0003-4537-552X</t>
  </si>
  <si>
    <t>0166-8595</t>
  </si>
  <si>
    <t>1573-5079</t>
  </si>
  <si>
    <t>10.1007/s11120-016-0304-4</t>
  </si>
  <si>
    <t>WOS:000392529600002</t>
  </si>
  <si>
    <t>Neto, HJC; Wandalsen, GF; Dela Bianca, AC; Aranda, C; Rosário, NA; Solé, D; Mallol, J; García-Marcos, L</t>
  </si>
  <si>
    <t>Chong Neto, H. J.; Wandalsen, G. F.; Dela Bianca, A. C.; Aranda, C.; Rosario, N. A.; Sole, D.; Mallol, J.; Garcia-Marcos, L.</t>
  </si>
  <si>
    <t>Trends in prevalence and severity of recurrent wheezing in infants from Latin America</t>
  </si>
  <si>
    <t>ALLERGY</t>
  </si>
  <si>
    <t>Congress of the European-Academy-of-Allergy-and-Clinical-Immunology</t>
  </si>
  <si>
    <t>JUN 06-10, 2015</t>
  </si>
  <si>
    <t>Barcelona, SPAIN</t>
  </si>
  <si>
    <t>European Acad Allergy &amp; Clin Immunol</t>
  </si>
  <si>
    <t>Solé, Dirceu/JAO-0340-2023; Wandalsen, Gustavo/D-8412-2013</t>
  </si>
  <si>
    <t>0105-4538</t>
  </si>
  <si>
    <t>1398-9995</t>
  </si>
  <si>
    <t>WOS:000369950702354</t>
  </si>
  <si>
    <t>Monsalve, A; Artigas, A; Celentano, D; Guzmán, A; Colás, R; Houbaert, Y</t>
  </si>
  <si>
    <t>Monsalve, A.; Artigas, A.; Celentano, D.; Guzman, A.; Colas, R.; Houbaert, Y.</t>
  </si>
  <si>
    <t>Determination of the hot rolling stress by means of tensile tests</t>
  </si>
  <si>
    <t>REVISTA DE METALURGIA</t>
  </si>
  <si>
    <t>Prediction of mechanical behavior of hot rolled steels is an important aspect during industrial processing. The rolling stress needed to the process were estimated using three methods, the first of which is related to the Sellars's model that takes into account the friction coefficient and the yield stress. The second method estimates the rolling stress as the average stress obtained during the tensile tests. The third method, estimates the rolling stress from the data of power consumed by the rolling equipment. This methodology was applied in this study to a carbon steel. The conclusion of the work is that results obtained by Sellars's and consumed power, are coincident. The method based on the average tensile stress predicts stresses lower than those obtained with other two methods.</t>
  </si>
  <si>
    <t>Colas, Rafael/0000-0001-6017-7244</t>
  </si>
  <si>
    <t>0034-8570</t>
  </si>
  <si>
    <t>1988-4222</t>
  </si>
  <si>
    <t>10.3989/revmetalm.1221</t>
  </si>
  <si>
    <t>WOS:000326597100006</t>
  </si>
  <si>
    <t>Villena, G; Kleffmann, J; Kurtenbach, R; Wiesen, P; Lissi, E; Rubio, MA; Croxatto, G; Rappenglück, B</t>
  </si>
  <si>
    <t>Villena, Guillermo; Kleffmann, Joerg; Kurtenbach, Ralf; Wiesen, Peter; Lissi, Eduardo; Rubio, Maria A.; Croxatto, Giovanna; Rappenglueck, Bernhard</t>
  </si>
  <si>
    <t>Vertical gradients of HONO, NOx and O3 in Santiago de Chile</t>
  </si>
  <si>
    <t>ATMOSPHERIC ENVIRONMENT</t>
  </si>
  <si>
    <t>Gradients of HONO, NOx (NO + NO2) and O-3 were measured during an early summer campaign on a high-rise building in downtown Santiago de Chile. Distinct gradients of decreasing concentrations with altitude were observed for HONO and NOx, while O-3 concentrations were found to increase with altitude. From the observed daytime maximum of the HONO/NOx ratio the existence of a strong daytime source of HONO is proposed, thus confirming recent results from another measurement site in downtown Santiago, where a high contribution of HONO to the OH radical initiation sources of &gt;50% was observed. Since the HONO/NOx ratio and its daytime maximum were found to be independent of the altitude, it is concluded that HONO is an important OH radical source in Santiago not only close to the ground surface, but also at higher altitudes of the boundary layer. (C) 2011 Elsevier Ltd. All rights reserved.</t>
  </si>
  <si>
    <t>Bajo, Maria/ABF-6991-2020</t>
  </si>
  <si>
    <t>Rappenglueck, Bernhard/0000-0003-3008-1633; Villena, Guillermo/0000-0002-1867-1879; Croxatto Vega, Giovanna/0000-0002-0701-7994</t>
  </si>
  <si>
    <t>1352-2310</t>
  </si>
  <si>
    <t>1873-2844</t>
  </si>
  <si>
    <t>10.1016/j.atmosenv.2011.01.073</t>
  </si>
  <si>
    <t>WOS:000292679500011</t>
  </si>
  <si>
    <t>Alarcón, E; Edwards, AM; Aspee, A; Moran, FE; Borsarelli, CD; Lissi, EA; Gonzalez-Nilo, D; Poblete, H; Scaiano, JC</t>
  </si>
  <si>
    <t>Alarcon, Emilio; Maria Edwards, Ana; Aspee, Alexis; Moran, Faustino E.; Borsarelli, Claudio D.; Lissi, Eduardo A.; Gonzalez-Nilo, Danilo; Poblete, Horacio; Scaiano, J. C.</t>
  </si>
  <si>
    <t>Photophysics and photochemistry of dyes bound to human serum albumin are determined by the dye localization</t>
  </si>
  <si>
    <t>The photophysics and photochemistry of rose bengal (RB) and methylene blue (MB) bound to human serum albumin (HSA) have been investigated under a variety of experimental conditions. Distribution of the dyes between the external solvent and the protein has been estimated by physical separation and fluorescence measurements. The main localization of protein-bound dye molecules was estimated by the intrinsic fluorescence quenching, displacement of fluorescent probes bound to specific protein sites, and by docking modelling. All the data indicate that, at low occupation numbers, RB binds strongly to the HSA site I, while MB localizes predominantly in the protein binding site II. This different localization explains the observed differences in the dyes' photochemical behaviour. In particular, the environment provided by site I is less polar and considerably less accessible to oxygen. The localization of RB in site I also leads to an efficient quenching of the intrinsic protein fluorescence (ascribed to the nearby Trp residue) and the generation of intra-protein singlet oxygen, whose behaviour is different to that observed in the external solvent or when it is generated by bound MB.</t>
  </si>
  <si>
    <t>Borsarelli, Claudio/O-3525-2019; Poblete, Horacio/J-9781-2012; Alarcon, Emilio/A-7285-2011; Borsarelli, Claudio Dario/I-4216-2012; Poblete, Horacio/E-4974-2012; Gonzalez Nilo, Fernando Danilo/M-5671-2016</t>
  </si>
  <si>
    <t>Borsarelli, Claudio Dario/0000-0003-0120-645X; Poblete, Horacio/0000-0003-2650-3565; Edwards-Mujica, Ana M./0000-0002-4637-1013; Gonzalez Nilo, Fernando Danilo/0000-0001-6857-3575; Scaiano, Juan/0000-0002-4838-7123</t>
  </si>
  <si>
    <t>10.1039/b9pp00091g</t>
  </si>
  <si>
    <t>WOS:000273339100012</t>
  </si>
  <si>
    <t>Pulinets, MS; Riazantseva, MO; Antonova, EE; Kirpichev, IP; Zastenker, GN; Znatkova, SS; Stepanova, MV</t>
  </si>
  <si>
    <t>Semenov, VS</t>
  </si>
  <si>
    <t>Pulinets, M. S.; Riazantseva, M. O.; Antonova, E. E.; Kirpichev, I. P.; Zastenker, G. N.; Znatkova, S. S.; Stepanova, M., V</t>
  </si>
  <si>
    <t>MAGNETOPAUSE PRESSURE BALANCE AT THE SUBSOLAR POINT IN ACCORDANCE WITH DATA OF THEMIS MISSION: EVENT JULY 22, 2007</t>
  </si>
  <si>
    <t>PROCEEDINGS OF THE 8TH INTERNATIONAL CONFERENCE PROBLEMS OF GEOCOSMOS</t>
  </si>
  <si>
    <t>8th International Conference on Problems of Geocosmos</t>
  </si>
  <si>
    <t>SEP 20-24, 2010</t>
  </si>
  <si>
    <t>St Petersburg, RUSSIA</t>
  </si>
  <si>
    <t>Magnetic field and plasma measurements onboard the THEMIS satellites are used to study the plasma pressure balance across the magnetopause July 22, 2007. The main feature of the event is the opposite orientation of the magnetic field in the solar wind and near the subsolar magnetopause. Both plasma flows and magnetic field vary significantly in the magnetosheath. Nevertheless, it has been shown, that despite such great variations and restrictions of the applicability of MHD approximation in case of the noncollisional plasma, the condition of stress balance is fulfilled with comparatively high accuracy. The amplitudes of magnetic field fluctuations in the magnetospheath are compared to the values of magnetic field inside the magnetosphere at high latitudes. It is shown that magnetic pressure in the magnetosheath is the important factor of magnetopause stress balance at high latitudes. The applicability of the concept of the formation of reconnection line at the magnetopause is discussed.</t>
  </si>
  <si>
    <t>Kirpichev, Igor/HHM-2487-2022; Riazantseva, Maria/G-9066-2014; Stepanova, Marina/D-6329-2011; Antonova, Elizaveta/A-2716-2012</t>
  </si>
  <si>
    <t>978-5-9651-0504-5</t>
  </si>
  <si>
    <t>WOS:000394208800041</t>
  </si>
  <si>
    <t>Toro, AA; Araya, CA; Córdova, GJ; Arredondo, CA; Cárdenas, HG; Moreno, RE; Venegas, A; Koenig, CS; Cancino, J; Gonzalez, A; Santos, MJ</t>
  </si>
  <si>
    <t>Toro, Andres A.; Araya, Claudia A.; Cordova, Gonzalo J.; Arredondo, Cristian A.; Cardenas, Hugo G.; Moreno, Regina E.; Venegas, Alejandro; Koenig, Cecilia S.; Cancino, Jorge; Gonzalez, Alfonso; Santos, Manuel J.</t>
  </si>
  <si>
    <t>Pex3p-Dependent Peroxisomal Biogenesis Initiates in the Endoplasmic Reticulum of Human Fibroblasts</t>
  </si>
  <si>
    <t>JOURNAL OF CELLULAR BIOCHEMISTRY</t>
  </si>
  <si>
    <t>The mechanisms of peroxisomal biogenesis remain incompletely understood, specially regarding the role of the endoplasmic reticulum (ER) in human cells, where genetic disorders of peroxisome biogenesis lead to Zellweger syndrome (ZS). The Pex3p peroxisomal membrane protein (PMP) required for early steps of peroxisome biogenesis has been detected in the ER in yeast but not in mammalian cells. Here, we show that Pex3p-GFP expressed in a new ZS cell line (MR), which lacks peroxisomes due to a mutation in the PEX3 gene, localizes first in the ER and subsequently in newly formed peroxisomes. Pex3p bearing an artificial N-glycosylation site shows an electrophoretic shift indicative of ER targeting while en route to preformed peroxisomes in normal fibroblast. A signal peptide that forces its entry into the ER does not eliminate its capability to drive peroxisome biogenesis in ZS cells. Thus, Pex3p is able to drive peroxisome biogenesis from the ER and its ER pathway is not privative of ZS cells. Cross-expression experiments of Pex3p in GM623 cells lacking Pex16p or Pex16p in MR cells lacking Pex3p, showed evidence that Pex3p requires Pex16p for ER location but: is dispensable for the ER location of Pex16p. These results indicate that Pex3p follows the ER-to-peroxisomal route in mammalian cells and provides new clues to understand its function. J. Cell. Biochem. 107: 10831096, 2009. (C) 2009 Wiley-Liss, Inc.</t>
  </si>
  <si>
    <t>DIAZ-TORO, ANDRES/MTA-9296-2025; Cordova, Gonzalo/LZH-5899-2025</t>
  </si>
  <si>
    <t>Gonzalez, Alfonso/0000-0002-6139-4299; Cancino, Jorge/0000-0002-8273-159X; Cordova, Gonzalo/0000-0002-9585-4740</t>
  </si>
  <si>
    <t>0730-2312</t>
  </si>
  <si>
    <t>1097-4644</t>
  </si>
  <si>
    <t>10.1002/jcb.22210</t>
  </si>
  <si>
    <t>WOS:000268826900006</t>
  </si>
  <si>
    <t>Tolosa, JM; Cliflon, VL; Smith, R</t>
  </si>
  <si>
    <t>Tolosa, Jorge M.; Cliflon, Vicki L.; Smith, Roger</t>
  </si>
  <si>
    <t>Corticotrophin Releasing Hormone Modulates the Production of Immunosuppressive Factors FasL, Syncytin and Exosomes by the Human Placenta.</t>
  </si>
  <si>
    <t>REPRODUCTIVE SCIENCES</t>
  </si>
  <si>
    <t>56th Annual Meeting of the Society-for-Gynecologic-Investigation</t>
  </si>
  <si>
    <t>MAR 17-21, 2009</t>
  </si>
  <si>
    <t>Glasgow, SCOTLAND</t>
  </si>
  <si>
    <t>Soc Gynecol Invest</t>
  </si>
  <si>
    <t>1933-7191</t>
  </si>
  <si>
    <t>352A</t>
  </si>
  <si>
    <t>WOS:000263609801440</t>
  </si>
  <si>
    <t>Swearingen, JW; Fuentes, DE; Araya, MA; Plishker, MF; Saavedra, CP; Chasteen, TG; Vásquez, CC</t>
  </si>
  <si>
    <t>Expression of the ubiE gene of Geobacillus stearothermophilus V in Escherichia coli K-12 mediates the evolution of selenium compounds into the headspace of selenite- and selenate-amended cultures</t>
  </si>
  <si>
    <t>APPLIED AND ENVIRONMENTAL MICROBIOLOGY</t>
  </si>
  <si>
    <t>The ubiE gene of Geobacillus stearothermophilus V, with its own promoter, was cloned and introduced into Escherichia coli. The cloned gene complemented the ubiE gene deficiency of E. coli AN70. In addition, the expression of this gene in E. coli JM109 resulted in the evolution of volatile selenium compounds when these cells were grown in selenite- or selenate-amended media. These compounds were dimethyl selenide and dimethyl diselenide.</t>
  </si>
  <si>
    <t>Chasteen, Thomas/B-6601-2009; Fuentes, Derie/GLS-8773-2022</t>
  </si>
  <si>
    <t>0099-2240</t>
  </si>
  <si>
    <t>1098-5336</t>
  </si>
  <si>
    <t>10.1128/AEM.72.1.963-967.2006</t>
  </si>
  <si>
    <t>WOS:000234662800127</t>
  </si>
  <si>
    <t>Andrade, LHC; Ardila, DR; Barbosa, LB; Andreeta, JP; Li, MS; Brenier, A; Guyot, Y; Boulon, G</t>
  </si>
  <si>
    <t>Spectroscopic study of floating zone technique-grown Nd3+-doped CaMoO4</t>
  </si>
  <si>
    <t>EUROPEAN PHYSICAL JOURNAL-APPLIED PHYSICS</t>
  </si>
  <si>
    <t>Optical spectroscopy studies of Nd3+-doped scheelite calcium molybdate (CaMoO4) single crystal grown by a. oating zone-like technique was performed using Judd-Ofelt analysis, besides luminescence data and lifetime measurements in the visible and near infrared domains. The excited state absorption in cross section units of this material was measured by two different methods for all expected infrared emission. By using calculated intensity parameters Omega(t) (t = 2, 4, 6), it were determined branching ratios, emission cross- sections, and lifetimes for all related transitions. The observed single excited state absorption calibrated in absorption cross-section units was found too small to disturb the laser efficiency in the 1030 - 1100 nm spectral range. A comparison of main spectroscopic parameters of this material with those of other Nd3+-doped crystals is presented.</t>
  </si>
  <si>
    <t>Andrade, Luis/AAS-4839-2020; Ardila, D./Q-2557-2015; Guyot, Yannick/B-5847-2014; Andrade, Luis/C-3157-2013; Siu Li, Maximo/I-5757-2012</t>
  </si>
  <si>
    <t>Andrade, Luis/0000-0001-7442-2554; Siu Li, Maximo/0000-0001-7277-4126; Guyot, Yannick/0000-0001-7802-8167; Brenier, Alain/0000-0002-3283-6043</t>
  </si>
  <si>
    <t>1286-0042</t>
  </si>
  <si>
    <t>1286-0050</t>
  </si>
  <si>
    <t>10.1051/epjap:2004177</t>
  </si>
  <si>
    <t>WOS:000226465000008</t>
  </si>
  <si>
    <t>Urzúa, A; Torres, R; Andrade, L; Delle Monache, G; Delle Monache, F; Briansó, JL; Sanchez-Ferrando, F; Parella, T</t>
  </si>
  <si>
    <t>Benzodihydrofurans in the resinous exudate from Diplostephium cinereum</t>
  </si>
  <si>
    <t>Two new benzodihydrofurans have been isolated from the resinous exudate of Diplostephium cinereum. Their structures were elucidated by high-resolution spectroscopic methods as 13-(2-methylpropanoyloxy)toxol (2) and 13-[(R)-3-hydroxy-3-phenylpropanoyloxy]toxol (3).</t>
  </si>
  <si>
    <t>Coll, Teodor/A-5371-2008</t>
  </si>
  <si>
    <t>Urzua, Alejandro/0000-0003-2638-0921; Parella, Teodor/0000-0002-1914-2709</t>
  </si>
  <si>
    <t>WOS:000168175900012</t>
  </si>
  <si>
    <t>Garmulewicz, A; Sabin, N; Reed-Tsochas, F</t>
  </si>
  <si>
    <t>Garmulewicz, Alysia; Sabin, Nicholas; Reed-Tsochas, Felix</t>
  </si>
  <si>
    <t>Unlocking innovation: the dynamics of user engagement in an open-source 3D printer community</t>
  </si>
  <si>
    <t>User innovation lies at the core of a growing body of research, with a predominant focus on how individual user attributes can be associated with observed contributions to innovation. However, framing user innovation in terms of individual attributes risks neglecting important changes in behavior at the individual and community level over time. Here, our focus is on how the time that individual users spend in that community relates to innovation outcomes. We study innovation in a firm-hosted online user community for a 3D printer company, marked by their commitment to open-source hardware. We analyze a unique longitudinal dataset of 38,277 observations recording user posts to an open-access user forum from October 2011 to March 2015. We find that time spent in a user community is positively associated with contributions to innovation, as users migrate from identifying problems and needs, to contributing innovation-related modifications and hacks. Our finding emphasizes the value of user retention in open-source communities as our analysis shows that typical users can add value to firms' innovation activities over time. Our focus on open-hardware complements many existing studies on open-source software and advances our understanding of open innovation more generally.</t>
  </si>
  <si>
    <t>Garmulewicz, Alysia/HTS-8792-2023; ReedTsochas, Felix/KHW-1602-2024; Sabin, Nicholas/KCK-3707-2024</t>
  </si>
  <si>
    <t>e0321963</t>
  </si>
  <si>
    <t>10.1371/journal.pone.0321963</t>
  </si>
  <si>
    <t>WOS:001469834000007</t>
  </si>
  <si>
    <t>Flores, A; Díaz-Ramírez, C; Palacios-Pino, JL; Pinheiro-Fernandes, AC; Pizarro-Quevedo, T; Rodríguez-Osiac, L; Sáez-Tonacca, L</t>
  </si>
  <si>
    <t>Flores, Andrea; Diaz-Ramirez, Carlos; Palacios-Pino, Jose Luis; Pinheiro-Fernandes, Anna Christina; Pizarro-Quevedo, Tito; Rodriguez-Osiac, Lorena; Saez-Tonacca, Luis</t>
  </si>
  <si>
    <t>Healthy eating limitations: a qualitative analysis of emerging semantics in school communities of Ciudad Sur</t>
  </si>
  <si>
    <t>Literature has emphasized on food environments centrality in food choices and nutritional status. Objective: identify social perceptions of fathers, mothers and guardians, professionals from educational establishments, municipal officials, and stallholders belonging to the southern area of Santiago de Chile, regarding limitations of healthy diet implementation on school environments. Method: six focus groups were carried out grouping 50 key actors linked to educational establishments using a non -probabilistic sample. A content analysis was applied through thematic coding technique seeking to reveal emerging semantic universes. Results: Nine barriers, or semantics, were identified characterizing limitations to healthy eating habits in school environments: family, school kiosks, leaving school establishments, taste, socioeconomic determinants, public policy, lack of knowledge, publicity, and availability of products without seals. Conclusions: limitations associated with domestic food environment have a significantly high representation (47,9%) and contain an individualized responsibility feature. This explanatory culture is opposed to scientific and academic evidence regarding the functioning of eating behavior, and the centrality of food environments facilitating or hindering healthy food consumption.</t>
  </si>
  <si>
    <t>Osiac, Lorena/AIE-8467-2022</t>
  </si>
  <si>
    <t>PINHEIRO FERNANDES, ANNA CHRISTINA/0000-0002-5188-2619</t>
  </si>
  <si>
    <t>10.4067/s0717-75182024000100043</t>
  </si>
  <si>
    <t>WOS:001197737100003</t>
  </si>
  <si>
    <t>Ahn, W; Triana, JF; Recabal, F; Herrera, F; Simpkins, BS</t>
  </si>
  <si>
    <t>Ahn, Wonmi; Triana, Johan F.; Recabal, Felipe; Herrera, Felipe; Simpkins, Blake S.</t>
  </si>
  <si>
    <t>Modification of ground-state chemical reactivity via light-matter coherence in infrared cavities</t>
  </si>
  <si>
    <t>Reaction-rate modifications for chemical processes due to strong coupling between reactant molecular vibrations and the cavity vacuum have been reported; however, no currently accepted mechanisms explain these observations. In this work, reaction-rate constants were extracted from evolving cavity transmission spectra, revealing resonant suppression of the intracavity reaction rate for alcoholysis of phenyl isocyanate with cyclohexanol. We observed up to an 80% suppression of the rate by tuning cavity modes to be resonant with the reactant isocyanate (NCO) stretch, the product carbonyl (CO) stretch, and cooperative reactant-solvent modes (CH). These results were interpreted using an open quantum system model that predicted resonant modifications of the vibrational distribution of reactants from canonical statistics as a result of light-matter quantum coherences, suggesting links to explore between chemistry and quantum science.</t>
  </si>
  <si>
    <t>Herrera, Felipe/KHD-8453-2024; Triana, Johan/HSH-5400-2023; Triana, Johan F./AAU-9985-2021; Ahn, Wonmi/B-7320-2014</t>
  </si>
  <si>
    <t>Simpkins, Blake/0000-0001-7866-6708; Triana, Johan F./0000-0001-9551-3121; Ahn, Wonmi/0000-0002-2596-2295; Recabal, Felipe/0000-0001-9491-1590</t>
  </si>
  <si>
    <t>1095-9203</t>
  </si>
  <si>
    <t>JUN 16</t>
  </si>
  <si>
    <t>10.1126/science.ade7147</t>
  </si>
  <si>
    <t>WOS:001010846100006</t>
  </si>
  <si>
    <t>Márquez, P; Vidal, CP; Pereira, A; Vivas, L; Palma, JL; de Dicastillo, CL; Escrig, J</t>
  </si>
  <si>
    <t>Marquez, Paulina; Vidal, Cristian Patino; Pereira, Alejandro; Vivas, Leonardo; Palma, Juan Luis; de Dicastillo, Carol Lopez; Escrig, Juan</t>
  </si>
  <si>
    <t>Hollow Iron Oxide Nanospheres Obtained through a Combination of Atomic Layer Deposition and Electrospraying Technologies</t>
  </si>
  <si>
    <t>In the present study, we report on the successful synthesis of hollow iron oxide nanospheres. The hollow Fe3O4 nanospheres were synthesized following a four-step procedure: electrospraying spherical PVP particles, coating these particles with alumina (Al2O3) and hematite (Fe2O3) through atomic layer deposition and, finally, a thermal reduction process to degrade the polymer (PVP) and convert hematite (Fe2O3) into magnetite (Fe3O4). A structural analysis using X-ray diffraction (XRD) confirmed the effectiveness of the thermal reduction process. A morphological analysis confirmed that the four-step procedure allowed for the obtainment of hollow iron oxide nanospheres, even though the reduction process caused a contraction in the diameter of the particles of almost 300 nm, but did not affect the thickness of the walls of the hollow spheres that remained at approximately 15 nm. Magnetic properties of the hollow iron oxide nanospheres enable their use in applications where the agglomeration of magnetic nanostructures in liquid media is commonly not allowed, such as in drug encapsulation and delivery.</t>
  </si>
  <si>
    <t>Vivas, Leonardo/S-1584-2019; Patiño Vidal, Cristian Javier/JDM-7961-2023; Palma, Juan/IAP-4554-2023; Pereira, Alejandro/X-7172-2018; Lopez-de-Dicastillo, Carol/C-6347-2019; Escrig, Juan/N-4304-2015</t>
  </si>
  <si>
    <t>Vivas, Leonardo/0000-0001-5044-9680; Lopez-de-Dicastillo, Carol/0000-0003-0067-9765; Escrig, Juan/0000-0002-3958-8185; Marquez, Paulina/0000-0002-8020-6273; Palma, JuanLuis/0000-0003-2068-174X; Pereira Abarca, Alejandro/0000-0002-4473-0852; Patino Vidal, Cristian Javier/0000-0002-5633-6908</t>
  </si>
  <si>
    <t>10.3390/nano12183180</t>
  </si>
  <si>
    <t>WOS:000857029200001</t>
  </si>
  <si>
    <t>Quilaqueo, M; Seriche, G; Barros, L; Gonzalez, C; Romero, J; Ruby-Figueroa, R; Santoro, S; Curcio, E; Estay, H</t>
  </si>
  <si>
    <t>Quilaqueo, Michelle; Seriche, Gabriel; Barros, Lorena; Gonzalez, Carol; Romero, Julio; Ruby-Figueroa, Rene; Santoro, Sergio; Curcio, Efrem; Estay, Humberto</t>
  </si>
  <si>
    <t>Water recovery assessment from hypersaline lithium-rich brines using Membrane Distillation-Crystallization</t>
  </si>
  <si>
    <t>DESALINATION</t>
  </si>
  <si>
    <t>The current lithium extraction from hypersaline salt-lake brines is causing concerns, mainly due to the evapo-ration and loss of around 90 % of the water contained in the brines, tensioning the relationship between com-munities and industrial companies located in zones with a severe water scarcity. This study assesses the water recovery from synthetic hypersaline brines -mimicking the contents variability of Na, K, and Mg -using a Membrane Distillation-Crystallization process. An evaluation of the operational parameters of the process, such as feed temperature, flowrate and water activity was carried-out using a Response Surface Methodology. Final validation was performed to assess the process performance by comparing a real brine from Maricunga salt-lake (Chile) and a synthetic brine. An average flux of around 3.5 kg/m2 h at 60 degrees C brine feed temperature was ob-tained for real and synthetic brines, achieving a high quality recovered freshwater (electrical conductivity &lt;40 mu S/cm) and low contents of ions.</t>
  </si>
  <si>
    <t>Romero, Julio/I-6705-2013; Santoro, Sergio/AAL-9668-2020; Estay, Humberto/I-3499-2017</t>
  </si>
  <si>
    <t>Romero, Julio/0000-0002-1229-1592; Estay, Humberto/0000-0001-8518-7131</t>
  </si>
  <si>
    <t>0011-9164</t>
  </si>
  <si>
    <t>1873-4464</t>
  </si>
  <si>
    <t>10.1016/j.desal.2022.115887</t>
  </si>
  <si>
    <t>WOS:000817823500003</t>
  </si>
  <si>
    <t>Saavedra-Olavarría, J; Hermosilla-Ibáñez, P; Almodóvar, I; Pérez, EG</t>
  </si>
  <si>
    <t>Saavedra-Olavarria, Jorge; Hermosilla-Ibanez, Patricio; Almodovar, Iriux; Perez, Edwin G.</t>
  </si>
  <si>
    <t>Fast Heating-Assisted One-Pot Copper-Catalyzed Sulfonylation and Sulfochlorination of Styrenes</t>
  </si>
  <si>
    <t>Here, a strategy for the synthesis under fast-heating conditions of vinyl sulfones and beta-chlorosulfones from styrene derivatives, tosyl chloride (TsCl) as sulfonyl and chlorine source, and CuBr-neocuproine as the catalytic system is reported. The reaction occurs through an atom transfer radical addition (ATRA) mechanism to generate the sulfochlorinated adducts followed by E2 elimination to generate the vinyl sulfones. This methodology allows a wide range of vinyl sulfones and beta-chlorosulfones to be obtained using inexpensive reagents in one and five minutes respectively. These reactions appear as an interesting fast and easy-to-handle alternative to obtain these compounds.</t>
  </si>
  <si>
    <t>Perez, Edwin/KVY-5791-2024; Hermosilla-Ibanez, Patricio/Y-7454-2018</t>
  </si>
  <si>
    <t>Perez, Edwin/0000-0002-3777-6297; Saavedra-Olavarria, Jorge/0000-0002-2536-3065; Hermosilla-Ibanez, Patricio/0000-0002-2272-9690; Almodovar, Iriux/0000-0002-0692-0196</t>
  </si>
  <si>
    <t>AUG 5</t>
  </si>
  <si>
    <t>e202101526</t>
  </si>
  <si>
    <t>10.1002/ejoc.202101526</t>
  </si>
  <si>
    <t>APR 2022</t>
  </si>
  <si>
    <t>WOS:000788183200001</t>
  </si>
  <si>
    <t>Flores, M; Reyes-García, L; Ortiz-Viedma, J; Romero, N; Vilcanqui, Y; Rogel, C; Echeverría, J; Forero-Doria, O</t>
  </si>
  <si>
    <t>Flores, Marcos; Reyes-Garcia, Luis; Ortiz-Viedma, Jaime; Romero, Nalda; Vilcanqui, Yesica; Rogel, Cristian; Echeverria, Javier; Forero-Doria, Oscar</t>
  </si>
  <si>
    <t>Thermal Behavior Improvement of Fortified Commercial Avocado (Persea americana Mill.) Oil with Maqui (Aristotelia chilensis) Leaf Extracts</t>
  </si>
  <si>
    <t>Avocado oil is considered a highly prized food due to its nutritional contribution. On the other hand, Aristotelia chilensis (Molina) Stuntz (Elaeocarpaceae), common name maqui, is an endemic fruit in Chile, well known for its exceptional antioxidant properties. In general, maqui by-products such as leaves are considered as waste. Thus, maqui leaves extracts were used to improve the stability of vegetable oils, particularly avocado oil. Hence, avocado oil was fortified with two extracts (ethyl ether and methanol) obtained of maqui leaves and exposed to 120 degrees C for 386 h in an oven. The results showed a high content of monounsaturated fatty acids (69.46%, mainly oleic acid), followed by polyunsaturated fatty acids (16.41%, mainly linoleic acid) and finally saturated fatty acids (14.13%). The concentration of the total phenolic compounds in the pure oil, ethyl ether and methanol maqui leaves extracts were 45.8, 83.7, and 4100.9 ppm, respectively. In addition, the antioxidant activity was 5091.6 and 19,452.5 mu mol Trolox eq/g for the ethyl ether and methanol extracts, respectively. The secondary degradation compounds showed significant differences between the fortified and non-fortified samples after 144 h and the TG/DTG analysis showed a significant increment of 7 degrees C in the degradation temperature (Tonset) of avocado oil fortified with the methanol extract when compared to the non-fortified oil and fortified oil with ethyl ether extract. After heating for 336 h, fortified oil with methanol extract reached the limit percentages of polar compounds, while pure oil reached it in a shorter time, i.e., 240 h. Based on the results, avocado oil can be protected with natural additives such as extracts obtained from maqui leaves, leading to an increase in its thermo-oxidative stability.</t>
  </si>
  <si>
    <t>Doria, Oscar/ABF-7089-2020; Echeverría, Javier/AAK-3323-2020</t>
  </si>
  <si>
    <t>VILCANQUI CHURA, YESICA LUZ/0000-0001-5333-802X; Echeverria, Javier/0000-0002-1688-968X; Reyes-Garcia, Luis Jesus/0000-0002-7224-3226; Flores, Marcos/0000-0002-2085-5706; Forero Doria, Oscar Javier/0000-0002-6770-5406; Ortiz, Jaime/0000-0002-4176-9065</t>
  </si>
  <si>
    <t>10.3390/antiox10050664</t>
  </si>
  <si>
    <t>WOS:000653376200001</t>
  </si>
  <si>
    <t>Ibarra, A; Fuentealba, JF; Bico, J; Roman, B; Melo, F</t>
  </si>
  <si>
    <t>Ibarra, Alejandro; Fuentealba, Juan-Francisco; Bico, Jose; Roman, Benoit; Melo, Francisco</t>
  </si>
  <si>
    <t>Guided tearing: The ruler test</t>
  </si>
  <si>
    <t>PHYSICAL REVIEW MATERIALS</t>
  </si>
  <si>
    <t>The physical rules governing the tearing of a packaging or of a piece of paper are not completely elucidated despite being common phenomena in daily life. Here, we investigate how the presence of a straight rigid object, a ruler, guides the fracture of a thin sheet within a wide range of pulling directions. In the case of thin isotropic brittle sheets, a simple geometrical analysis shows that fracture follows the direction of a tearing vector, which differs significantly from the pulling direction. In addition to geometry, bending energy or material anisotropy has to be implemented in the case of thicker or anisotropic sheets, to predict the direction of propagation. A generalization of the Wulff-type construction introduced by Takei et al. [Phys. Rev. Lett. 110, 144301 (2013)] accounts successfully for our experimental results.</t>
  </si>
  <si>
    <t>Melo, Francisco/M-3923-2014; Bico, Jose/Q-1614-2015; Roman, Benoit/C-6273-2014; Fuentealba, Juan Francisco/AAL-9339-2020</t>
  </si>
  <si>
    <t>Bico, Jose/0000-0002-3872-1239; Melo, Francisco Esteban/0000-0001-6818-5476; Roman, Benoit/0000-0002-1473-2734; Fuentealba, Juan Francisco/0000-0003-0655-6686; Ibarra, Alejandro/0000-0002-6916-8608</t>
  </si>
  <si>
    <t>2475-9953</t>
  </si>
  <si>
    <t>10.1103/PhysRevMaterials.5.025601</t>
  </si>
  <si>
    <t>WOS:000618146300003</t>
  </si>
  <si>
    <t>Martinez, P; Canals, M; Alvarado, S; Caceres, DD</t>
  </si>
  <si>
    <t>Martinez, Paulina; Canals, Mauricio; Alvarado, Sergio; Caceres, Dante D.</t>
  </si>
  <si>
    <t>Contribution of Anthropogenic Factors and Climate Variables to Human Cystic Echinococcosis Mortality in Chile (2001-2011)</t>
  </si>
  <si>
    <t>VECTOR-BORNE AND ZOONOTIC DISEASES</t>
  </si>
  <si>
    <t>Here we assess the effect of weather and anthropogenic environmental variables, particularly urbanization, on cystic echinococcosis mortality in Chile from 2001 to 2011 using a nonparametric regression model, multivariate adaptive regression splines, and Poisson nonlinear regression models. This study integrated data from various sources on weather and anthropogenic variables. The canine population had the greatest influence on human cystic echinococcosis mortality during the period analyzed. Urbanization among anthropogenic variables and temperature and precipitation among the weather-related variables were the main factors related to cystic echinococcosis deaths. Deaths decreased with urbanization level. Temperature showed a nonlinear impact on mortality, with an optimum value similar to 11 degrees C. Public policies aimed at improving safe management of companion animal populations are crucial in controlling the spread of this disease. Effective animal management strategies would have wide-ranging public health benefits, advance the welfare of companion animals and livestock, and decrease the number of human cystic echinococcosis cases.</t>
  </si>
  <si>
    <t>Díaz, Sergio/JBJ-5804-2023; R., Martínez-Alanis/AAS-6774-2021</t>
  </si>
  <si>
    <t>1530-3667</t>
  </si>
  <si>
    <t>1557-7759</t>
  </si>
  <si>
    <t>10.1089/vbz.2019.2610</t>
  </si>
  <si>
    <t>WOS:000538098400001</t>
  </si>
  <si>
    <t>Calfio, C; Gonzalez, A; Singh, SK; Rojo, LE; Maccioni, RB</t>
  </si>
  <si>
    <t>Calfio, Camila; Gonzalez, Andrea; Singh, Sandeep Kumar; Rojo, Leonel E.; Maccioni, Ricardo B.</t>
  </si>
  <si>
    <t>The Emerging Role of Nutraceuticals and Phytochemicals in the Prevention and Treatment of Alzheimer's Disease</t>
  </si>
  <si>
    <t>One of the major challenges of medical sciences has been finding a reliable compound for the pharmacological treatment of Alzheimer's disease (AD). As most of the drugs directed to a variety of targets have failed in finding a medical solution, natural products from Ayurvedic medicine or nutraceutical compounds emerge as a viable preventive therapeutics' pathway. Considering that AD is a multifactorial disease, nutraceutical compounds offer the advantage of a multitarget approach, tagging different molecular sites in the human brain, as compared with the single-target activity of most of the drugs used for AD treatment. We review in-depth important medicinal plants that have been already investigated for therapeutic uses against AD, focusing on a diversity of pharmacological actions. These targets include inhibition of acetylcholinesterase, 0-amyloid senile plaques, oxidation products, inflammatory pathways, specific brain receptors, etc., and pharmacological actions so diverse as anti-inflammatory, memory enhancement, nootropic effects, glutamate excitotoxicity, anti-depressants, and antioxidants. In addition, we also discuss the activity of nutraceutical compounds and phytopharmaceuticals formulae, mainly directed to tau protein aggregates mechanisms of action. These include compounds such as curcumin, resveratrol, epigallocatechin-3-gallate, morin, delphinidins, quercetin, luteolin, oleocanthal, and meganatural-az and other phytochemicals such as huperzine A, limonoids, azaphilones, and aged garlic extract. Finally, we revise the nutraceutical formulae BrainUp-10 composed of Andean shilajit and B-complex vitamins, with memory enhancement activity and the control of neuropsychiatric distress in AD patients. This integrated view on nutraceutical opens a new pathway for future investigations and clinical trials that are likely to render some results based on medical evidence.</t>
  </si>
  <si>
    <t>Maccioni, Ricardo/ABA-9608-2020; Gonzalez, Andrea/HDM-9987-2022; Singh, Dr. Sandeep/D-6544-2013</t>
  </si>
  <si>
    <t>Calfio, Camila/0000-0002-8220-9849; Singh, Sandeep Kumar/0000-0002-0022-6240; Rojo, Leonel/0000-0002-0188-2266</t>
  </si>
  <si>
    <t>10.3233/JAD-200443</t>
  </si>
  <si>
    <t>WOS:000568816600003</t>
  </si>
  <si>
    <t>Faúndez, C; Pérez, R; Ravanal, MC; Eyzaguirre, J</t>
  </si>
  <si>
    <t>Faundez, Carolina; Perez, Rodrigo; Cristina Ravanal, Maria; Eyzaguirre, Jaime</t>
  </si>
  <si>
    <t>Penicillium purpurogenum produces a novel, acidic, GH3 beta-xylosidase: Heterologous expression and characterization of the enzyme</t>
  </si>
  <si>
    <t>CARBOHYDRATE RESEARCH</t>
  </si>
  <si>
    <t>Xylan, a component of plant cell walls, is composed of a backbone of beta-1,4-linked xylopyranosyl units with a number of substituents. The complete degradation of xylan requires the action of several enzymes, among them beta-xylosidase. The fungus Penicillium purpurogenum secretes a number of enzymes participating in the degradation of xylan. In this study, a beta-xylosidase from this fungus was expressed in Pichia pastoris, and characterized. This enzyme (Xyl2) is a member of glycoside hydrolase family 3; it consists of a sequence of 792 residues including a signal peptide of 20 residues, with a theoretical molecular mass for the mature protein of 84.2 KDa and an isoelectric point of 5.07. The highest identity with a characterized fungal enzyme, is with a beta-xylosidase from Aspergillus oryzae (70%). The optimal activity of Xyl2 is found at pH 2.0 and 28 degrees C. The enzyme is most stable at pH 2.0 and conserves 40% of activity at 42 degrees C (after 1h incubation). The kinetic parameters for p-nitrophenyl-beta-D-xylopyranoside are: K-M 0.53 mM, kcat 1*10(7) s(-1) and kcat/K-M 1.9*10(10) M-1 s(-1). The enzyme is about 10% active on p-nitrophenyl-alpha-L-arabinofuranoside. Xyl2 exhibits a high hydrolytic activity on xylooligosaccharides; it liberates xylose from beechwood and birchwood glucuronoxylan and it acts synergistically with endoxylanases in the degradation of xylan. Its low pH optimum make this enzyme particularly useful in potential applications requiring a low pH such as increasing the flavor of wine.</t>
  </si>
  <si>
    <t>Ravanal, Maria/G-8682-2018; Perez, Rodrigo/KLD-9993-2024</t>
  </si>
  <si>
    <t>Ravanal, Maria Cristina/0000-0003-2462-6270</t>
  </si>
  <si>
    <t>0008-6215</t>
  </si>
  <si>
    <t>1873-426X</t>
  </si>
  <si>
    <t>10.1016/j.carres.2019.06.017</t>
  </si>
  <si>
    <t>WOS:000487200000007</t>
  </si>
  <si>
    <t>Fernández, H; Ordoñez, S; Pesenti, H; González, RE; Leoni, M</t>
  </si>
  <si>
    <t>Fernandez, Heydi; Ordonez, Stella; Pesenti, Hector; Espinoza Gonzalez, Rodrigo; Leoni, Matteo</t>
  </si>
  <si>
    <t>Microstructure homogeneity of milled aluminum A356-Si3N4 metal matrix composite powders</t>
  </si>
  <si>
    <t>JOURNAL OF MATERIALS RESEARCH AND TECHNOLOGY-JMR&amp;T</t>
  </si>
  <si>
    <t>A metal matrix composite was produced by co-milling an A356 aluminum alloy powder obtained by rotating electrode off-equilibrium solidification, with different mass fractions (10, 20 and 30%) of Si3N4. The structural and microstructural modifications occurring during the milling were investigated with X-ray powder diffraction (XRPD). Whole powder pattern modeling (WPPM) of the XRPD reveals the inhomogeneous nature of the material in terms of silicon content and allows the crystallite size distribution and dislocation content to be followed in detail for all phases present in the powder. Neither microscopy nor the traditional Scherrer equation can reveal such a detailed picture in this case. Short milling times are sufficient to homogenize the microstructure and to obtain nanoscale crystallites. Long milling times are advantageous to increase the dislocation density that might be favorable for subsequent sintering. (C) 2019 The Authors. Published by Elsevier B.V.</t>
  </si>
  <si>
    <t>Pesenti, Hector/JAN-6139-2023; Leoni, Matteo/A-9634-2010; Espinoza-Gonzalez, Rodrigo/A-2731-2012</t>
  </si>
  <si>
    <t>Espinoza-Gonzalez, Rodrigo/0000-0003-1119-9716; Pesenti, Hector/0000-0002-6225-6840</t>
  </si>
  <si>
    <t>2238-7854</t>
  </si>
  <si>
    <t>2214-0697</t>
  </si>
  <si>
    <t>10.1016/j.jmrt.2019.05.004</t>
  </si>
  <si>
    <t>WOS:000470755800047</t>
  </si>
  <si>
    <t>Felmer, P; Topp, E</t>
  </si>
  <si>
    <t>Felmer, Patricio; Topp, Erwin</t>
  </si>
  <si>
    <t>Continuous solutions and approximating scheme for fractional Dirichlet problems on Lipschitz domains</t>
  </si>
  <si>
    <t>In this paper,we study the fractional Dirichlet problem with the homogeneous exterior data posed on a bounded domain with Lipschitz continuous boundary. Under an extra assumption on the domain, slightly weaker than the exterior ball condition, we are able to prove existence and uniqueness of solutions which are Holder continuous on the boundary. In proving this result, we use appropriate barrier functions obtained by an approximation procedure based on a suitable family of zero-th order problems. This procedure, in turn, allows us to obtain an approximation scheme for the Dirichlet problem through an equicontinuous family of solutions of the approximating zero-th order problems on Omega. Both results are extended to an ample class of fully nonlinear operators.</t>
  </si>
  <si>
    <t>Felmer, Patricio/G-6897-2016</t>
  </si>
  <si>
    <t>10.1017/prm.2018.38</t>
  </si>
  <si>
    <t>WOS:000464008500012</t>
  </si>
  <si>
    <t>Videla, AR; Morales, R; Saint-Jean, T; Gaete, L; Vargas, Y; Miller, JD</t>
  </si>
  <si>
    <t>Videla, A. R.; Morales, R.; Saint-Jean, T.; Gaete, L.; Vargas, Y.; Miller, J. D.</t>
  </si>
  <si>
    <t>Ultrasound treatment on tailings to enhance copper flotation recovery</t>
  </si>
  <si>
    <t>As ore grades fall, the amount of tailings production for the same copper production is expected to rise. Flotation recovery of copper sulfide from the El Teniente plant has deteriorated in recent years, in this regard ultrasound treatment of tailings for enhanced copper recovery was evaluated in laboratory experiments. The impact of the ultrasound wave was examined under different conditions, with the conclusion that improved recovery occurs when ultrasound is applied during conditioning and flotation. The results can be explained by the effect of acoustic cavitation that cleans particle surfaces and minimizes slime coatings, facilitating the action of the reagents. In this way, improvement in copper recovery of up to 3.5% were obtained. (C) 2016 Elsevier Ltd. All rights reserved.</t>
  </si>
  <si>
    <t>; Videla, Alvaro/E-1533-2014</t>
  </si>
  <si>
    <t>Gaete-Garreton, Luis/0000-0002-2234-8783; Videla, Alvaro/0000-0002-6785-5818</t>
  </si>
  <si>
    <t>10.1016/j.mineng.2016.09.019</t>
  </si>
  <si>
    <t>WOS:000387522400010</t>
  </si>
  <si>
    <t>Bronfman, NC; Cisternas, PC; López-Vázquez, E; de la Maza, C; Oyanedel, JC</t>
  </si>
  <si>
    <t>Bronfman, Nicolas C.; Cisternas, Pamela C.; Lopez-Vazquez, Esperanza; de la Maza, Cristobal; Carlos Oyanedel, Juan</t>
  </si>
  <si>
    <t>Understanding Attitudes and Pro-Environmental Behaviors in a Chilean Community</t>
  </si>
  <si>
    <t>Environmental protection and restoration are some of the major challenges faced by our society. To address this problem, it is fundamental to understand pro-environmental behaviors in the population, as well as the factors that determine them. There are, however, very few studies conducted in Latin America that are focused in understanding the environmental behavior of its citizens. The main goal of this research was to study the environmental behaviors of a Chilean community and identify the factors that determine them. To that end, a diverse set of environmental behaviors (power and water conservation, environmentally-aware consumer behavior, biodiversity protection, rational automobile use and ecological waste management) and sociodemographic and attitudinal factorsbased on the VBN modelwere evaluated. Survey data was obtained from a statistically representative sample (N = 1537) in Santiago, Chile. Our results suggest that several participants displayed tendencies that favor more responsible environmental behaviors, with high environmental concern, and demonstrating their ample awareness of the consequences of failing to protect the environment. Nevertheless, the highest average scores of environmental behavior were related to low cost behaviors and those that imposed the fewest behavioral restrictions. In global terms, we concluded that the youngest subjects in the lowest socioeconomic group obtained the lowest scores across the pro-environmental behavior spectrum.</t>
  </si>
  <si>
    <t>Oyanedel, Juan/V-2833-2019; Bronfman, Nicolas/C-5652-2012; Cisternas, Pamela/MSZ-2182-2025</t>
  </si>
  <si>
    <t>Lopez-Vazquez, Esperanza/0000-0002-0401-8414; Oyanedel, Juan/0000-0003-4023-6926; Cisternas, Pamela Carmen/0000-0003-3637-7814; Bronfman, Nicolas/0000-0002-4646-4287</t>
  </si>
  <si>
    <t>10.3390/su71014133</t>
  </si>
  <si>
    <t>WOS:000364328300056</t>
  </si>
  <si>
    <t>Salazar, L; González, P; Armijo, R; Maffud, P; Seguel, D; Acevedo, J; Figueroa, F; Bartolucci, J; Khoury, M</t>
  </si>
  <si>
    <t>Salazar, L.; Gonzalez, P.; Armijo, R.; Maffud, P.; Seguel, D.; Acevedo, J.; Figueroa, F.; Bartolucci, J.; Khoury, M.</t>
  </si>
  <si>
    <t>EVALUATION OF DIFFERENT SOURCES OF BIRTH-TISSUE-DERIVED MESENCHYMAL STEM CELLS FOR THEIR CARDIOVASCULAR REGENERATIVE POTENTIAL</t>
  </si>
  <si>
    <t>CYTOTHERAPY</t>
  </si>
  <si>
    <t>Armijo-Silva, Rafael/HJA-7851-2022; Figueroa, Fernando E./AAO-5228-2020</t>
  </si>
  <si>
    <t>Armijo Silva, Rafael Abelardo/0000-0003-2856-3609; Figueroa, Fernando E./0000-0002-9387-094X</t>
  </si>
  <si>
    <t>1465-3249</t>
  </si>
  <si>
    <t>S32</t>
  </si>
  <si>
    <t>10.1016/j.jcyt.2013.01.121</t>
  </si>
  <si>
    <t>WOS:000316535700104</t>
  </si>
  <si>
    <t>Lizama, C; Miana, PJ; Poblete, F</t>
  </si>
  <si>
    <t>Lizama, Carlos; Miana, Pedro J.; Poblete, Felipe</t>
  </si>
  <si>
    <t>Uniform stability of (a, k)-regularized families</t>
  </si>
  <si>
    <t>ASYMPTOTIC ANALYSIS</t>
  </si>
  <si>
    <t>In this article we study the uniform stability of an (a, k)-regularized family {S(t)}(t &gt;= 0) generated by a closed operator A. We give sufficient conditions, on the scalar kernels a, k and the operator A, to ensure the uniform stability of the family {S(t)}(t &gt;= 0) in Hilbert spaces. Our main result is a generalization of Theorem 1 in [Proc. Amer. Math. Soc. 132(1) (2004), 175-181], concerning the stability of resolvent families, and can be seen as a substantial generalization of the Gearhart-Greiner-Pruss characterization of exponential stability for strongly continuous semigroups.</t>
  </si>
  <si>
    <t>Poblete, Felipe/E-5670-2014; Lizama, Carlos/E-5909-2011</t>
  </si>
  <si>
    <t>Miana Sanz, Pedro Jose/0000-0001-9430-343X; Poblete, Felipe/0009-0004-1219-3839; Lizama, Carlos/0000-0002-9807-1100</t>
  </si>
  <si>
    <t>0921-7134</t>
  </si>
  <si>
    <t>1875-8576</t>
  </si>
  <si>
    <t>10.3233/ASY-131169</t>
  </si>
  <si>
    <t>WOS:000322831900004</t>
  </si>
  <si>
    <t>Vinet, R; Knox, M; Mascher, D; Paredes-Carbajal, C; Martinez, JL</t>
  </si>
  <si>
    <t>Vinet, Raul; Knox, Marcela; Mascher, Dieter; Paredes-Carbajal, Cristina; Martinez, Jose L.</t>
  </si>
  <si>
    <t>Isolated aorta model and its contribution to phytopharmacology</t>
  </si>
  <si>
    <t>Since the early 50's until now the isolated thoracic aorta has been a traditional and productive model for pharmacological studies. This experimental model has been closely related to Dr. Robert Furchgott's research. The discovery of the role of endothelium in the vasorelaxation induced by acetylcholine (ACh), represented a milestone in biological sciences and also had an important consequence on the isolated aorta preparation. In this work, we describe the isolated aorta technique and the improvements made in Dr. Penna's laboratory at Facultad de Medina, Universidad de Chile, as well as the Mexican contribution. Since endothelium plays a key role on vascular relaxation and its dysfunction is one of first indicators (biomarker) of cardiovascular diseases, the isolated aorta model is a valuable preparation. Considering the great amount of phytochemical present in many natural sources, like vegetables, fruits and medinal plants, we expect this model to continue delivering significant contributions to the knowledge in pharmacology and phytopharmacology.</t>
  </si>
  <si>
    <t>WOS:000304712100005</t>
  </si>
  <si>
    <t>Saavedra, J; Fuentealba, C; Yáñez, L; Bravo, M; Quiroz, W; Lukacsy, G; Carot, JM</t>
  </si>
  <si>
    <t>Saavedra, J.; Fuentealba, C.; Yanez, L.; Bravo, M.; Quiroz, W.; Lukacsy, G.; Carot, J. M.</t>
  </si>
  <si>
    <t>Chemometric approaches for the zoning of Pinot Noir wines from the Casablanca valley, Chile</t>
  </si>
  <si>
    <t>The Casablanca valley of Chile is one of the youngest wine producing areas of the country. This valley is of interest to national and international wine producers and consumers because of its unique climate. However, no systematic studies have been performed to evaluate differences in the climate inside the valley. In this work, the chemometric zoning of the Casablanca valley is assessed for the first time using samples of Pinot noir produced in two sub-zones. The samples were chemically characterised by UV-VIS spectroscopy, anthocyanin profiles and mineral element profiles. Data were analysed using the multivariate tools PCA, LDA, SIMCA and PLS-DA. The best results were obtained by combining all chemical data (R-2 &gt; 98%, Q(2) &gt;= 0.5). No differences were detected among the applied statistical procedures. Finally, the results of this preliminary survey yield promising scientific evidence of two existing sub-zones within the Casablanca valley, the Zona Alta and the Zona Baja, in agreement with the previous opinion of oenologists. (C) 2011 Elsevier Ltd. All rights reserved.</t>
  </si>
  <si>
    <t>Carot, Jose Miguel/O-4056-2018; Fuentealba, Claudia/N-2692-2016</t>
  </si>
  <si>
    <t>Carot, Jose Miguel/0000-0001-6524-1639; Bravo, Manuel/0000-0002-4548-6265; Fuentealba, Claudia/0000-0002-9477-9005</t>
  </si>
  <si>
    <t>10.1016/j.foodchem.2011.01.132</t>
  </si>
  <si>
    <t>WOS:000289830000063</t>
  </si>
  <si>
    <t>Montalvo, S; Guerrero, L; Rivera, E; Borja, R; Chica, A; Martín, A</t>
  </si>
  <si>
    <t>Montalvo, S.; Guerrero, L.; Rivera, E.; Borja, R.; Chica, A.; Martin, A.</t>
  </si>
  <si>
    <t>Kinetic evaluation and performance of pilot-scale fed-batch aerated lagoons treating winery wastewaters</t>
  </si>
  <si>
    <t>BIORESOURCE TECHNOLOGY</t>
  </si>
  <si>
    <t>Winery wastewater was treated in two pilot-scale aerated lagoons operating in fed-batch mode. A first lagoon of 27.2 m(3) working volume was gradually filled with wastewater with an average COD content of 8700 mg/L. Given that with the flow-rate used (790 L/day) this first lagoon completed its working volume after 30 days of starting, part of the liquid contained in the first lagoon was transferred to another adjacent second lagoon of 10.8 m(3) working volume. Therefore, the experiment continued in the second lagoon for another additional 24 days using an influent with a COD content of 18,700 mg/L at a flow-rate of 170 L/day. After the 21st day, a maximum COD removal efficiency of 91% was achieved, and this value was maintained virtually constant until the end of the experiments. A mathematical model based on three differential equations solved simultaneously allowed the kinetic parameters of the system to be obtained. (C) 2009 Elsevier Ltd. All rights reserved.</t>
  </si>
  <si>
    <t>Chica, Arturo/O-1852-2019; Martin, Antonio/L-9212-2014; Borja, Rafael/P-5314-2016</t>
  </si>
  <si>
    <t>Borja, Rafael/0000-0002-3699-7223; Chica Perez, Arturo Francisco/0000-0003-0598-7054</t>
  </si>
  <si>
    <t>0960-8524</t>
  </si>
  <si>
    <t>1873-2976</t>
  </si>
  <si>
    <t>10.1016/j.biortech.2009.12.101</t>
  </si>
  <si>
    <t>WOS:000275563200020</t>
  </si>
  <si>
    <t>Antonova, EE; Kirpichev, IP; Stepanova, MV; Orlova, KG; Ovchinnikov, IL</t>
  </si>
  <si>
    <t>Antonova, E. E.; Kirpichev, I. P.; Stepanova, M. V.; Orlova, K. G.; Ovchinnikov, I. L.</t>
  </si>
  <si>
    <t>Topology of the high latitude magnetosphere during large magnetic storms and the main mechanisms of relativistic electron acceleration</t>
  </si>
  <si>
    <t>One of the main endeavors of the Space Weather program is the prediction of the appearance of very large fluxes of relativistic electrons with energies larger than 1 MeV, because they represent a serious potential hazard for satellite missions. Large fluxes of relativistic electrons are formed in the outer radiation belt during the recovery phase of some storms. The formation of large fluxes is connected to a balance between the acceleration and loss processes. A two-step acceleration process is ordinarily analyzed. A Seed population with energies-hundreds of keV appeared during expansion phase of magnetospheric substorm. A Seed population is additionally accelerated obtaining relativistic energies by some other process. Several acceleration mechanisms have been proposed for the explanation of the electron acceleration, including radial diffusion and internal acceleration by wave-particle interactions. Nevertheless, none of them takes into account great changes of magnetospheric topology during a magnetic storm. Such changes are mainly connected with asymmetric and symmetric ring current development. We analyze the changes of magnetospheric topology during magnetic storms. We show that a change of the magnetospheric magnetic field can be the important factor determining the acceleration of relativistic electrons. Crown copyright (C) 2008 Published by Elsevier Ltd. on behalf of COSPAR. All rights reserved.</t>
  </si>
  <si>
    <t>FEB 16</t>
  </si>
  <si>
    <t>10.1016/j.asr.2008.09.011</t>
  </si>
  <si>
    <t>WOS:000264217100028</t>
  </si>
  <si>
    <t>Allende, S; Escrig, J; Altbir, D; Salcedo, E; Bahiana, M</t>
  </si>
  <si>
    <t>Allende, S.; Escrig, J.; Altbir, D.; Salcedo, E.; Bahiana, M.</t>
  </si>
  <si>
    <t>Angular dependence of the transverse and vortex modesin magnetic nanotubes</t>
  </si>
  <si>
    <t>EUROPEAN PHYSICAL JOURNAL B</t>
  </si>
  <si>
    <t>The angular dependence of the transverse and vortex modes in a magnetic nanotube is investigated as a function of the tube geometry, by means of analytical calculations and numerical simulations. A critical radius defining the transition between vortex and transverse reversal modes is determined, leading to low or high coercivity modes just by varying the direction of the external field, in a fixed nanotube.</t>
  </si>
  <si>
    <t>Salcedo, Evy/C-9674-2013; Altbir, Dora/R-6781-2018; Escrig, Juan/N-4304-2015</t>
  </si>
  <si>
    <t>Altbir, Dora/0000-0002-2945-4909; Escrig, Juan/0000-0002-3958-8185; Salcedo, Evy/0000-0002-7765-3419</t>
  </si>
  <si>
    <t>1434-6028</t>
  </si>
  <si>
    <t>10.1140/epjb/e2008-00385-4</t>
  </si>
  <si>
    <t>WOS:000262831300006</t>
  </si>
  <si>
    <t>Barrera, NP; Morales, B; Villalon, M</t>
  </si>
  <si>
    <t>Barrera, Nelson P.; Morales, Bernardo; Villalon, Manuel</t>
  </si>
  <si>
    <t>ATP and adenosine trigger the interaction of plasma membrane IP3 receptors with protein kinase A in oviductal ciliated cells</t>
  </si>
  <si>
    <t>We have demonstrated that adenosine did not produce any change of intracellular free Ca2+ concentration ([Ca2+]i) in oviductal ciliated cells; however, it increased the ATP-induced Ca2+ influx through the activation of protein kinase A (PKA). Uncaging Of IP3 and cAMP triggered a larger Ca2+ influx than did IP3 alone. Furthermore, the IP3 effect was abolished by Xestospongin C, an IP3 receptor blocker. Whole-cell recordings demonstrated the presence of an ATP-induced Ca2+ current, and the addition of adenosine increased the peak of this current. This effect was not observed in the presence of H-89, a PKA inhibitor. Using excised macro-patches of plasma membrane, IP3 generated a current, which was higher in the presence of the catalytic PKA subunit and this current was blocked by Xestospongin C. We show here that activation of plasma membrane IP3 receptors directly triggers Ca2+ influx in response to ATP and that these receptors are modulated by adenosine-activated PKA. (C) 2007 Elsevier Inc. All rights reserved.</t>
  </si>
  <si>
    <t>Morales Castañeda, Bernardo/GPP-1642-2022</t>
  </si>
  <si>
    <t>Barrera, Nelson/0000-0001-7825-1406</t>
  </si>
  <si>
    <t>DEC 28</t>
  </si>
  <si>
    <t>10.1016/j.bbrc.2007.10.104</t>
  </si>
  <si>
    <t>WOS:000251358500017</t>
  </si>
  <si>
    <t>Sandoval-Altamirano, C; Pizarro, N; Cho, Y; Morales, J; Berrios, E; Silva, C; Gunther, G</t>
  </si>
  <si>
    <t>Sandoval-Altamirano, C.; Pizarro, N.; Cho, Y. H.; Morales, J.; Berrios, E.; Silva, C.; Gunther, G.</t>
  </si>
  <si>
    <t>β-carbonyl substitution on Dimethylaminophenalenones, halogen-free enhancement of singlet oxygen generation in protic media</t>
  </si>
  <si>
    <t>DYES AND PIGMENTS</t>
  </si>
  <si>
    <t>The incorporation of a (3-carbonyl substituent into the push-pull fluorophore donor has been reported as a successful strategy to enhance fluorescence in polar protic media, due to the blockade of non-radiative decay pathways. Nevertheless, to our knowledge, there are no reports of the use of this strategy to improve intersystem crossing (ISC) process. The approach would be particularly useful for photosensitizers whose ability to generate singlet oxygen is impaired in polar protic solvents. We have previously reported dimethylamino-substituted phenalenones that exhibit values of Phi Delta close to unity in non-polar solvents (like hexane), but this value is reduced, tending to be negligible, when moving to polar protic solvents such as methanol and water. Here we present (3-carbonyl derivatives of these phenalenones, one of which presented a 20-fold increase in fluorescence and 10-fold increase in singlet oxygen generation in polar protic media when compared to the parent dimethylamino derivative. Thus, we demonstrate that incorporation of a (3-carbonyl substituent directly attached to the donor amino group is a suitable strategy that blocks the non-radiative decay pathways of the singlet excited state, promoting fluorescence and also enhancing singlet oxygen generation, ultimately providing enhanced halogen-free photosensitization.</t>
  </si>
  <si>
    <t>Pizarro, Nancy/E-1131-2015; Gunther, German/I-1028-2013</t>
  </si>
  <si>
    <t>0143-7208</t>
  </si>
  <si>
    <t>1873-3743</t>
  </si>
  <si>
    <t>10.1016/j.dyepig.2024.112585</t>
  </si>
  <si>
    <t>WOS:001435492100001</t>
  </si>
  <si>
    <t>Muñoz, GA; Gil-Costa, V; Marin, M</t>
  </si>
  <si>
    <t>Astudillo Munoz, Gabriel; Gil-Costa, Veronica; Marin, Mauricio</t>
  </si>
  <si>
    <t>Efficient simulation of natural hazard evacuation for seacoast cities</t>
  </si>
  <si>
    <t>Evacuation plans in seacoast areas are essential for conducting people to secure zones in a timely manner. Typically, evacuation plans are based on the experience of previous evacuation drills, which are expensive processes that require coordination, planning and the collaboration of different institutions and people. During evacuation drills it is difficult to obtain all the data required to analyze the situation and additionally, it is difficult to detect all possible threatening situations. Computer simulations can be used to run evacuation models for evaluating different evacuation scenarios. However, developing realistic simulations is a complex task. Moreover, large simulation models considering many thousands of people demand a high computational cost and thereby, the simulation of different evacuation plans can become a highly time-consuming task. In this work, we present an approach to model and simulate the behavior of people in mass evacuations of seacoast areas. Our proposal aims to improve the computational efficiency of the calculations performed without compromising the quality of results by means of parallel computing. The simulation model divides the geographic area in cells of fixed sizes. Then, to reduce the amount of calculations performed in each simulation timestep, for each simulated agent we compute a mobility model by considering only the agents placed in the closest neighboring cells. The proposed simulation model achieves realistic results by combining geographic data, public census data, the density of the population, the surrounding view of each person and disaggregation by age groups. This reduces the error in decision making and allows a proper estimation of the distance of groups of people that cannot arrive at safe areas. The respective simulator has been implemented using agent-based programming in C++ and OpenMP. The simulation model was evaluated by performing experimentation on actual data collected from the Chilean cities of Iquique and Vina del Mar, and the city of Kesennuma in Japan.</t>
  </si>
  <si>
    <t>Marin, Mauricio/GLR-7700-2022; Gil-Costa, Veronica/GPT-4785-2022; Astudillo, Gabriel/GWV-6606-2022</t>
  </si>
  <si>
    <t>Astudillo Munoz, Gabriel/0000-0002-2169-0253; Marin, Mauricio/0000-0003-0662-7149</t>
  </si>
  <si>
    <t>10.1016/j.ijdrr.2022.103300</t>
  </si>
  <si>
    <t>WOS:000876358100007</t>
  </si>
  <si>
    <t>Sandoval, MA; Espinoza, LC; Coren, O; Garcia, V; Fuentes, R; Thiam, A; Salazar, R</t>
  </si>
  <si>
    <t>Sandoval, Miguel A.; Espinoza, L. Carolina; Coren, Oscar; Garcia, Veronica; Fuentes, Rosalba; Thiam, Abdoulaye; Salazar, Ricardo</t>
  </si>
  <si>
    <t>A comparative study of anodic oxidation and electrocoagulation for treating cattle slaughterhouse wastewater</t>
  </si>
  <si>
    <t>In this study, industrial cattle slaughterhouse wastewater (ICSHWW) was treated by anodic oxidation (AO) and electrocoagulation (EC) processes using different electrode materials. Total organic carbon (TOC), chemical oxygen demand (COD), and total phosphorus (TP), among other parameters, were analyzed during the treat-ments. Electrochemical techniques were carried out in batch operation mode during five hours applying different current densities in sulfate and chloride media. The industrial cattle slaughterhouse wastewater contained TOC 1150 mg L-1, COD 4320 mg L-1, TP 25 mg L-1, TN 76 mg L-1, turbidity 516 NTU, color -absorbance 0.36 A.U. at 416 nm-, conductivity 2.79 mS cm-1, and pH 7.18. The highest TOC removal efficiencies were found at j = 20 mA cm-2 using the EC process (&gt; 88%), with an energy consumption around 0.01 kW h m-3. Moreover, a complete discoloration and disinfection were achieved. Considering the high consumption of the freshwater destined to the livestock sector and global scarcity of water, electrochemical processes are an effective tool for decontaminating industrial waters produced from the meat industry.</t>
  </si>
  <si>
    <t>Salazar, Ricardo/L-7870-2013; Thiam, Abdoulaye/X-4067-2018; Espinoza, Carolina/HSH-9507-2023; García, Verónica/AAM-1175-2021; Sandoval, Miguel A/JCF-1838-2023</t>
  </si>
  <si>
    <t>garcia, veronica/0000-0002-5312-925X; Espinoza, L. Carolina/0000-0002-6021-0742; Salazar-Gonzalez, Ricardo/0000-0003-2180-6022</t>
  </si>
  <si>
    <t>10.1016/j.jece.2022.108306</t>
  </si>
  <si>
    <t>WOS:000878152600003</t>
  </si>
  <si>
    <t>Castro, MA; Mancilla-Almonacid, D; Dieny, B; Allende, S; Buda-Prejbeanu, LD; Ebels, U</t>
  </si>
  <si>
    <t>Castro, M. A.; Mancilla-Almonacid, D.; Dieny, B.; Allende, S.; Buda-Prejbeanu, L. D.; Ebels, U.</t>
  </si>
  <si>
    <t>Mutual synchronization of spin-torque oscillators within a ring array</t>
  </si>
  <si>
    <t>An array of spin torque nano-oscillators (STNOs), coupled by dipolar interaction and arranged on a ring, has been studied numerically and analytically. The phase patterns and locking ranges are extracted as a function of the number N, their separation, and the current density mismatch between selected subgroups of STNOs. If N &gt;= 6 for identical current densities through all STNOs, two degenerated modes are identified an in-phase mode (all STNOs have the same phase) and a splay mode (the phase makes a 2 pi turn along the ring). When inducing a current density mismatch between two subgroups, additional phase shifts occur. The locking range (maximum current density mismatch) of the in-phase mode is larger than the one for the splay mode and depends on the number N of STNOs on the ring as well as on the separation. These results can be used for the development of magnetic devices that are based on STNO arrays.</t>
  </si>
  <si>
    <t>Buda-Prejbeanu, Liliana Daniela/ABF-4272-2021; Mancilla Almonacid, Daniela/JEP-6778-2023</t>
  </si>
  <si>
    <t>Mancilla Almonacid, Daniela/0000-0003-4356-5119</t>
  </si>
  <si>
    <t>JUL 14</t>
  </si>
  <si>
    <t>10.1038/s41598-022-15483-1</t>
  </si>
  <si>
    <t>WOS:000825428500039</t>
  </si>
  <si>
    <t>Huemer, C; Oliveros, D; Pérez-Lantero, P; Torra, F; Vogtenhuber, B</t>
  </si>
  <si>
    <t>Huemer, Clemens; Oliveros, Deborah; Perez-Lantero, Pablo; Torra, Ferran; Vogtenhuber, Birgit</t>
  </si>
  <si>
    <t>On Weighted Sums of Numbers of Convex Polygons in Point Sets</t>
  </si>
  <si>
    <t>DISCRETE &amp; COMPUTATIONAL GEOMETRY</t>
  </si>
  <si>
    <t>Let S be a set of n points in general position in the plane, and let X-k,X-l(S) be the number of convex k-gons with vertices in S that have exactly l points of S in their interior. We prove several equalities for the numbers X-k,X-l(S). This problem is related to the Erdos-Szekeres theorem. Some of the obtained equations also extend known equations for the numbers of empty convex polygons to polygons with interior points. Analogous results for higher dimension are shown as well.</t>
  </si>
  <si>
    <t>Vogtenhuber, Birgit/0000-0002-7166-4467; Oliveros, Deborah/0000-0002-3330-3230</t>
  </si>
  <si>
    <t>0179-5376</t>
  </si>
  <si>
    <t>1432-0444</t>
  </si>
  <si>
    <t>10.1007/s00454-022-00395-8</t>
  </si>
  <si>
    <t>WOS:000807275700001</t>
  </si>
  <si>
    <t>Correa, R; Rodriguez, N; Bortolaso, M</t>
  </si>
  <si>
    <t>Correa, R.; Rodriguez, N.; Bortolaso, M.</t>
  </si>
  <si>
    <t>What is the nature of the alteration of temporality in Trauma-Related Altered States of Consciousness? A neuro-phenomenological analysis</t>
  </si>
  <si>
    <t>EUROPEAN JOURNAL OF TRAUMA &amp; DISSOCIATION</t>
  </si>
  <si>
    <t>According to the 4-D model of Frewen and Lanius, trauma-related altered states of consciousness (TRASC) involve an alteration of the dimension of time and memory which divides the symptoms of post traumatic stress disorder (PTSD) into those which occur in Normal Waking Consciousness (NWC) and those which present dissociative experiences as part of TRASC. The present report addresses the temporal dimension of TRASC from a neurophenomenological approach. Initially, we generate an updated model of the structure of normal temporality. From there, we derive a model of altered temporality in TRASC, which at the same time indicates, from a theoretical point of view, which specific points of the structure of temporality would be altered in PTSD with TRASC. We pose two the-oretical questions to guide our analysis: 1) What logical consequences can we derive from a graphic model of temporality in TRASC based on neurophenomenological analysis? and 2) Can altered chronesthesia be pro-posed as a phenomenon related with the dissociative disorders that affect how time is experienced in TRASC? Material and methods: To answer these questions, we carried out a systematic review of the literature up to May 2019, as well as a review of the classic philosophical texts that offer a view of temporality, with special emphasis on works in the field of phenomenology and neurophenomenology which offer graphic models of temporality. Results: We found 2671 articles associated with the keywords used in the search. Of these, 2603 articles were discarded based on a review of the titles and abstracts, leaving 68 reports that were reviewed in full text. We also reviewed classic philosophical texts dealing with the problem of temporality. From the results obtained we designed a scheme of normal temporality from which we derived a hypothesis as to how this variable would be altered in TRASC. The central point of the analysis explains under which hypothetical mechanisms the patient would lose his or her normal capacity to remember a past event or anticipate a future event, with the perspective that this would occur FROM the present moment. This would be an essential aspect of the alteration of temporality in PTSD with TRASC. Discussion and conclusions: We discuss the possible implications of our model for clinical practice, including non-pharmacological treat-ments. We then draw a correlation between the logical consequences of our model and the neurofunctional findings described in the literature. Finally, we offer answers to the two questions proposed, and to the cen-tral question of this report, stressing how altered chronesthesia could account for the alterations of temporal-ity observed in PTSD with TRASC.(c) 2021 Elsevier Masson SAS. All rights reserved.</t>
  </si>
  <si>
    <t>2468-7499</t>
  </si>
  <si>
    <t>10.1016/j.ejtd.2021.100227</t>
  </si>
  <si>
    <t>WOS:000793434500006</t>
  </si>
  <si>
    <t>Jasemi, SV; Khazaei, H; Momtaz, S; Farzaei, MH; Echeverría, J</t>
  </si>
  <si>
    <t>Jasemi, Sayed Vahid; Khazaei, Hosna; Momtaz, Saeideh; Farzaei, Mohammad Hosein; Echeverria, Javier</t>
  </si>
  <si>
    <t>Natural products in the treatment of pulmonary emphysema: Therapeutic effects and mechanisms of action</t>
  </si>
  <si>
    <t>PHYTOMEDICINE</t>
  </si>
  <si>
    <t>Background: Chronic obstructive pulmonary disease (COPD) is a class of lung diseases including chronic bronchitis, asthma, and emphysema. Long-time smoking is considered the main reason for developing emphysema. Emphysema can be defined as damage to the walls of the air sacs (alveoli) of the lung. It has been demonstrated that natural compounds with antioxidant and anti-inflammatory effects can effectively improve or protect the lung against this disease. This paper is dedicated to systematically review the effective natural compounds in the treatment of pulmonary emphysema.Purpose: This is the first systematic and comprehensive review on the role of plant-derived secondary metabolites in managing and/or treating pulmonary emphysemaStudy design and Methods: A systematic and comprehensive review was done based on Scopus, PubMed, and Cochrane Library databases were searched using the emphysema, plant, herb, and phytochemical keywords. Non-English, review, and repetitive articles were excluded from the study. Search results were included in the Prisma diagram.Results: From a total of 1285 results, finally, 22 articles were included in the present study. The results show that some herbs such as Scutellaria baicalensis Georgi and Monascus adlay and some phytochemicals such as gallic acid and quercetin and blackboard tree indole alkaloids affect more factors in improving the lung emphysema. Also, some natural compounds such as marijuana smoke and humic acid also play an aggravating role in this disease. It also seems that some of the medicinal plants such as PM014 herbal formula, pomegranate juice and acai berry sometimes have side effects that are inconsistent with their therapeutic effects. Conclusion: We concluded that natural compounds can effectively improve pulmonary emphysema due to their antioxidant, anti-inflammatory, and anti-apoptotic properties. However, additional studies are suggested to prove efficacy and side effects.</t>
  </si>
  <si>
    <t>Farzaei, Mohammad/M-5779-2017; Echeverría, Javier/E-9989-2011</t>
  </si>
  <si>
    <t>Echeverria, Javier/0000-0002-1688-968X</t>
  </si>
  <si>
    <t>0944-7113</t>
  </si>
  <si>
    <t>1618-095X</t>
  </si>
  <si>
    <t>10.1016/j.phymed.2022.153988</t>
  </si>
  <si>
    <t>WOS:000792171100002</t>
  </si>
  <si>
    <t>Espinoza-Vergara, J; Molina, P; Walter, M; Gulppi, M; Vejar, N; Melo, F; Urzua, M; Munoz, H; Zagal, JH; Zhou, XR; Azocar, MI; Paez, MA</t>
  </si>
  <si>
    <t>Espinoza-Vergara, Javier; Molina, Paulo; Walter, Mariana; Gulppi, Miguel; Vejar, Nelson; Melo, Francisco; Urzua, Marcela; Munoz, Hugo; Zagal, Jose H.; Zhou, Xiaorong; Azocar, Manuel I.; Paez, Maritza A.</t>
  </si>
  <si>
    <t>Effect of pH on the Electrochemical Behavior of Hydrogen Peroxide in the Presence of Pseudomonas aeruginosa</t>
  </si>
  <si>
    <t>FRONTIERS IN BIOENGINEERING AND BIOTECHNOLOGY</t>
  </si>
  <si>
    <t>The influence of pH on the electrochemical behavior of hydrogen peroxide in the presence of Pseudomonas aeruginosa was investigated using electrochemical techniques. Cyclic and square wave voltammetry were used to monitor the enzymatic activity. A modified cobalt phthalocyanine (CoPc) carbon electrode (OPG), a known catalyst for reducing O-2 to H2O2, was used to detect species resulting from the enzyme activity. The electrolyte was a sterilized aqueous medium containing Mueller-Hinton (MH) broth. The open-circuit potential (OCP) of the Pseudomonas aeruginosa culture in MH decreased rapidly with time, reaching a stable state after 4 h. Peculiarities in the E / I response were observed in voltammograms conducted in less than 4 h of exposure to the culture medium. Such particular E/I responses are due to the catalase's enzymatic action related to the conversion of hydrogen peroxide to oxygen, confirming the authors' previous findings related to the behavior of other catalase-positive microorganisms. The enzymatic activity exhibits maximum activity at pH 7.5, assessed by the potential at which oxygen is reduced to hydrogen peroxide. At higher or lower pHs, the oxygen reduction reaction (ORR) occurs at higher overpotentials, i.e., at more negative potentials. In addition, and to assess the influence of bacterial adhesion on the electrochemical behavior, measurements of the bacterial-substrate metal interaction were performed at different pH using atomic force microscopy.</t>
  </si>
  <si>
    <t>Paez, Maritza/M-2010-2014; Muñoz, Hugo/HMV-5842-2023; Gulppi, Miguel/KTA-6210-2024; Azocar, Manuel/I-1226-2013; zagal, jose/L-9648-2014; Urzúa, Marcela/E-1429-2014; Melo, Francisco/M-3923-2014; Vejar, Nelson/M-7784-2017; Zhou, Xiaorong/M-3600-2014</t>
  </si>
  <si>
    <t>Molina, Paulo/0009-0009-1604-1011; Melo, Francisco Esteban/0000-0001-6818-5476; Gulppi, Miguel/0000-0001-6099-4463; Munoz, Hugo/0000-0001-5091-0457; Zhou, Xiaorong/0000-0001-9943-3997; Urzua Acevedo, Marcela Del Pilar/0000-0002-2371-620X; Vejar, Nelson/0000-0002-9544-2199</t>
  </si>
  <si>
    <t>2296-4185</t>
  </si>
  <si>
    <t>10.3389/fbioe.2021.749057</t>
  </si>
  <si>
    <t>WOS:000732249400001</t>
  </si>
  <si>
    <t>Abejón, R; Fernández-Ríos, A; Domínguez-Ramos, A; Laso, J; Ruiz-Salmón, I; Yáñez, M; Ortiz, A; Gorri, D; Donzel, N; Jones, D; Irabien, A; Ortiz, I; Aldaco, R; Margallo, M</t>
  </si>
  <si>
    <t>Abejon, Ricardo; Fernandez-Rios, Ana; Dominguez-Ramos, Antonio; Laso, Jara; Ruiz-Salmon, Israel; Yanez, Maria; Ortiz, Alfredo; Gorri, Daniel; Donzel, Nicolas; Jones, Deborah; Irabien, Angel; Ortiz, Inmaculada; Aldaco, Ruben; Margallo, Maria</t>
  </si>
  <si>
    <t>Hydrogen Recovery from Waste Gas Streams to Feed (High-Temperature PEM) Fuel Cells: Environmental Performance under a Life-Cycle Thinking Approach</t>
  </si>
  <si>
    <t>Fossil fuels are being progressively substituted by a cleaner and more environmentally friendly form of energy, where hydrogen fuel cells stand out. However, the implementation of a competitive hydrogen economy still presents several challenges related to economic costs, required infrastructures, and environmental performance. In this context, the objective of this work is to determine the environmental performance of the recovery of hydrogen from industrial waste gas streams to feed high-temperature proton exchange membrane fuel cells for stationary applications. The life-cycle assessment (LCA) analyzed alternative scenarios with different process configurations, considering as functional unit 1 kg of hydrogen produced, 1 kWh of energy obtained, and 1 kg of inlet flow. The results make the recovery of hydrogen from waste streams environmentally preferable over alternative processes like methane reforming or coal gasification. The production of the fuel cell device resulted in high contributions in the abiotic depletion potential and acidification potential, mainly due to the presence of platinum metal in the anode and cathode. The design and operation conditions that defined a more favorable scenario are the availability of a pressurized waste gas stream, the use of photovoltaic electricity, and the implementation of an energy recovery system for the residual methane stream.</t>
  </si>
  <si>
    <t>Aldaco, Rubén/F-2314-2016; Ortiz, Inmaculada/K-8570-2014; Ruiz, Israel/LQK-6570-2024; Abejon, Ricardo/I-7171-2019; Jones, Deborah/B-6186-2008; Gorri, Daniel/D-9552-2012; Dominguez-Ramos, Antonio/A-7671-2010; Laso Cortabitarte, Jara/C-8108-2019; Irabien, Angel/I-4395-2014</t>
  </si>
  <si>
    <t>Ortiz, Inmaculada/0000-0002-3257-4821; Ruiz Salmon, Israel/0000-0001-7058-605X; Gorri, Daniel/0000-0002-5403-1545; Dominguez-Ramos, Antonio/0000-0002-7322-4238; Laso Cortabitarte, Jara/0000-0003-4442-6786; ABEJON, Ricardo/0000-0002-8030-7752; Irabien, Angel/0000-0002-2411-4163; Yanez Diaz, Maria/0000-0002-2688-0267; Fernandez, Ana/0000-0003-4591-9902</t>
  </si>
  <si>
    <t>10.3390/app10217461</t>
  </si>
  <si>
    <t>WOS:000588974100001</t>
  </si>
  <si>
    <t>Beltrán-Castillo, S; Olivares, MJ; Ochoa, M; Barria, J; Chacón, M; von Bernhardi, R; Eugenín, J</t>
  </si>
  <si>
    <t>Beltran-Castillo, S.; Olivares, M. J.; Ochoa, M.; Barria, J.; Chacon, M.; von Bernhardi, R.; Eugenin, J.</t>
  </si>
  <si>
    <t>D-serine regulation of the timing and architecture of the inspiratory burst in neonatal mice</t>
  </si>
  <si>
    <t>BIOCHIMICA ET BIOPHYSICA ACTA-PROTEINS AND PROTEOMICS</t>
  </si>
  <si>
    <t>D-serine, released from mouse medullary astrocytes in response to increased CO2 levels, boosts the respiratory frequency to adapt breathing to physiological demands. We analyzed in mouse neonates, the influence of Dserine upon inspiratory/expiratory durations and the architecture of the inspiratory burst, assessed by pwelch's power spectrum density (PSD) and continuous wavelet transform (CWT) analyses. Suction electrode recordings were performed in slices from the ventral respiratory column (VRC), site of generation of the respiratory rhythm, and in brainstem-spinal cord (en bloc) preparations, from the C5 ventral roots, containing phrenic fibers that in vivo innervate and drive the diaphragm, the main inspiratory muscle. In en bloc and slice preparations, D-serine (100 mu M) reduced the expiratory, but not the inspiratory duration, and increased the frequency and the regularity of the respiratory rhythm. In en bloc preparations, D-serine (100 mu M) also increased slightly the amplitude of the integrated inspiratory burst and the area under the curve of the integrated inspiratory burst, suggesting a change in the recruitment or the firing pattern of neurons within the burst. Time-frequency analyses revealed that D-serine changed the burst architecture of phrenic roots, widening their frequency spectrum and shifting the position of the core of firing frequencies towards the onset of the inspiratory burst. At the VRC, no clear D-serine induced changes in the frequency-time domain could be established. Our results show that D-serine not only regulates the timing of the respiratory cycle, but also the recruitment strategy of phrenic motoneurons within the inspiratory burst.</t>
  </si>
  <si>
    <t>Olivares, María/M-9606-2017; Beltran Castillo, Sebastian/AAT-2028-2021; von Bernhardi, Rommy/IAO-3764-2023</t>
  </si>
  <si>
    <t>von Bernhardi, Rommy/0000-0002-9022-7676; Beltran-Castillo, Sebastian/0000-0003-4550-6323</t>
  </si>
  <si>
    <t>1570-9639</t>
  </si>
  <si>
    <t>1878-1454</t>
  </si>
  <si>
    <t>10.1016/j.bbapap.2020.140484</t>
  </si>
  <si>
    <t>WOS:000562566000004</t>
  </si>
  <si>
    <t>Pineda, C; Pereda, J; Rojas, F; Cerda, C; Zhang, XT; Watson, AJ</t>
  </si>
  <si>
    <t>Pineda, Cristian; Pereda, Javier; Rojas, Felix; Cerda, Carlos; Zhang, Xiaotian; Watson, Alan J.</t>
  </si>
  <si>
    <t>Asymmetrical Triangular Current Mode (ATCM) for Bidirectional High Step Ratio Modular Multilevel Dc-Dc Converter</t>
  </si>
  <si>
    <t>IEEE TRANSACTIONS ON POWER ELECTRONICS</t>
  </si>
  <si>
    <t>10th IEEE Annual Energy Conversion Congress and Exposition (ECCE)</t>
  </si>
  <si>
    <t>SEP 17-27, 2018</t>
  </si>
  <si>
    <t>Portland, OR</t>
  </si>
  <si>
    <t>IEEE,IEEE Power Elect Soc,IEEE Ind Applicat Soc</t>
  </si>
  <si>
    <t>Direct current (Dc) networks have proven advantages in high voltage direct current (HVDC) transmission systems, and now they are expanding to medium- and low-voltage distribution networks. One of the major challenges is to develop reliable dc-dc voltage transformation achieving high efficiency and performance, especially at high voltage and high step ratio. New resonant modular multilevel topologies have arisen as an alternative, mainly because of advantages such as optional use of transformers, natural voltage balance, simple control, and soft-switching capability. However, this type of operation generates a high peak current, does not allow control of power flow in all power range, and has a limited range of voltage variation. This article proposes an asymmetrical triangular current mode applied to high step ratio modular multilevel dc-dc converters. The proposed modulation increases the efficiency and achieves bidirectional control of the power, soft-switching, and a natural balance of the voltage in the cell capacitors. The experimental results show the bidirectional operation and the capacitor voltage balance of the converter under different operating conditions with higher efficiency (97.72%) and lower peak current compared to previous reports of this topology using resonant operation.</t>
  </si>
  <si>
    <t>Rojas, Felix/U-3305-2019; Pereda Torres, Javier/F-8244-2013</t>
  </si>
  <si>
    <t>Cerda Jimenez, Carlos/0000-0003-0591-9545; Pineda, Cristian/0000-0003-3813-7718; Pereda Torres, Javier/0000-0002-3407-5233; Rojas, Felix/0000-0001-6145-2826</t>
  </si>
  <si>
    <t>0885-8993</t>
  </si>
  <si>
    <t>1941-0107</t>
  </si>
  <si>
    <t>10.1109/TPEL.2019.2957951</t>
  </si>
  <si>
    <t>WOS:000550377100023</t>
  </si>
  <si>
    <t>Nonnegative solutions of an indefinite sublinear Robin problem I: positivity, exact multiplicity, and existence of a subcontinuum</t>
  </si>
  <si>
    <t>Let RN ( N = 1) be a smooth bounded domain, a. C() a sign-changing function, and 0 = q &lt; 1. We investigate the Robin problem - Delta u = a(x)u(q) in Omega, u &gt;= 0 in Omega, partial derivative(u) = au on partial derivative Omega, where a. [-8,8) and. is the unit outward normal to. . Due to the lack of strong maximum principle structure, this problem may have dead core solutions. However, for a large class of weights a we recover a positivity property when q is close to 1, which considerably simplifies the structure of the solution set. Such property, combined with a bifurcation analysis and a suitable change of variables, enables us to show the following exactness result for these values of q: ( Pa) has exactly one nontrivial solution for a = 0, exactly two nontrivial solutions for a &gt; 0 small, and no such solution for a &gt; 0 large. Assuming some further conditions on a, we show that these solutions lie in a subcontinuum. These results partially rely on (and extend) our previous work (Kaufmann et al. in J Differ Equ 263:4481-4502, 2017), where the cases a = -8(Dirichlet) and a = 0 (Neumann) have been considered. We also obtain some results for arbitrary q. [0, 1). Our approach combines mainly bifurcation techniques, the sub-supersolutions method, and a priori lower and upper bounds.</t>
  </si>
  <si>
    <t>10.1007/s10231-020-00954-x</t>
  </si>
  <si>
    <t>FEB 2020</t>
  </si>
  <si>
    <t>WOS:000516374100003</t>
  </si>
  <si>
    <t>García-Hermoso, A; Hormázabal-Aguayo, I; Fernández-Vergara, O; González-Calderón, N; Russell-Guzmán, J; Vicencio-Rojas, F; Chacana-Cañas, C; Ramírez-Vélez, R</t>
  </si>
  <si>
    <t>Garcia-Hermoso, Antonio; Hormazabal-Aguayo, Ignacio; Fernandez-Vergara, Omar; Gonzalez-Calderon, Nicole; Russell-Guzman, Javier; Vicencio-Rojas, Francisca; Chacana-Canas, Cesar; Ramirez-Velez, Robinson</t>
  </si>
  <si>
    <t>A before-school physical activity intervention to improve cognitive parameters in children: The Active-Start study</t>
  </si>
  <si>
    <t>SCANDINAVIAN JOURNAL OF MEDICINE &amp; SCIENCE IN SPORTS</t>
  </si>
  <si>
    <t>The aim of the study was threefold: (a) to test a before-school physical activity intervention (Active-Start) on academic performance, selective attention, and concentration capacity; (b) to test the effect of the Active-Start intervention on anthropometry, body composition, and physical fitness parameters; and (c) whether the physical fitness components are moderators of the effect of the Active-Start program on academic performance, selective attention, and concentration capacity in Chilean children. The Active-Start intervention was a RCT which comprised 170 children (8-10 years old) from three public schools with low socioeconomic status from the city of Santiago (Chile). The exercise intervention was delivered daily, before starting the first school-class (8:00-8:30 am) for 8 weeks. Changes in academic performance, selective attention and concentration capacity, anthropometric, body composition, and physical fitness parameters were measured. The analyses used were mixed regression models for repeated measures over time. No statistically significant changes in attention and concentration capacity were found. However, significant changes were seen in language (0.63; 95% CI 0.49-0.77) and mathematics (0.49; 95% CI 0.32-0.66) performance (P &lt; .001). Also, improvements were seen in fat mass, fat-free mass, muscular, and cardiorespiratory fitness (all P &lt; .05). The Johnson-Neyman technique revealed a significant relationship between the effect of intervention and attention and concentration when change in cardiorespiratory fitness was above, but not below, 3.05 and 0.70 mL/kg/min, respectively. Implementing before-school physical activity programs such as the Active-Start to enhance the cardiorespiratory fitness may benefit attention capacity and academic success among schoolchildren.</t>
  </si>
  <si>
    <t>García-Hermoso, Antonio/ADU-2591-2022; Ramirez-Velez, Robinson/D-5311-2016; Garcia-Hermoso, Antonio/P-1857-2017</t>
  </si>
  <si>
    <t>Chacana Canas, Cesar/0000-0002-0497-8546; Ramirez-Velez, Robinson/0000-0003-3075-6960; Garcia-Hermoso, Antonio/0000-0002-1397-7182; Russell-Guzman, Javier/0000-0003-4452-9312; Hormazabal Aguayo, Ignacio/0009-0002-7221-1731</t>
  </si>
  <si>
    <t>0905-7188</t>
  </si>
  <si>
    <t>1600-0838</t>
  </si>
  <si>
    <t>10.1111/sms.13537</t>
  </si>
  <si>
    <t>WOS:000611522400012</t>
  </si>
  <si>
    <t>Torres, NL; Zapata, A; Torres, M; Santana, A; Morales, B; Martinez, JL</t>
  </si>
  <si>
    <t>Torres, Nilka L.; Zapata, Alvin; Torres, Modesta; Santana, Ana; Morales, Bernardo; Martinez, Jose L.</t>
  </si>
  <si>
    <t>Diversity and uses of medicinal plants in Panama</t>
  </si>
  <si>
    <t>Panama has 10,444 species of plants, some with medicinal properties, but there is no inventory to determine the totality of medicinal plants that are used. Our goal is to perform a review of publications and research with a view to presenting an estimated on the diversity of medicinal species and types of uses. Throughout the country are used medicinal plants, but its use is increasing more rural areas, and this is due to the scarcity of health services. The species most sold in pharmacies and public markets are: Equisetum bogotense (cola de caballo), Lippia alba (tilo), Pluchea carolinensis (salvia), Cymbopogon citratus (hierba de limon), Neurolaena lobata (contragavilana), Costus spicatus (cana agria) and Momordica charantia (balsamino). Among some species of medicinal plants that are exported we have: Psychotria ipecacuana (raicilla), Smilax aspera (zarzaparrilla) and Ficus benjamina.</t>
  </si>
  <si>
    <t>Martinez, Jose/AAA-1725-2020; Morales Castañeda, Bernardo/GPP-1642-2022</t>
  </si>
  <si>
    <t>10.35588/blacpma.19.18.4.27</t>
  </si>
  <si>
    <t>WOS:000472546200006</t>
  </si>
  <si>
    <t>González, HA; Matulich, J; Pino, M; Troncoso, R</t>
  </si>
  <si>
    <t>Gonzalez, Hernan A.; Matulich, Javier; Pino, Miguel; Troncoso, Ricardo</t>
  </si>
  <si>
    <t>Asymptotically flat spacetimes in three-dimensional higher spin gravity</t>
  </si>
  <si>
    <t>A consistent set of asymptotic conditions for higher spin gravity in three dimensions is proposed in the case of vanishing cosmological constant. The asymptotic symmetries are found to be spanned by a higher spin extension of the BMS3 algebra with an appropriate central extension. It is also shown that our results can be recovered from the ones recently found for asymptotically AdS(3) spacetimes by virtue of a suitable gauge choice that allows to perform the vanishing cosmological constant limit.</t>
  </si>
  <si>
    <t>Troncoso, Ricardo/H-5051-2013; Matulich, Javier/JQV-3525-2023; González, Hernán Alfredo/S-5915-2019; Pino, Miguel/G-7510-2015; Gonzalez Leiva, Hernan Alfredo/K-2767-2017</t>
  </si>
  <si>
    <t>Pino, Miguel/0000-0002-7612-4515; Matulich, Javier/0000-0002-3558-9025; Troncoso, Ricardo/0000-0003-3659-1140; Gonzalez Leiva, Hernan Alfredo/0000-0001-7025-3116</t>
  </si>
  <si>
    <t>SEP 4</t>
  </si>
  <si>
    <t>10.1007/JHEP09(2013)016</t>
  </si>
  <si>
    <t>WOS:000325226200001</t>
  </si>
  <si>
    <t>Taschereau, R; Rannou, FR; Chatziioannou, AF</t>
  </si>
  <si>
    <t>Taschereau, Richard; Rannou, Fernando R.; Chatziioannou, Arion F.</t>
  </si>
  <si>
    <t>A Modeled Point Spread Function For a Noise-Free System Matrix</t>
  </si>
  <si>
    <t>2011 IEEE NUCLEAR SCIENCE SYMPOSIUM AND MEDICAL IMAGING CONFERENCE (NSS/MIC)</t>
  </si>
  <si>
    <t>IEEE Nuclear Science Symposium/Medical Imaging Conference (NSS/MIC)/18th International Workshop on Room-Temperature Semiconductor X-Ray and Gamma-Ray Detectors</t>
  </si>
  <si>
    <t>OCT 23-29, 2011</t>
  </si>
  <si>
    <t>Valencia, SPAIN</t>
  </si>
  <si>
    <t>IEEE,Inst Elect &amp; Elect Engineers Nucl &amp; Plasma Sci Soc (IEEE NPSS)</t>
  </si>
  <si>
    <t>Iterative image reconstruction, can provide significant improvements in both image signal-to-noise ratio and spatial resolution when compared to linear methods such as filtered back-projection. Besides modeling Poisson noise, one of the key advantages of iterative image reconstruction is the ease of incorporation of detailed models of the system response. These models are typically obtained with Monte Carlo simulations, which can be computationally very expensive and introduce noise in the data, while being inflexible. In this work, we develop a fully parameterized analytical model, which in combination with relatively short Monte Carlo simulations, yields the spatially variant point spread function for a prototype pre-clinical PET scanner. The model is adaptable for small variations of pixel pitch, without the need for new Monte Carlo simulations, and can also easily incorporate results from physical measurements, which often differ from simulations in a systematic way. We demonstrate results from using this model in reconstructions of Monte Carlo simulated phantom data, as well as in-vivo data acquired with the prototype pre-clinical PET scanner.</t>
  </si>
  <si>
    <t>978-1-4673-0120-6</t>
  </si>
  <si>
    <t>WOS:000304755604068</t>
  </si>
  <si>
    <t>Chasteen, TG; Fuentes, DE; Tantaleán, JC; Vásquez, CC</t>
  </si>
  <si>
    <t>Chasteen, Thomas Girard; Esteban Fuentes, Derie; Carlos Tantalean, Juan; Christian Vasquez, Claudio</t>
  </si>
  <si>
    <t>Tellurite: history, oxidative stress, and molecular mechanisms of resistance</t>
  </si>
  <si>
    <t>FEMS MICROBIOLOGY REVIEWS</t>
  </si>
  <si>
    <t>The perceived importance of tellurium (Te) in biological systems has lagged behind selenium (Se), its lighter sister in the Group 16 chalcogens, because of tellurium's lower crustal abundance, lower oxyanion solubility and biospheric mobility and the fact that, unlike Se, Te has yet to be found to be an essential trace element. Te applications in electronics, optics, batteries and mining industries have expanded during the last few years, leading to an increase in environmental Te contamination, thus renewing biological interest in Te toxicity. This chalcogen is rarely found in the nontoxic, elemental state (Te-0), but its soluble oxyanions, tellurite (TeO32-) and tellurate (TeO42-), are toxic for most forms of life even at very low concentrations. Although a number of Te resistance determinants (Tel(R)) have been identified in plasmids or in the bacterial chromosome of different species of bacteria, the genetic and/or biochemical basis underlying bacterial TeO32- toxicity is still poorly understood. This review traces the history of Te in its biological interactions, its enigmatic toxicity, importance in cellular oxidative stress, and interaction in cysteine metabolism.</t>
  </si>
  <si>
    <t>Fuentes, Derie/0000-0002-8189-8515; TANTALEAN, JUAN/0000-0002-9541-7102</t>
  </si>
  <si>
    <t>0168-6445</t>
  </si>
  <si>
    <t>1574-6976</t>
  </si>
  <si>
    <t>10.1111/j.1574-6976.2009.00177.x</t>
  </si>
  <si>
    <t>WOS:000266637300008</t>
  </si>
  <si>
    <t>Cortez, MI; Gambaudo, JM; Maass, A</t>
  </si>
  <si>
    <t>Cortez, Maria Isabel; Gambaudo, Jean-Marc; Maass, Alejandro</t>
  </si>
  <si>
    <t>Rotation topological factors of minimal Zd-actions on the Cantor set</t>
  </si>
  <si>
    <t>TRANSACTIONS OF THE AMERICAN MATHEMATICAL SOCIETY</t>
  </si>
  <si>
    <t>In this paper we study conditions under which a free minimal Z(d)-action on the Cantor set is a topological extension of the action of d rotations, either on the product T-d of d 1-tori or on a single 1-torus T-1. We extend the notion of linearly recurrent systems defined for Z-actions on the Cantor set to Z(d)-actions, and we derive in this more general setting a necessary and sufficient condition, which involves a natural combinatorial data associated with the action, allowing the existence of a rotation topological factor of one of these two types.</t>
  </si>
  <si>
    <t>Maass, Alejandro/D-5848-2012</t>
  </si>
  <si>
    <t>Maass, Alejandro/0000-0002-7038-4527; Cortez, Maria Isabel/0000-0002-1819-032X</t>
  </si>
  <si>
    <t>0002-9947</t>
  </si>
  <si>
    <t>10.1090/S0002-9947-06-04027-X</t>
  </si>
  <si>
    <t>WOS:000243610400016</t>
  </si>
  <si>
    <t>Rivera, P; Villegas, C; Cabezas, R; Pérez, B; Torres, A; de Dicastillo, CL; Garrido, L; Galvez, P; Araya, C; Romero, J</t>
  </si>
  <si>
    <t>Rivera, Patricia; Villegas, Carolina; Cabezas, Rene; Perez, Barbara; Torres, Alejandra; de Dicastillo, Carol Lopez; Garrido, Luan; Galvez, Paula; Araya, Claudio; Romero, Julio</t>
  </si>
  <si>
    <t>Development of PLA suture materials by extrusion, electrospinning and supercritical CO2 impregnation of ibuprofen and naproxen</t>
  </si>
  <si>
    <t>JOURNAL OF SUPERCRITICAL FLUIDS</t>
  </si>
  <si>
    <t>Suture materials based on poly (lactic acid) (PLA) were developed by means of two different methods: extrusion and electrospinning, which were followed by a supercritical CO2 impregnation treatment. Both suture materials obtained by these techniques were impregnated with naproxen and ibuprofen using supercritical CO2 as impregnation medium. The impregnation assays were carried out at two different pressures (12 and 15 MPa), a temperature of 40 C and, a depressurization rate of 1 MPa/min. Depending on the drugs incorporated into the suture materials, the concentrations varied from 5.60 to 26.73 wt%. The addition of both drugs and, the preparation process itself caused different changes in the structural and thermal properties of the final suture materials. Finally, tests to quantify the kinetic release of both drugs were carried out in vitro by using a Franz diffusion cell, obtaining the concentration profiles of delivered compounds as a function of the time.</t>
  </si>
  <si>
    <t>Romero, Julio/I-6705-2013; Cabezas, Rene/HAR-6189-2022; Araya Lopez, Claudio/KXR-0295-2024; Torres, Alejandra/LPQ-5664-2024; Lopez-de-Dicastillo, Carol/C-6347-2019</t>
  </si>
  <si>
    <t>Romero, Julio/0000-0002-1229-1592; Cabezas, Rene/0000-0002-4162-3429; Rivera Fuentealba, Patricia/0000-0003-0621-7166; Lopez-de-Dicastillo, Carol/0000-0003-0067-9765</t>
  </si>
  <si>
    <t>0896-8446</t>
  </si>
  <si>
    <t>1872-8162</t>
  </si>
  <si>
    <t>10.1016/j.supflu.2023.105854</t>
  </si>
  <si>
    <t>WOS:000931597300001</t>
  </si>
  <si>
    <t>Martel, SI; Fernández, C; Lagos, NA; Labra, FA; Duarte, C; Vivanco, JF; García-Herrera, C; Lardies, MA</t>
  </si>
  <si>
    <t>Martel, Sebastian, I; Fernandez, Carolina; Lagos, Nelson A.; Labra, Fabio A.; Duarte, Cristian; Vivanco, Juan F.; Garcia-Herrera, Claudio; Lardies, Marco A.</t>
  </si>
  <si>
    <t>Acidification and high-temperature impacts on energetics and shell production of the edible clam Ameghinomya antiqua</t>
  </si>
  <si>
    <t>Warming and ocean acidification are currently critical global change drivers for marine ecosystems due to their complex and irreversible effects on the ecology and evolution of marine communities. Changes in the chemistry and the temperature of the ocean impact the biological performance of marine resources by affecting their energy budget and thus imposing energetic restrictions and trade-offs on their survival, growth, and reproduction. In this study, we evaluated the interplaying effects of increased pCO(2) levels and temperature on the economically relevant clam Ameghinomya antiqua, an infaunal bivalve inhabiting a wide distributional range along the coast of Chile. Juvenile clams collected from southern Chile were exposed to a 90-day experimental set-up emulating the current and a future scenario projeced to the end of the current century for both high pCO(2)/low-pH and temperature (10 and 15 degrees C) projected for the Chilean coast. Clams showed physiological plasticity to different projected environmental scenarios without mortality. In addition, our results showed that the specimens under low-pH conditions were not able to meet the energetic requirements when increased temperature imposed high maintenance costs, consequently showing metabolic depression. Indeed, although the calcification rate was negative in the high-pCO(2) scenario, it was the temperature that determined the amount of shell loss. These results indicate that the studied clam can face environmental changes for short-term periods modifying energetic allocation on maintenance and growth processes, but with possible long-term population costs, endangering the sustainability of an important benthic artisanal fisheries resource.</t>
  </si>
  <si>
    <t>Lardies, Marco/R-6203-2017; Duarte, Cristian/I-4013-2016; García-Herrera, Claudio/ABE-8991-2020; Labra, Fabio/B-6992-2013</t>
  </si>
  <si>
    <t>Duarte Valenzuela, Cristian Hernan/0000-0002-7033-3551; Lardies, Marco/0000-0003-3525-1830</t>
  </si>
  <si>
    <t>SEP 12</t>
  </si>
  <si>
    <t>10.3389/fmars.2022.972135</t>
  </si>
  <si>
    <t>WOS:000862307200001</t>
  </si>
  <si>
    <t>Mauro, J; Diaz, M; Córdova, T; Villanueva, K; Cáceres, T; Bassi, A; Fritsch, R; Repetto, GM; Ocampo-Garcés, A</t>
  </si>
  <si>
    <t>Mauro, Jorge; Diaz, Mario; Cordova, Teresa; Villanueva, Katiuska; Caceres, Tania; Bassi, Alejandro; Fritsch, Rosemarie; Repetto, Gabriela M.; Ocampo-Garces, Adrian</t>
  </si>
  <si>
    <t>Analysis of REM sleep without atonia in 22q11.2 deletion syndrome determined by domiciliary polysomnography: a cross sectional study</t>
  </si>
  <si>
    <t>SLEEP</t>
  </si>
  <si>
    <t>Study Objectives Our aim is to evaluate the presence of REM sleep without atonia (RWA), the objective hallmark of REM sleep Behaviour Disorder (RBD), as prodromal marker of Parkinson's disease (PD), in an adult cohort of 22q11.2 deletion syndrome (22qDS). Methods Sleep quality was assessed by means of Pittsburgh quality scale index (PSQI), and RBD symptoms by means of RBD questionnaire-Hong-Kong (RBDQ-HK). Attended domiciliary video-Polysomnography (v-PSG) were performed in 26 adults (18-51 years, 14 females) 22qDS patients. Electromyogram during REM sleep was analyzed by means of SINBAR procedure at 3-second time resolution (miniepochs). Results An overall poor sleep quality was observed in the cohort and high RBDQ-HK score in 7 of the 26 patients, two additional patients with positive dream enactment reported by close relatives had low score of RBDQ-HK. Nevertheless, SINBAR RWA scores were lower than cut-off threshold for RWA (mean 5.5%, range 0-12.2%). TST and the percentage of light sleep (N1) were increased, with preserved proportions of N2 and N3. Participants reported poor quality of sleep (mean PSQI &gt; 5), with prolonged sleep latency in the v-PSG. No subjects exhibit evident dream enactment episodes during recording sessions. Conclusions RWA was absent in the studied cohort of 22qDS adult volunteers according to validated polysomnographic criteria. High RBDQ-HK scores do not correlate with v-PSG results among 22qDS individuals.</t>
  </si>
  <si>
    <t>Diaz- Dosque, Mario/IUO-0636-2023; Repetto, Gabriela/C-7833-2012; Fritsch Montero, Rosemarie/C-3519-2009</t>
  </si>
  <si>
    <t>Mauro, Jorge/0000-0001-5414-5860; Repetto, Gabriela/0000-0003-0120-5684; Fritsch Montero, Rosemarie/0000-0001-7694-1470; Ocampo, Adrian/0000-0002-9874-2939</t>
  </si>
  <si>
    <t>0161-8105</t>
  </si>
  <si>
    <t>1550-9109</t>
  </si>
  <si>
    <t>zsab300</t>
  </si>
  <si>
    <t>10.1093/sleep/zsab300</t>
  </si>
  <si>
    <t>WOS:000756437000019</t>
  </si>
  <si>
    <t>García-Hermoso, A; Ezzatvar, Y; Ramírez-Vélez, R; Olloquequi, J; Izquierdo, M</t>
  </si>
  <si>
    <t>Garcia-Hermoso, Antonio; Ezzatvar, Yasmin; Ramirez-Velez, Robinson; Olloquequi, Jordi; Izquierdo, Mikel</t>
  </si>
  <si>
    <t>Is device-measured vigorous physical activity associated with health-related outcomes in children and adolescents? A systematic review and meta-analysis</t>
  </si>
  <si>
    <t>JOURNAL OF SPORT AND HEALTH SCIENCE</t>
  </si>
  <si>
    <t>Objective: This study sought to analyze the prospective association between vigorous-intensity physical activity (VPA) and health-related outcomes in children and adolescents. Methods: Studies reporting associations between device-measured VPA and health-related factors in children and adolescents aged 3-18 years were identified through database searches (MEDLINE, EMBASE, and SPORTDiscus). Correlation coefficients were pooled if outcomes were reported by at least 3 studies, using DerSimonian-Laird random effects models. Results: Data from 23 studies including 13,674 participants were pooled using random effects models. Significant associations were found between VPA at baseline and overall adiposity (r = -0.09, 95% confidence interval (95%CI): -0.15 to -0.03; p = 0.002; I-2 = 89.8%), cardiometabolic risk score (r = -0.13, 95%CI: -0.24 to -0.02, p = 0.020; I-2 = 69.6%), cardiorespiratory fitness (r = 0.25, 95%CI: 0.15-0.35; p &lt; 0.001; I-2 = 57.2%), and total body bone mineral density (r = 0.16, 95%CI: 0.06 to 0.25; p = 0.001; I-2 = 0%). Conclusion: VPA seems to be negatively related to adiposity and cardiometabolic risk score and positively related to cardiorespiratory fitness and total body bone mineral density among children and adolescents at follow-up. Therefore, our findings support the need to strengthen physical activity recommendations regarding VPA due to its health benefits in children and adolescents.</t>
  </si>
  <si>
    <t>Olloquequi, Jordi/ITR-9680-2023; Ezzatvar, Yasmin/ABC-9574-2020; García-Hermoso, Antonio/ADU-2591-2022; Izquierdo, Mikel/A-4894-2010; Garcia-Hermoso, Antonio/P-1857-2017; Ramirez-Velez, Robinson/D-5311-2016</t>
  </si>
  <si>
    <t>Izquierdo, Mikel/0000-0002-1506-4272; Olloquequi, Jordi/0000-0002-6492-2739; Ezzatvar, Yasmin/0000-0002-9691-5998; Garcia-Hermoso, Antonio/0000-0002-1397-7182; Ramirez-Velez, Robinson/0000-0003-3075-6960</t>
  </si>
  <si>
    <t>2095-2546</t>
  </si>
  <si>
    <t>2213-2961</t>
  </si>
  <si>
    <t>10.1016/j.jshs.2020.12.001</t>
  </si>
  <si>
    <t>WOS:000653691200007</t>
  </si>
  <si>
    <t>Antoniett, NR; Dos Santos, DA; Costa, KF; Fernandes, JR; Queiroz, ACC; Perez, DIV; Munoz, EAA; Miarka, B; Brito, CJ</t>
  </si>
  <si>
    <t>Antoniett, Naiara Ribeiro; Dos Santos, Diego Alves; Costa, Keveenrick Ferreira; Fernandes, Jose Raimundo; Queiroz, Andreia Cristiane Carrenho; Valenzuela Perez, Diego Ignacio; Aedo Munoz, Esteban Ariel; Miarka, Bianca; Brito, Ciro Jose</t>
  </si>
  <si>
    <t>Beetroot extract improves specific performance and oxygen uptake in taekwondo athletes: A double-blind crossover study</t>
  </si>
  <si>
    <t>Background. Nitrate-rich supplements such as beetroot extract could improve aerobic performance by increasing neuromuscular functioning. However, little is known about the effects of beetroot extract on combat sports, such as taekwondo. Problem and aim. This study investigated the acute effect of beetroot extract supplementation (1g) on taekwondo athletes undergoing a maximal aerobic test. Methods. Twelve athletes (26.8 +/- 8.8 yrs.; 77.8111.7 kg; 1.8 +/- 0.1 m; 25.3 +/- 3.2 kg/m(2); 10.0 +/- 5.3 Fat%) were submitted to a specific Tack-wondo aerobic protocol. All participants performed an alternated kick (bandal-chagi) maximal protocol under two randomized conditions: a) beetroot extract; and b) Placebo. Results. Beetroot condition showed a higher absolute VO2peak (4.0 +/- 0.6 vs. 3.6 +/- 0.5 L/min; p=0.048), absolute VO2(max) anaerobic threshold (3.7 +/- 0.6 vs. 3.2 +/- 0.6 L/min; p=0.044), and complete stages (10.9 +/- 2.6 vs. 8.3 +/- 1.7 L/min; p=0.009). Lactate concentration increased significantly between measurements taken before, after and 3 min after (170.001) the test, without differences between conditions (p=0.46). Conclusion. Our results suggest an ergogenic effect of beetroot extract supplementation (1 g) on aerobic capacity and specific test performance in taekwondo athletes.</t>
  </si>
  <si>
    <t>Queiroz, Andreia/E-9896-2013; Brito, Ciro/AAC-9104-2019; Aedo-Muñoz, Esteban/R-5623-2019; Miarka, Bianca/V-7395-2017</t>
  </si>
  <si>
    <t>brito, ciro/0000-0002-9678-1977</t>
  </si>
  <si>
    <t>10.14589/ido.21.4.3</t>
  </si>
  <si>
    <t>WOS:000694766900003</t>
  </si>
  <si>
    <t>Gonzalez, A; Orozco-Aguilar, J; Achiardi, O; Simon, F; Cabello-Verrugio, C</t>
  </si>
  <si>
    <t>Gonzalez, Andrea; Orozco-Aguilar, Josue; Achiardi, Oscar; Simon, Felipe; Cabello-Verrugio, Claudio</t>
  </si>
  <si>
    <t>SARS-CoV-2/Renin-Angiotensin System: Deciphering the Clues for a Couple with Potentially Harmful Effects on Skeletal Muscle</t>
  </si>
  <si>
    <t>Severe acute respiratory syndrome coronavirus (SARS-CoV-2) has produced significant health emergencies worldwide, resulting in the declaration by the World Health Organization of the coronavirus disease 2019 (COVID-19) pandemic. Acute respiratory syndrome seems to be the most common manifestation of COVID-19. A high proportion of patients require intensive care unit admission and mechanical ventilation (MV) to survive. It has been well established that angiotensin-converting enzyme type 2 (ACE2) is the primary cellular receptor for SARS-CoV-2. ACE2 belongs to the renin-angiotensin system (RAS), composed of several peptides, such as angiotensin II (Ang II) and angiotensin (1-7) (Ang-(1-7)). Both peptides regulate muscle mass and function. It has been described that SARS-CoV-2 infection, by direct and indirect mechanisms, affects a broad range of organ systems. In the skeletal muscle, through unbalanced RAS activity, SARS-CoV-2 could induce severe consequences such as loss of muscle mass, strength, and physical function, which will delay and interfere with the recovery process of patients with COVID-19. This article discusses the relationship between RAS, SARS-CoV-2, skeletal muscle, and the potentially harmful consequences for skeletal muscle in patients currently infected with and recovering from COVID-19.</t>
  </si>
  <si>
    <t>Cabello-Verrugio, Claudio/AAD-1454-2020; Gonzalez, Andrea/HGU-7618-2022; Achiardi, Oscar/LFU-4968-2024</t>
  </si>
  <si>
    <t>Orozco-Aguilar, Josue/0000-0002-0006-1298; Simon, Felipe/0000-0002-2653-9798; Gonzalez, Andrea/0000-0001-5003-7109; Cabello-Verrugio, Claudio/0000-0001-7273-2102</t>
  </si>
  <si>
    <t>10.3390/ijms21217904</t>
  </si>
  <si>
    <t>WOS:000588949200001</t>
  </si>
  <si>
    <t>Inostroza-Ponta, M; Dorn, M; Escobar, I; Lima, CLD; Rosas, E; Hidalgo, N; Marin, M</t>
  </si>
  <si>
    <t>Inostroza-Ponta, Mario; Dorn, Marcio; Escobar, Ivan; Lima, Leonardo de Correa; Rosas, Erika; Hidalgo, Nicolas; Marin, Mauricio</t>
  </si>
  <si>
    <t>Exploring the high selectivity of 3-D protein structures using distributed memetic algorithms</t>
  </si>
  <si>
    <t>JOURNAL OF COMPUTATIONAL SCIENCE</t>
  </si>
  <si>
    <t>This paper addresses the problem of predicting the tertiary structure of a protein given its amino acid sequence, which has been reported to belong to the NP-Complete class of problems. We design an ad-hoc distributed memetic algorithm (DMA) and evaluate several algorithm configurations in terms of different distributed population structures, ad-hoc local search strategies and the combination of two energy functions. The algorithm uses an asynchronous hierarchical population of agents that exchange solutions along the execution of the algorithm. Extensive computational experiments were carried out in order to test: (1) the impact of the communication on different population structures, (2) the combination of the energy functions used for fitness calculations, (3) the scalability of the algorithm for structures with a larger number of agents, (4) the performance of the different approaches proposed for local search and diversity calculations, (5) the biological significance of the predicted structures and (6) to compare the best performing configuration of the DMA with other algorithms from the literature. The algorithm was tested on 20 sequences of different size, and the analysis was performed regarding both computational quality and biological significance of the predicted structures. Results show that the combination of energy functions and the proposed Distributed Memetic Algorithm allows the prediction of structures that are similar to the experimental ones. Performance analysis shows that increasing parallelism improves the execution times, without worsening the quality of the solutions. (C) 2020 Elsevier B.V. All rights reserved.</t>
  </si>
  <si>
    <t>Rosas, Erika/AFY-6048-2022; Inostroza-Ponta, Mario/G-7548-2012; Marin, Mauricio/GLR-7700-2022; Dorn, Marcio/D-3696-2009</t>
  </si>
  <si>
    <t>Marin, Mauricio/0000-0003-0662-7149; Inostroza-Ponta, Mario/0000-0003-1295-8972; Correa, Leonardo/0000-0001-5183-8581; Dorn, Marcio/0000-0001-8534-3480</t>
  </si>
  <si>
    <t>1877-7503</t>
  </si>
  <si>
    <t>1877-7511</t>
  </si>
  <si>
    <t>10.1016/j.jocs.2020.101087</t>
  </si>
  <si>
    <t>WOS:000527278400008</t>
  </si>
  <si>
    <t>Riazanteseva, MO; Antonova, EE; Stepanova, MV; Marjin, BV; Rubinshtein, IA; Barinova, VO; Sotnikov, NV</t>
  </si>
  <si>
    <t>Riazanteseva, Maria O.; Antonova, Elizaveta E.; Stepanova, Marina, V; Marjin, Boris, V; Rubinshtein, Ilia A.; Barinova, Vera O.; Sotnikov, Nikita, V</t>
  </si>
  <si>
    <t>Relative positions of the polar boundary of the outer electron radiation belt and the equatorial boundary of the auroral oval</t>
  </si>
  <si>
    <t>Finding the position of the polar boundary of the outer electron radiation belt, relative to the position of the auroral oval, is a long-standing problem. Here we analyze it using the data of the ME FLOR-M1 auroral satellite for the period from 11 November 2009 to 27 March 2010. The geomagnetic conditions during the analyzed period were comparatively quiet. ME FLOR-M1 has a polar solar-synchronous circular orbit with an altitude of approximate to 832 km, a period of 101.3 min, and an inclination of 98 degrees. We analyze flux observations of auroral electrons with energies between 0.03 and 16 keV, and electrons with energies &gt; 100 keV, measured simultaneously by the GGAK-M set of instruments, composed of semiconductors, scintillator detectors, and electrostatic analyzers. We assume that in the absence of geomagnetic storms the polar boundary of the outer radiation belt can be identified as a decrease in the count rate of precipitating energetic electrons to the background level. It was found that this boundary can be located both inside the auroral oval or equatorward of the equatorial boundary of the auroral precipitation. It was also found that for slightly disturbed geomagnetic conditions the polar boundary of the outer radiation belt is almost always located inside the auroral oval. We observe that the difference between the position of the polar boundary of the outer radiation belt and the position of the equatorial boundary of the auroral precipitation depend on the AE and PC indices of geomagnetic activity. The implications of these results in the analysis of the formation of the outer radiation belt are discussed.</t>
  </si>
  <si>
    <t>Riazantseva, Maria/G-9066-2014; Stepanova, Marina/D-6329-2011; Antonova, Elizaveta/A-2716-2012; Barinova, Vera/K-6143-2012</t>
  </si>
  <si>
    <t>Stepanova, Marina/0000-0002-1053-3375; Antonova, Elizaveta/0000-0001-6980-3993; Barinova, Vera/0000-0001-5492-0468</t>
  </si>
  <si>
    <t>10.5194/angeo-36-1131-2018</t>
  </si>
  <si>
    <t>WOS:000442246700001</t>
  </si>
  <si>
    <t>Ramírez-Vélez, R; Correa-Bautista, JE; Sanders-Tordecilla, A; Ojeda-Pardo, ML; Cobo-Mejía, EA; Castellanos-Vega, RD; García-Hermoso, A; González-Jiménez, E; Schmidt-RioValle, J; González-Ruíz, K</t>
  </si>
  <si>
    <t>Ramirez-Velez, Robinson; Enrique Correa-Bautista, Jorge; Sanders-Tordecilla, Alejandra; Liliana Ojeda-Pardo, Monica; Andrea Cobo-Mejia, Elisa; del Pilar Castellanos-Vega, Rocio; Garcia-Hermoso, Antonio; Gonzalez-Jimenez, Emilio; Schmidt-RioValle, Jacqueline; Gonzalez-Ruiz, Katherine</t>
  </si>
  <si>
    <t>Percentage of Body Fat and Fat Mass Index as a Screening Tool for Metabolic Syndrome Prediction in Colombian University Students</t>
  </si>
  <si>
    <t>High body fat is related to metabolic syndrome (MetS) in all ethnic groups. Based on the International Diabetes Federation (IDF) definition of MetS, the aim of this study was to explore thresholds of body fat percentage (BF%) and fat mass index (FMI) for the prediction of MetS among Colombian University students. A cross-sectional study was conducted on 1687 volunteers (63.4% women, mean age = 20.6 years). Weight, waist circumference, serum lipids indices, blood pressure, and fasting plasma glucose were measured. Body composition was measured by bioelectrical impedance analysis (BIA) and FMI was calculated. MetS was defined as including more than or equal to three of the metabolic abnormalities according to the IDF definition. Receiver operating curve (ROC) analysis was used to determine optimal cut-off points for BF% and FMI in relation to the area under the curve (AUC), sensitivity, and specificity in both sexes. The overall prevalence of MetS was found to be 7.7%, higher in men than women (11.1% vs. 5.3%; p &lt; 0.001). BF% and FMI were positively correlated to MetS components (p &lt; 0.05). ROC analysis indicated that BF% and FMI can be used with moderate accuracy to identify MetS in university-aged students. BF% and FMI thresholds of 25.55% and 6.97 kg/m(2) in men, and 38.95% and 11.86 kg/m(2) in women, were found to be indicative of high MetS risk. Based on the IDF criteria, both indexes' thresholds seem to be good tools to identify university students with unfavorable metabolic profiles.</t>
  </si>
  <si>
    <t>Tordecilla Sanders, Maria Alejandra/O-6276-2017; Correa-Bautista, Jorge Enrique/JDD-3131-2023; García-Hermoso, Antonio/ADU-2591-2022; Castellanos Vega, Rocío del Pilar/ABB-2550-2021; González-Ruíz, Katherine/CAA-4624-2022; Garcia-Hermoso, Antonio/P-1857-2017; Gonzalez-Jimenez, Emilio/I-6039-2017; Ramirez-Velez, Robinson/D-5311-2016; Schmidt-Riovalle, Jacqueline/I-6333-2017; Correa-Bautista, Jorge Enrique/N-2741-2015</t>
  </si>
  <si>
    <t>Garcia-Hermoso, Antonio/0000-0002-1397-7182; Gonzalez-Jimenez, Emilio/0000-0001-5103-6028; Cobo-Mejia, Elisa Andrea/0000-0002-5739-4325; Ramirez-Velez, Robinson/0000-0003-3075-6960; Schmidt-Riovalle, Jacqueline/0000-0003-2775-0058; Correa-Bautista, Jorge Enrique/0000-0002-0646-2316; Gonzalez-Ruiz, Katherine/0000-0001-7518-0761; Ojeda Pardo, Monica Liliana/0000-0002-8310-5742; Castellanos-Vega, Rocio del Pilar/0000-0003-4785-6634</t>
  </si>
  <si>
    <t>10.3390/nu9091009</t>
  </si>
  <si>
    <t>WOS:000411973200092</t>
  </si>
  <si>
    <t>Yin, F; Velastin, SA; Ellis, T; Makris, D</t>
  </si>
  <si>
    <t>Yin, Fei; Velastin, Sergio A.; Ellis, Tim; Makris, Dimitrios</t>
  </si>
  <si>
    <t>Learning multi-planar scene models in multi-camera videos</t>
  </si>
  <si>
    <t>Many man-made environments are constructed with multiple levels where people walk, joined by stairs, ramps and overpasses. This study proposes a novel method to learn the geometry of a scene containing more than a single ground plane by tracking pedestrians and combining information from multiple views. The method estimates a scene model with multiple planes by measuring the variation of pedestrian heights across each camera's field of view. It segments the image into separate plane regions, estimating the relative depth and altitude for each image pixel, thus building a three-dimensional reconstruction of the scene. By estimating the multiple planes, the method enables tracking algorithms to follow objects (pedestrians and/or vehicles) that are moving on different ground planes in the scene. The authors also introduce what they believe is the first public dataset with pedestrian traffic on multiple planes to encourage other researchers to compare their work in this field.</t>
  </si>
  <si>
    <t>10.1049/iet-cvi.2013.0261</t>
  </si>
  <si>
    <t>WOS:000349308600003</t>
  </si>
  <si>
    <t>Olivares, E; Landry, DM; Cáceres, CJ; Pino, K; Rossi, F; Navarrete, C; Huidobro-Toro, JP; Thompson, SR; López-Lastra, M</t>
  </si>
  <si>
    <t>Olivares, Eduardo; Landry, Dori M.; Joaquin Caceres, C.; Pino, Karla; Rossi, Federico; Navarrete, Camilo; Pablo Huidobro-Toro, Juan; Thompson, Sunnie R.; Lopez-Lastra, Marcelo</t>
  </si>
  <si>
    <t>The 5′ Untranslated Region of the Human T-Cell Lymphotropic Virus Type 1 mRNA Enables Cap-Independent Translation Initiation</t>
  </si>
  <si>
    <t>JOURNAL OF VIROLOGY</t>
  </si>
  <si>
    <t>The human T-cell leukemia virus type 1 (HTLV-1) is a complex human retrovirus that causes adult T cell leukemia and of HTLV-associated myelopathy/tropical spastic paraparesis. The mRNA of some complex retroviruses, including the human and simian immunodeficiency viruses (HIV and SIV), can initiate translation using a canonical cap-dependent mechanism or through an internal ribosome entry site (IRES). In this study, we present strong evidence showing that like HIV-1 and SIV, the 5 '-untranslated region (5 ' UTR) of the HTLV-1 full-length mRNA harbors an IRES. Cap-independent translational activity was evaluated and demonstrated using dual luciferase bicistronic mRNAs in rabbit reticulocyte lysate, in mammalian cell culture, and in Xenopus laevis oocytes. Characterization of the HTLV-1 IRES shows that its activity is dependent on the ribosomal protein S25 (RPS25) and that its function is highly sensitive to the drug edeine. Together, these findings suggest that the 5 ' UTR of the HTLV-1 full-length mRNA enables internal recruitment of the eukaryotic translation initiation complex. However, the recognition of the initiation codon requires ribosome scanning. These results suggest that, after internal recruitment by the HTLV-1 IRES, a scanning step takes place for the 40S ribosomal subunit to be positioned at the translation initiation codon.</t>
  </si>
  <si>
    <t>Caceres, C./AAR-1810-2021; Lopez-Lastra, Marcelo/HHM-9832-2022</t>
  </si>
  <si>
    <t>Thompson, Sunnie/0000-0002-7338-8822; Lopez-Lastra, Marcelo/0000-0002-7936-8478; Caceres, C. Joaquin/0000-0001-8508-6592</t>
  </si>
  <si>
    <t>0022-538X</t>
  </si>
  <si>
    <t>1098-5514</t>
  </si>
  <si>
    <t>10.1128/JVI.00279-14</t>
  </si>
  <si>
    <t>WOS:000335970300005</t>
  </si>
  <si>
    <t>Valdés, H; Romero, J; Sanchez, J; Bocquet, S; Rios, GM; Valenzuela, F</t>
  </si>
  <si>
    <t>Valdes, H.; Romero, J.; Sanchez, J.; Bocquet, S.; Rios, G. M.; Valenzuela, F.</t>
  </si>
  <si>
    <t>Characterization of chemical kinetics in membrane-based liquid-liquid extraction of molybdenum(VI) from aqueous solutions</t>
  </si>
  <si>
    <t>CHEMICAL ENGINEERING JOURNAL</t>
  </si>
  <si>
    <t>This study aims to describe the mass transfer in a membrane-based solvent extraction system for the extraction of molybdenum(VI) from aqueous solutions, identifying chemical kinetics of the complex formation at the interface. The analyzed process is the membrane-based solvent extraction of molybdenum(VI) from aqueous solutions with n-hexane containing Alamine 336 as extraction phase using a hollow fiber contactor. This extraction process has been described through a resistances-in-series model, taking into account transport and thermodynamic relationships. In this work, the model has been used to identify an effective reaction rate expression and to describe the mass transfer by complex formation at the interface. The reaction rate expression has been estimated from experimental data obtained in a previous work [F. Valenzuela, H. Aravena, C. Basualto, J. Sapag, C. Tapia, Separation of Cu2+ and molybdenum(VI) from mine waters using two microporous extraction systems, Separation Science and Technology 35 (2000)1409-1421]. The proposed calculation methodology can be used as a tool to scale-up when the information about chemical kinetics of complex formation is not available. (C) 2009 Elsevier B.V. All rights reserved.</t>
  </si>
  <si>
    <t>Romero, Julio/I-6705-2013; Sanchez-Marcano, Jose/E-1445-2012; Valdes, Hugo/H-2019-2017</t>
  </si>
  <si>
    <t>Sanchez-Marcano, Jose/0000-0003-1783-2092; Valdes, Hugo/0000-0002-2486-5872; Romero, Julio/0000-0002-1229-1592</t>
  </si>
  <si>
    <t>1385-8947</t>
  </si>
  <si>
    <t>1873-3212</t>
  </si>
  <si>
    <t>10.1016/j.cej.2009.04.012</t>
  </si>
  <si>
    <t>WOS:000274348300042</t>
  </si>
  <si>
    <t>Lagos, G; García, R; Agudo, AL; Yates, M; Fierro, JLG; Gil-Llambías, FJ; Escalona, N</t>
  </si>
  <si>
    <t>Lagos, G.; Garcia, R.; Agudo, A. Lopez; Yates, M.; Fierro, J. L. G.; Gil-Llambias, F. J.; Escalona, N.</t>
  </si>
  <si>
    <t>Characterisation and reactivity of Re/carbon catalysts in hydrodesulphurisation of dibenzothiophene: Effect of textural and chemical properties of support</t>
  </si>
  <si>
    <t>This work examines the effect of the textural and chemical properties of two activated carbons on the activity of carbon-supported Re catalysts for the hydrodesulphurisation (HDS) of dibenzothiophene (DBT). For this purpose, two series of Re-containing catalysts with Re loadings between 0.06 and 0.33 atoms Re nm(-2) were prepared by impregnation of microporous (CMI) and micro-mesoporous (CME) activated carbons with solutions of NH4ReO4. Characterisation of the carbon supports by textural analysis showed that the CMI carbon was exclusively microporous while the CME was micro- and mesoporous. Temperature-programmed decomposition (TPD), FTIR and electrophoretic migration and acidity measurements showed that the CMI presented a greater amount of highly stable oxygen surface groups (carbonyl and quinone type) and less strong acidic carboxylic groups than CME. The textural properties of the catalysts indicated that the oxidic Re species of the catalyst precursors were mostly deposited over the external surface of the carbons. Upon sulphidation, XPS results showed that Re was fully sulphided for both catalyst series, and that the deposited oxidic Re species were redistributed during sulphidation due to the interaction with the stable oxygen surface groups of the carbons. The greater concentration of these oxygen surface groups on the CMI carbon led to better Re dispersion in the Re(x)/CMI catalysts than in the Re(x)/CME catalysts, especially at low Re loadings. Thus, the Re(x)/CMI catalysts showed higher HDS activity and greater increases in activity with increasing Re loadings up to about 0.15 Re atoms nm(-2) than the Re(x)/CME catalysts. Above this Re content, the texture of the carbons controlled the HDS activity. The activity of the Re(x)/CMI catalysts decreased markedly due to a decrease in ReS2 dispersion caused by formation of Re multilayers and plugging of micropores, while the activity of the Re(x)/CME catalysts continued increasing because the presence of larger pores on the CME carbon delayed the effects of pore blocking and ReS2 sintering to higher Re loadings. (C) 2009 Elsevier B.V. All rights reserved.</t>
  </si>
  <si>
    <t>Escalona, Nestor/F-3593-2016; Garcia Fierro, Jose Luis/C-4774-2014; Yates, Malcolm/H-5152-2015</t>
  </si>
  <si>
    <t>Garcia Fierro, Jose Luis/0000-0002-6880-3737; Yates, Malcolm/0000-0001-5128-1218; Escalona Burgos, Nestor/0000-0002-2628-4609</t>
  </si>
  <si>
    <t>10.1016/j.apcata.2009.01.034</t>
  </si>
  <si>
    <t>WOS:000265237700005</t>
  </si>
  <si>
    <t>Vargas, P; Altbir, D; Castro, JDE</t>
  </si>
  <si>
    <t>Fast Monte Carlo method for magnetic nanoparticles</t>
  </si>
  <si>
    <t>We present a fast and reliable method for investigating the magnetic properties of nanostructures. It combines the standard Monte Carlo and scaling techniques to allow results for such systems to be obtained by carrying out calculations for much smaller systems. The method is illustrated by applying it to the well-known problem of determining the single-domain limit of a cubic magnetic particle with an easy axis parallel to one of the cube directions. Results are in good agreement with those of micromagnetic calculations.</t>
  </si>
  <si>
    <t>Vargas, Patricio/AAL-2633-2020; Altbir, Dora/R-6781-2018</t>
  </si>
  <si>
    <t>vargas, patricio/0000-0001-9235-9747; Altbir, Dora/0000-0002-2945-4909</t>
  </si>
  <si>
    <t>10.1103/PhysRevB.73.092417</t>
  </si>
  <si>
    <t>WOS:000236467100027</t>
  </si>
  <si>
    <t>Osorio-Olivares, M; Rezende, MC; Sepúlveda-Boza, S; Cassels, BK; Baggio, RF; Muñoz-Acevedo, JC</t>
  </si>
  <si>
    <t>A two-step method for the preparation of homochiral cathinones</t>
  </si>
  <si>
    <t>TETRAHEDRON-ASYMMETRY</t>
  </si>
  <si>
    <t>A simple method for the preparation of homochiral ring-substituted 1-aryl-2-aminopropanones 2 ('cathinones') is described, involving initial Friedel-Crafts acylation of aromatics with (S)- or (R)-N-trifluoroacetylalanyl chloride, followed by acid hydrolysis of the intermediate trifluoroacetamido intermediates 1. for which X-ray diffraction analysis confirmed the structures. (C) 2003 Elsevier Science Ltd. All rights reserved.</t>
  </si>
  <si>
    <t>Caroli, Marcos/H-3570-2019; Cassels, Bruce/H-6937-2013</t>
  </si>
  <si>
    <t>Rezende, Marcos/0000-0003-2040-9009; Osorio-Olivares, Mauricio/0000-0003-4391-1739</t>
  </si>
  <si>
    <t>0957-4166</t>
  </si>
  <si>
    <t>JUN 6</t>
  </si>
  <si>
    <t>10.1016/S0957-4166(03)00317-3</t>
  </si>
  <si>
    <t>WOS:000183239900008</t>
  </si>
  <si>
    <t>Magnetism of nanosized metallic Co-clusters</t>
  </si>
  <si>
    <t>International Conference on Magnetism</t>
  </si>
  <si>
    <t>AUG 06-11, 2000</t>
  </si>
  <si>
    <t>RECIFE, BRAZIL</t>
  </si>
  <si>
    <t>CNPq,FINEP,CAPES,FACEPE,FAPEST,FAPERJ</t>
  </si>
  <si>
    <t>The magnetization of a small ferromagnetic particle as a function of the temperature is investigated. The possibility of occurrence of vortex-like excitations within the cluster, giving rise to a non-saturated magnetization even at low temperatures, is pointed out. (C) 2001 Elsevier Science B.V. All rights reserved.</t>
  </si>
  <si>
    <t>10.1016/S0304-8853(00)00691-0</t>
  </si>
  <si>
    <t>WOS:000170708600221</t>
  </si>
  <si>
    <t>Antil, H; Biccari, U; Ponce, R; Warma, M; Zamorano, S</t>
  </si>
  <si>
    <t>Antil, Harbir; Biccari, Umberto; Ponce, Rodrigo; Warma, Mahamadi; Zamorano, Sebastian</t>
  </si>
  <si>
    <t>CONTROLLABILITY PROPERTIES FROM THE EXTERIOR UNDER POSITIVITY CONSTRAINTS FOR A 1-D FRACTIONAL HEAT EQUATION</t>
  </si>
  <si>
    <t>EVOLUTION EQUATIONS AND CONTROL THEORY</t>
  </si>
  <si>
    <t>We study the controllability to trajectories, under positivity constraints on the control or the state, of a one-dimensional heat equation involving the fractional Laplace operator (-partial derivative(2)(x))s (with 0 &lt; s &lt; 1) on the interval (-1,1). Our control function is localized in an open set O in the exterior of (-1,1), that is, O subset of R\(-1,1)). We show that there exists a minimal (strictly positive) time T-min such that the fractional heat dynamics can be controlled from any initial datum in L-2(-1,1) to a positive trajectory through the action of an exterior positive control, if and only if 1/2 &lt; s &lt; 1. In addition, we prove that at this minimal controllability time, the constrained controllability is achieved by means of a control that belongs to a certain space of Radon measures. Finally, we provide several numerical illustrations that confirm our theoretical results.</t>
  </si>
  <si>
    <t>Biccari, Umberto/AAS-1843-2020; Zamorano, Sebastián/AAY-2547-2020</t>
  </si>
  <si>
    <t>2163-2480</t>
  </si>
  <si>
    <t>10.3934/eect.2024010</t>
  </si>
  <si>
    <t>WOS:001172141900001</t>
  </si>
  <si>
    <t>Irarrázaval, M; López, I; Figueroa, C; Cabezas, M; Yáñez, C; Rodillo, E; Riesle, S; Rivera, T; García, R</t>
  </si>
  <si>
    <t>Irarrazaval, Matias; Lopez, Isabel; Figueroa, Cecilia; Cabezas, Marcia; Yanez, Cristian; Rodillo, Eliana; Riesle, Sofia; Rivera, Tamara; Garcia, Ricardo</t>
  </si>
  <si>
    <t>Adaptation and Validation of the Autism Mental Status Examination (AMSE) in Chile: seeking to reduce the diagnostic gap</t>
  </si>
  <si>
    <t>ANDES PEDIATRICA</t>
  </si>
  <si>
    <t>Early detection of Autism is a challenge in Chile and Latin America. Gold-standard evaluations are expensive and difficult to access. The Autism Mental Status Exam (AMSE) is a brief, structured, observational instrument for clinical use with promising results. Objective: To adapt and validate the AMSE in a sample of Spanish-speaking children and adolescents at risk of Autism Spectrum Disorder (ASD) using the ADOS-2 as a comparison. Subjects and Method: Children and adolescents aged 15m-17yo consulting due to language and communication problems and/or suspected ASD. The AMSE was administered during clinical evaluation. The ADOS-2 was administered by independent evaluators, blinded to the study, which determined diagnostic categories as: Non-Autism Spectrum Disorder (Non-ASD), Autism Spectrum Disorder (ASD), or Autism (AUT). Psychometric characteristics of the AMSE were assessed and, using the ROC curve, a cut-off point was calculated, identifying sensitivity, specificity, positive, and negative predictive value. Results: Sixty-four children participated, 56 were males (87.5%), with a mean age of 6.6y (SD: 3.6). They were distributed as Non-ASD: 12 (18.8%), ASD: 19 (29.7%), and AUT: 33 (51.6%) according to the ADOS-2. The AMSE scores differed significantly among the three categories (p&lt;0.0001). Internal consistency was moderate and Cronbach's alpha was 0.61. The cut-off point was &gt;_6 (Sensitivity 0.79, Specificity 0.92, AUC: 0.91). A second analysis according to language level suggests a greater diagnostic accuracy of the AMSE for the group with lower language development, maintaining the same optimal cut-off point (&gt;_6). Conclusions: The AMSE shows adequate psychometric properties, good capacity, and accuracy to support the diagnosis of ASD. Its brevity, low cost, and easy integration into clinical practice make it an alternative with great potential for timely recognition and referral of children with ASD.</t>
  </si>
  <si>
    <t>Irarrazaval, Matias/GRO-1960-2022</t>
  </si>
  <si>
    <t>Garcia, Ricardo/0000-0001-7157-4245; Irarrazaval, Matias/0000-0002-9087-8305</t>
  </si>
  <si>
    <t>****_****</t>
  </si>
  <si>
    <t>2452-6053</t>
  </si>
  <si>
    <t>10.32641/andespediatr.v94i4.4476</t>
  </si>
  <si>
    <t>WOS:001053878700008</t>
  </si>
  <si>
    <t>Carmona, M; Poblete-Castro, I; Rai, M; Turner, RJ</t>
  </si>
  <si>
    <t>Carmona, Manuel; Poblete-Castro, Ignacio; Rai, Mahendra; Turner, Raymond J.</t>
  </si>
  <si>
    <t>Opportunities and obstacles in microbial synthesis of metal nanoparticles</t>
  </si>
  <si>
    <t>MICROBIAL BIOTECHNOLOGY</t>
  </si>
  <si>
    <t>Metallic nanoparticles (MeNPs) are widely used in many areas such as biomedicine, packaging, cosmetics, colourants, agriculture, antimicrobial agents, cleaning products, as components of electronic devices and nutritional supplements. In addition, some MeNPs exhibit quantum properties, making them suitable materials in the photonics, electronic and energy industries. Through the lens of technology, microbes can be considered nanofactories capable of producing enzymes, metabolites and capping materials involved in the synthesis, assembly and stabilization of MeNPs. This bioprocess is considered more ecofriendly and less energy intensive than the current chemical synthesis routes. However, microbial synthesis of MeNPs as an alternative method to the chemical synthesis of nanomaterials still faces some challenges that need to be solved. Some of these challenges are described in this Editorial.</t>
  </si>
  <si>
    <t>Poblete-Castro, Ignacio/J-2755-2019; Carmona, Manuel/A-2325-2015; Rai, Mahendra/AAG-3336-2019; Turner, Raymond J./M-3961-2015</t>
  </si>
  <si>
    <t>Rai, Mahendra/0000-0003-0291-0422; Poblete-Castro, Ignacio/0000-0001-6649-0389; Turner, Raymond J./0000-0002-9263-0776; Carmona, Manuel/0000-0002-1591-7618</t>
  </si>
  <si>
    <t>1751-7915</t>
  </si>
  <si>
    <t>10.1111/1751-7915.14254</t>
  </si>
  <si>
    <t>WOS:000978432600001</t>
  </si>
  <si>
    <t>Hostos, JCA; Bove, JCS; Cruchaga, MA; Fachinotti, VD; Agelvis, RAM</t>
  </si>
  <si>
    <t>Alvarez Hostos, Juan C.; Salazar Bove, Joselynne C.; Cruchaga, Marcela A.; Fachinotti, Victor D.; Mujica Agelvis, Rafael A.</t>
  </si>
  <si>
    <t>Solving steady-state lid-driven square cavity flows at high Reynolds numbers via a coupled improved element-free Galerkin-reduced integration penalty method</t>
  </si>
  <si>
    <t>COMPUTERS &amp; MATHEMATICS WITH APPLICATIONS</t>
  </si>
  <si>
    <t>Steady-state two-dimensional lid-driven square cavity flows at high Reynolds numbers are solved in this communication using a velocity-based formulation developed in the context of the improved element-free Galerkin-reduced integration penalty method (IEFG-RIPM). The analyses based on the IEFG-RIPM are performed under a standard Galerkin weak-formulation, i.e. without the need of introducing streamline-upwind or pressure stabilizing terms in order to suppress the appearance of non-physical oscillations. Solutions in a wide range of high Reynolds numbers are successfully achieved, and the results obtained have exhibited an excellent agreement with mesh-based solutions reported in the literature. The numerical performance of the proposed IEFG-RIPM in the solution of such benchmark problem has been analysed in terms of velocity distribution, streamline patterns, vorticity and pressure contours, and also in terms of the properties of primary and secondary vortices. The outcomes of this study demonstrate the potential of the IEFG-RIPM as a feasible and reliable numerical technique for the analysis of lid-driven square cavity flows at high Reynolds numbers, allowing the fulfilment of accuracy and stability numerical requirements demanded in the solution of this benchmark problem in a remarkably simple manner.</t>
  </si>
  <si>
    <t>Álvarez Hostos, Juan Carlos/HJZ-4972-2023; Cruchaga, Marcela/M-7522-2014</t>
  </si>
  <si>
    <t>Cruchaga, Marcela/0000-0002-8708-2402; Alvarez Hostos, Juan Carlos/0000-0002-4636-4948; Fachinotti, Victor/0000-0002-5702-6274; Mujica, Rafael/0000-0001-8812-9084</t>
  </si>
  <si>
    <t>0898-1221</t>
  </si>
  <si>
    <t>1873-7668</t>
  </si>
  <si>
    <t>10.1016/j.camwa.2021.08.013</t>
  </si>
  <si>
    <t>WOS:000701652500016</t>
  </si>
  <si>
    <t>Polanco-Guzmán, I; Rodríguez-Troncoso, M; Hammad, AWA; Haddad, AN; Tam, VWY; Vasco, DA</t>
  </si>
  <si>
    <t>Polanco-Guzman, Ivan; Rodriguez-Troncoso, Marcos; Hammad, Ahmed W. A.; Haddad, Assed N.; Tam, Vivian W. Y.; Vasco, Diego A.</t>
  </si>
  <si>
    <t>An improved ventilation system for settling stage of a wastewater treatment plant: a computational simulation analysis</t>
  </si>
  <si>
    <t>INTERNATIONAL JOURNAL OF CONSTRUCTION MANAGEMENT</t>
  </si>
  <si>
    <t>The present study examines the development of a push-pull ventilation system with localized extraction located for use in wastewater treatment. The proposed approach aims to minimize the concentration of H2S in the settling stage of a wastewater treatment plant located in Santiago de Chile. Computational fluid dynamic simulations were implemented, and these were contrasted with actual measurements of H2S emission to assess and to improve the existing forced crossed ventilation system in place. Along with the measurement of H2S emissions, other important operating parameters of the existing ventilation system, including air velocity and NH3 concentration were measured. The measurements at different positions of the settling stage of the wastewater treatment process showed H2S concentrations as high as 21 mg/m(3) at the center over the water surface when utilizing the existing crossed ventilation system. In general, the measured H2S concentrations agree with those predicted by computational simulations, with discrepancies between 8.1% and 28.4%. An assessment of the improved ventilation system with localized extraction systems (push-pull) was carried out to determine the level of effectiveness of decreasing the concentration of H2S in the settling plant. According to the obtained results, the concentration of H2S in the corridors of the plant does not surpass 7.5 ppm, which meets the required Chilean regulation.</t>
  </si>
  <si>
    <t>Hammad, Ahmed/T-2116-2019; Vasco, Diego/Y-2934-2019; Haddad, Assed/C-9206-2014</t>
  </si>
  <si>
    <t>Vasco, Diego Andres/0000-0001-7456-4683; Haddad, Assed/0000-0002-4793-0905; Tam, Vivian/0000-0002-1074-8018</t>
  </si>
  <si>
    <t>1562-3599</t>
  </si>
  <si>
    <t>2331-2327</t>
  </si>
  <si>
    <t>10.1080/15623599.2020.1857003</t>
  </si>
  <si>
    <t>DEC 2020</t>
  </si>
  <si>
    <t>WOS:000597710800001</t>
  </si>
  <si>
    <t>Orrego, F; Ortiz-Calderón, C; Lutts, S; Ginocchio, R</t>
  </si>
  <si>
    <t>Orrego, Fabiola; Ortiz-Calderon, Claudia; Lutts, Stanley; Ginocchio, Rosanna</t>
  </si>
  <si>
    <t>Growth and physiological effects of single and combined Cu, NaCl, and water stresses on Atriplex atacamensis and A. halimus</t>
  </si>
  <si>
    <t>ENVIRONMENTAL AND EXPERIMENTAL BOTANY</t>
  </si>
  <si>
    <t>Halophyte species have been proposed as suitable candidates for the phytostabilization of metal enriched sites in arid and semiarid ecosystems, but co-occurring conditions, such as salinity and water stress, can affect plant growth and colonization. In this work, we determined the effect of single and combined copper (Cu), salt (NaCl), and water stress on growth and tolerance strategies used by two xerohalophyte species of the genus Atriplex: Chilean A. atacamensis and European A. halimus. Seedlings of both species were subjected to 5 and 10 u M Cu, 0.5% NaCl, and 7.85 mM polyethylene glycol 6000 (PEG) in hydroponic cultures to create single and combined stress treatments. A single Cu stressor decreased growth parameters of both species, with a higher effect on A. atacamensis. Copper accumulation was higher in roots, which can be related to an increase of root non-protein thiols (NPT). Single NaCl had no negative effects on growth but increased leaf sodium (Na). Single PEG decreased shoot growth, especially in A. halimus, but had no effect on GSH expression. A combination of Cu, NaCl, and PEG further decreased growth parameters, but did not decrease glutathione, proline, or non-protein thiol expression. Atriplex atacamensis and A. halimus are affected differently by combined stresses, but both species show an active tolerance response to the presented conditions.</t>
  </si>
  <si>
    <t>Ginocchio, Rosanna/S-7592-2019</t>
  </si>
  <si>
    <t>Orrego, Fabiola/0000-0001-7699-3668</t>
  </si>
  <si>
    <t>0098-8472</t>
  </si>
  <si>
    <t>1873-7307</t>
  </si>
  <si>
    <t>10.1016/j.envexpbot.2019.103919</t>
  </si>
  <si>
    <t>WOS:000499735700021</t>
  </si>
  <si>
    <t>Bloemeke, J; Valdez, RB; Mauras, N; Mericq, V; Ross, J; Permuy, J; Quitmann, J; Bullinger, M</t>
  </si>
  <si>
    <t>Bloemeke, Janika; Valdez, Richelle Balacano; Mauras, Nelly; Mericq, Veronica; Ross, Judith; Permuy, Joseph; Quitmann, Julia; Bullinger, Monika</t>
  </si>
  <si>
    <t>Psychometric performance of the Quality of Life in Short Stature Youth (QoLISSY) questionnaire in a randomized open-label comparator trial in idiopathic short stature</t>
  </si>
  <si>
    <t>JOURNAL OF PEDIATRIC ENDOCRINOLOGY &amp; METABOLISM</t>
  </si>
  <si>
    <t>Background: In addition to increasing linear growth, improvement in health-related quality of life (HRQOL) is an important endpoint in the treatment of short statured youth. Hence, condition-specific psychometric valid instruments that adequately assess HRQOL are needed. We aimed to confirmatorily examine the psychometric performance of the Quality of Life in Short Stature Youth (QoLISSY) questionnaire used in a previously reported prospective randomized open-label trial. Methods: This trial compared treatment of idiopathic short stature (ISS) in 76 adolescent males with either oral aromatase inhibitors (AIs), subcutaneous daily growth hormone (GH) or a combination treatment (AI/Gli) for at least 2 years, demonstrating improvements in HRQOL, with the Gil and AI/GH interventions. HRQOL, was assessed from the child's and parent's perspectives with the short stature-specific QoLISSY and the generic KIDSCREEN questionnaires before and 24 months into treatment. Scale scores and psychometric properties were examined regarding reliability and validity of the QoLISSY questionnaire using the dataset from the published trial. Results: The QoLISSY questionnaire showed high internal consistency and satisfactory criterion, convergent and known-groups validity. Scale scores were evenly distributed with no major floor or ceiling effects. Responsiveness analyses suggest that the QoLISSY questionnaire detects significant changes in HRQOL after 2 years of treatment with growth-promoting therapies in children with short stature from both the child's and parent's perspectives. Conclusions: The QoLISSY questionnaire is a psychometrically sound, reliable and valid instrument that can explore the experiences associated with short stature, track HRQOL changes over time and in response to treatment, and highlight HRQOL domains that can be improved through intervention.</t>
  </si>
  <si>
    <t>Mericq, Veronica/F-3927-2010</t>
  </si>
  <si>
    <t>Ross, Judith/0000-0002-8613-2498; Bloemeke-Cammin, Janika/0000-0002-9886-9892; Mauras, Nelly/0000-0003-1175-3852</t>
  </si>
  <si>
    <t>0334-018X</t>
  </si>
  <si>
    <t>2191-0251</t>
  </si>
  <si>
    <t>10.1515/jpem-2019-0137</t>
  </si>
  <si>
    <t>WOS:000494784600008</t>
  </si>
  <si>
    <t>Ispolatov, I; Alekseeva, E; Doebeli, M</t>
  </si>
  <si>
    <t>Ispolatov, Iaroslav; Alekseeva, Evgeniia; Doebeli, Michael</t>
  </si>
  <si>
    <t>Competition-driven evolution of organismal complexity</t>
  </si>
  <si>
    <t>PLOS COMPUTATIONAL BIOLOGY</t>
  </si>
  <si>
    <t>Author summary We provide a theoretical proof-of-principle explanation for the empirically well-documented macroevolutionary pattern of punctuated changes in organismal complexity. According to such patterns, many phenotypic properties related to organismal complexity, such as body size, the development of new sensory or locomotive capabilities, etc., show long periods of relatively slow changes interrupted by intermittent bursts of rapid evolutionary changes. Building on earlier work, we argue that punctuated expansions in organismal complexity can be caused by a threshold-like response to growing ecological pressures in diversifying communities at an existing level of complexity. Acquisition of novel phenotypic features then allows a species to escape this pressure once the existing diversity reaches a certain threshold. Continuing our previous line of research on microevolutionary models for long-term evolution in high-dimensional phenotype spaces, we present a detailed quantitative description of this process based on a classic competition model. The resulting macro-evolutionary dynamics exhibit sequential increases in phenotypic complexity driven by the build-up of competitive pressures at an existing level of complexity, which allows the evolution of novel phenotypes despite substantial physiological costs. Non-uniform rates of morphological evolution and evolutionary increases in organismal complexity, captured in metaphors like adaptive zones, punctuated equilibrium and blunderbuss patterns, require more elaborate explanations than a simple gradual accumulation of mutations. Here we argue that non-uniform evolutionary increases in phenotypic complexity can be caused by a threshold-like response to growing ecological pressures resulting from evolutionary diversification at a given level of complexity. Acquisition of a new phenotypic feature allows an evolving species to escape this pressure but can typically be expected to carry significant physiological costs. Therefore, the ecological pressure should exceed a certain level to make such an acquisition evolutionarily successful. We present a detailed quantitative description of this process using a microevolutionary competition model as an example. The model exhibits sequential increases in phenotypic complexity driven by diversification at existing levels of complexity and a resulting increase in competitive pressure, which can push an evolving species over the barrier of physiological costs of new phenotypic features.</t>
  </si>
  <si>
    <t>Ispolatov, Iaroslav/E-8544-2010</t>
  </si>
  <si>
    <t>Ispolatov, Iaroslav/0000-0002-0201-3396</t>
  </si>
  <si>
    <t>1553-734X</t>
  </si>
  <si>
    <t>1553-7358</t>
  </si>
  <si>
    <t>e1007388</t>
  </si>
  <si>
    <t>10.1371/journal.pcbi.1007388</t>
  </si>
  <si>
    <t>WOS:000500776600035</t>
  </si>
  <si>
    <t>García, M; Castro, V; Belmonte, E; Muñoz, T; Santoro, C; Echeverría, J</t>
  </si>
  <si>
    <t>Garcia, Magdalena; Castro, Victoria; Belmonte, Eliana; Munoz, Tania; Santoro, Calogero; Echeverria, Javier</t>
  </si>
  <si>
    <t>Ethnobotany and territory in Mulluri's pasture (Northern Chile). The teachings of aymara pastoralism</t>
  </si>
  <si>
    <t>From an ethnographic work focused on the territorial memories of the Aymara community of Mulluri (Region of Arica and Parinacota, Northern Chile) it is proposed that pastoralism, as a traditional way of life of prehispanic origin, strongly colors the perception and systematic of space and of the world of plants. Interviews and participant observation were conducted guided by an ethnobotanical and spatial approach aimed at relieving classification systems and livestock management. The categories cordillera, costa and valle used by the comuneros were analyzed to name the different geographical regions or ecological zones of the western Andean gradient, which are defined by them from climatic, ecological, symbolic and practice variables. Simultaneously, within these macro-regions the comuneros recognize specific zones according to the existing botanical associations. These were conceptualized by the comuneros as pasture stages, coinciding fully with the vegetational areas defined by botany. In relation to the plants, generic categories were registered according to their growth forms (pastos del champeal, pajas o wichu, t'olas, montes, pastos de lluvia, among others) as well as specific nomenclatures by species.</t>
  </si>
  <si>
    <t>Echeverría, Javier/AAK-3323-2020</t>
  </si>
  <si>
    <t>Belmonte, Eliana/0000-0001-9098-9243; Echeverria, Javier/0000-0002-1688-968X</t>
  </si>
  <si>
    <t>WOS:000444010000007</t>
  </si>
  <si>
    <t>García, GC; Montoya, C; Osses, A</t>
  </si>
  <si>
    <t>Garcia, Galina C.; Montoya, Cristhian; Osses, Axel</t>
  </si>
  <si>
    <t>A source reconstruction algorithm for the Stokes system from incomplete velocity measurements</t>
  </si>
  <si>
    <t>INVERSE PROBLEMS</t>
  </si>
  <si>
    <t>We consider the inverse problem of determining the spatial dependence of a source of the form f (x) sigma (t) in the Stokes system defined in Omega x (0, T), assuming that sigma (t) is known and f (x) is divergence-free. The only available observation is a single internal measurement of the velocity and the acceleration, for which one of its components is missing. Under adequate hypothesis on sigma we prove uniqueness of this inverse problem and we establish an explicit reconstruction formula. This formula provides the spectral coefficients f(k) of the source f in terms of a family of null controls h((tau)) for the corresponding adjoint system indexed by tau is an element of (0, T].</t>
  </si>
  <si>
    <t>Osses, Axel/AAG-4825-2019; Garcia, Galina/U-1019-2017; Montoya, Cristhian/HLH-7284-2023; Osses, Axel/I-6366-2016</t>
  </si>
  <si>
    <t>Osses, Axel/0000-0001-6833-4064; Montoya, Cristhian/0000-0002-9983-1642; Garcia, Galina C./0000-0003-2188-6368</t>
  </si>
  <si>
    <t>0266-5611</t>
  </si>
  <si>
    <t>1361-6420</t>
  </si>
  <si>
    <t>10.1088/1361-6420/aa863f</t>
  </si>
  <si>
    <t>WOS:000410094300003</t>
  </si>
  <si>
    <t>Klockner, W; Yadav, RM; Yao, J; Lei, S; Aliyan, A; Wu, J; Martí, AA; Vajtai, R; Ajayan, PM; Denardin, JC; Serafini, D; Melo, F; Singh, DP</t>
  </si>
  <si>
    <t>Klockner, W.; Yadav, R. M.; Yao, J.; Lei, S.; Aliyan, A.; Wu, J.; Marti, A. A.; Vajtai, R.; Ajayan, P. M.; Denardin, J. C.; Serafini, D.; Melo, F.; Singh, D. P.</t>
  </si>
  <si>
    <t>Acetonitrile mediated facile synthesis and self-assembly of silver vanadate nanowires into 3D spongy-like structure as a cathode material for lithium ion battery</t>
  </si>
  <si>
    <t>We report the facile, one-step acetonitrile-mediated synthesis and self-assembly of beta-AgVO3 nanowires into three-dimensional (3D) porous spongy-like hydrogel (similar to 4 cm diameter) as cathode material for lithium ion battery of high performance and long-term stability. 3D structures made with superlong, very thin, and monoclinic beta-AgVO3 nanowires exhibit high specific discharge capacities of 165 mAh g(-1) in the first cycle and 100 mAh g(-1) at the 50th cycle, with a cyclic capacity retention of 53% at a current density of 50 mA g(-1). 3D structures are synthesized by reaction between ammonium vanadate and silver nitrate solution containing 5 mL of acetonitrile followed by a hydrothermal treatment at 200 degrees C for 12 h. Acetonitrile (used here for the first time in the silver vanadate synthesis) plays an important role in the self-assembly of the silver vanadate nanowires. A tentative growth mechanism for the 3D structure and lithium ions intercalation into beta-AgVO3 nanowires has been discussed and described.</t>
  </si>
  <si>
    <t>Vajtai, Robert/B-1029-2008; Marti, Angel/C-2762-2008; Denardin, Juliano/S-6407-2019; Melo, Francisco/M-3923-2014; SINGH, DINESH/A-2509-2011; Wu, Jingjie/G-8274-2016; Yadav, Prof. Ram Manohar/P-9146-2014</t>
  </si>
  <si>
    <t>Denardin, Juliano/0000-0002-1373-6207; SINGH, DINESH/0000-0002-2893-7749; Wu, Jingjie/0000-0001-6617-0895; Melo, Francisco Esteban/0000-0001-6818-5476; Serafini, Daniel/0000-0002-1764-5900; Vajtai, Robert/0000-0002-3942-8827; Yadav, Prof. Ram Manohar/0000-0001-6894-9501</t>
  </si>
  <si>
    <t>10.1007/s11051-017-3983-7</t>
  </si>
  <si>
    <t>WOS:000410849700001</t>
  </si>
  <si>
    <t>Flores, EIS; Ajaj, RM; Adhikari, S; Dayyani, I; Friswell, MI; Castro-Triguero, R</t>
  </si>
  <si>
    <t>Saavedra Flores, E. I.; Ajaj, R. M.; Adhikari, S.; Dayyani, I.; Friswell, M. I.; Castro-Triguero, Rafael</t>
  </si>
  <si>
    <t>Hyperelastic tension of graphene</t>
  </si>
  <si>
    <t>In this paper, we investigate the hyperelastic tensile behaviour of single layer graphene sheets (SLGSs). A one-term incompressible Ogden-type hyperelastic model is chosen to describe the mechanical response of C-C bonds. By establishing equality between the Ogden strain-energy and the variation of the Tersoff-Brenner interatomic potential, three different geometries of SLGSs are studied under tensile loading. We compute the Young's modulus, the finite-deformation Poisson's ratio, ultimate strains, total reactions, and the variation of the potential energy per carbon atom for large strains. Numerical simulations are compared with results obtained by molecular mechanics and molecular dynamics simulations, finite elements, continuum mechanics theory, and experiments. Our predictions are validated, revealing the potential predictive capabilities of the present hyperelastic framework for the analysis of graphene in the context of infinitesimal and large deformations. The good agreement found between our calculations and the published data suggests that graphene may be described as a hyperelastic material. (C) 2015 AIP Publishing LLC.</t>
  </si>
  <si>
    <t>Flores, Erick/I-7646-2012; Ajaj, Rafic/P-6314-2016; Castro Triguero, Rafael/C-2564-2019; Adhikari, Sondipon/A-9642-2009; Friswell, Michael/B-5581-2009</t>
  </si>
  <si>
    <t>Castro Triguero, Rafael/0000-0002-2937-1118; Adhikari, Sondipon/0000-0003-4181-3457; Dayyani, Iman/0000-0001-8956-2090; Friswell, Michael/0000-0003-4677-7395</t>
  </si>
  <si>
    <t>10.1063/1.4908119</t>
  </si>
  <si>
    <t>WOS:000349845300020</t>
  </si>
  <si>
    <t>Vega, A; Cruz, C; Paredes-García, V; Spodine, E; Venegas-Yazigi, D</t>
  </si>
  <si>
    <t>Vega, A.; Cruz, C.; Paredes-Garcia, V.; Spodine, E.; Venegas-Yazigi, D.</t>
  </si>
  <si>
    <t>A Novel 3d-4f CoII-GdIII system with 4,5-imidazoledicarboxylate and oxalate</t>
  </si>
  <si>
    <t>ACTA CRYSTALLOGRAPHICA A-FOUNDATION AND ADVANCES</t>
  </si>
  <si>
    <t>Vega, Andres/B-2122-2010; Venegas-Yazigi, Diego/C-5022-2009; Paredes-Garcia, Veronica/C-4415-2011; Oliveira Cruz, Carlos/H-7921-2013</t>
  </si>
  <si>
    <t>Oliveira Cruz, Carlos/0000-0003-2910-5298</t>
  </si>
  <si>
    <t>2053-2733</t>
  </si>
  <si>
    <t>CC.P36</t>
  </si>
  <si>
    <t>C1721</t>
  </si>
  <si>
    <t>10.1107/S2053273314082783</t>
  </si>
  <si>
    <t>WOS:000519606301724</t>
  </si>
  <si>
    <t>Shah, SP; Jansen, SA; Taylor, LJA; Chong, PLG; Correa-Llantén, DN; Blamey, JM</t>
  </si>
  <si>
    <t>Shah, Siddharth P.; Jansen, Susan A.; Taylor, Leeandrew Jacques-Asa; Chong, Parkson Lee-Gau; Correa-Llanten, Daniela N.; Blamey, Jenny M.</t>
  </si>
  <si>
    <t>Lipid composition of thermophilic Geobacillus sp strain GWE1, isolated from sterilization oven</t>
  </si>
  <si>
    <t>CHEMISTRY AND PHYSICS OF LIPIDS</t>
  </si>
  <si>
    <t>GWE1 strain is an example of anthropogenic thermophilic bacterium, recently isolated from dark crusty material from sterilization ovens by Correa-Llanten et al. (Kor. J. Microb. Biotechnol. 2013. 41(3):278-283). Thermostability is likely to arise from the adaptation of macromolecules such as proteins, lipids and nucleic acids. Complex lipid arrangement and/or type in the cell membrane are known to affect thermostability of microorganisms and efforts were made to understand the chemical nature of the polar lipids of membrane. In this work, we extracted total lipids from GWE1 cell membrane, separated them by TLC into various fractions and characterize the lipid structures of certain fractions with analytical tools such as H-1,C-13, P-31 and 2D NMR spectroscopy, ATR-FTIR spectroscopy and MS spectrometry. We were able to identify glycerophosphoethanolamine, glycerophosphate, glycerophosphocholine, glycerophosphoglycerol and cardiolipin lipid classes and an unknown glycerophospholipid class with novel MS/MS spectra pattern. We have also noticed the presence of saturated iso-branched fatty acids with NMR spectra in individual lipid classes. (C) 2014 Elsevier Ireland Ltd. All rights reserved.</t>
  </si>
  <si>
    <t>Shah, Siddharth/JXY-9174-2024; Blamey, Jenny/M-2637-2014; Chong, Parkson/I-3297-2019</t>
  </si>
  <si>
    <t>shah, Siddharth/0009-0003-1889-6917</t>
  </si>
  <si>
    <t>0009-3084</t>
  </si>
  <si>
    <t>1873-2941</t>
  </si>
  <si>
    <t>10.1016/j.chemphyslip.2014.02.005</t>
  </si>
  <si>
    <t>WOS:000335870900007</t>
  </si>
  <si>
    <t>Jara, P; Charrier, R</t>
  </si>
  <si>
    <t>Jara, Pamela; Charrier, Reynaldo</t>
  </si>
  <si>
    <t>New stratigraphical and geochronological constraints for the Mezo-Cenozoic deposits in the High Andes of central Chile between 32° and 32°30′S: Structural and palaeogeographic implications</t>
  </si>
  <si>
    <t>ANDEAN GEOLOGY</t>
  </si>
  <si>
    <t>Attempts to differentiate geological units of the Andean Principal Cordillera, between 31 degrees 30'S and 33 degrees S, faced several problems until very recently. The lack of geochronological data or the equivocal interpretation of some existing radiometric ages from thick volcanic and volcaniclastic sequences, along with their structural complexity and lithologic monotony, obscured the recognition and relationships between units. This made a tectonic interpretation difficult as the units cropping-out on the eastern side of the Pocuro Fault zone were initially assigned to Cretaceous formations (Los Pelambres Formation in Chile and Juncal Formation in Argentina). Structural-geological work carried out between 32 degrees and 32 degrees 30'S, together with 8 new U-Pb zircon datings, allowed us to recognize the presence of Upper Cretaceous levels (Salamanca Formation), underlying volcano-sedimentary younger units of Abanico and Farellones formations. The latter were interpreted as different facies associated with upper Oligocene-Miocene volcanism. Most of the Principal Cordillera at this latitude is composed by these units, at least until the Chile-Argentina border. In the western part of the region, the volcanic Abanico Formation presents the most proximal facies with mild deformation, while more distal units, near and across the border are intensely deformed in two events, one between 21 and 18 Ma, and other post 18 Ma. On the other hand, in the vicinity of the Pocuro Fault zone, Upper Cretaceous outcrops, underlying oligo-miocene deposits slightly deformed, suggest an oligo-miocene age for the last event of this fault zone.</t>
  </si>
  <si>
    <t>Jara, Pamela/0000-0002-9717-9283</t>
  </si>
  <si>
    <t>0718-7106</t>
  </si>
  <si>
    <t>10.5027/andgeoV41n1-a07</t>
  </si>
  <si>
    <t>WOS:000331151700007</t>
  </si>
  <si>
    <t>Vega-Gálvez, A; Di Scala, K; Rodríguez, K; Lemus-Mondaca, R; Miranda, M; López, J; Perez-Won, M</t>
  </si>
  <si>
    <t>Vega-Galvez, Antonio; Di Scala, Karina; Rodriguez, Katia; Lemus-Mondaca, Roberto; Miranda, Margarita; Lopez, Jessica; Perez-Won, Mario</t>
  </si>
  <si>
    <t>Effect of air-drying temperature on physico-chemical properties, antioxidant capacity, colour and total phenolic content of red pepper (Capsicum annuum, L. var. Hungarian)</t>
  </si>
  <si>
    <t>Red pepper has been recognised as an excellent source of antioxidants, being rich in ascorbic acid and other phytochemicals. Drying conditions, particularly temperature, leads to pepper modifications that can cause quality degradation. In this work, the effects of process temperatures between 50 and 90 degrees C on physico-chemical properties, rehydration, colour, texture, vitamin C, antioxidant capacity and total phenolics during the drying of red pepper were studied. The rehydration ratio decreased with temperature and the maximum water holding capacity was achieved at 50 degrees C. Both vitamin C content and the total phenolic content decreased as air-drying temperature decreased. The radical scavenging activity showed higher antioxidant activity at high temperatures (i.e. 80 and 90 degrees C) rather than at low tempera tures (i.e. 50, 60 and 70 degrees C). Chromatic parameters (L*, a*, b*, C* and H degrees), non-enzymatic browning compounds and extractable colour were affected by drying temperature, which contributed to the discolouring of pepper during this process. (c) 2009 Elsevier Ltd. All rights reserved.</t>
  </si>
  <si>
    <t>Vega-Galvez, Antonio/F-1089-2015; Miranda, Margarita/B-3101-2008; Lopez, Jessica/IQT-7114-2023; Lemus-Mondaca, Roberto/E-8348-2017</t>
  </si>
  <si>
    <t>10.1016/j.foodchem.2009.04.066</t>
  </si>
  <si>
    <t>WOS:000268386200011</t>
  </si>
  <si>
    <t>Landeros, P; Guzmán, PR; Soto-Garrido, R; Escrig, J</t>
  </si>
  <si>
    <t>Landeros, P.; Guzman, P. R.; Soto-Garrido, R.; Escrig, J.</t>
  </si>
  <si>
    <t>Magnetostatic fields in tubular nanostructures</t>
  </si>
  <si>
    <t>The non-uniform magnetostatic field produced by the equilibrium and non-equilibrium magnetic states of magnetic nanotubes has been investigated theoretically. We consider magnetic fields produced by actual equilibrium states and transverse and vortex domain walls confined within the nanostructure. Our calculations allow us to understand the importance of the magnetostatic field in nanomagnetism, which is frequently considered as a uniform field. Moreover, our results can be used as a basis for future research of other properties, such as the investigation of spin waves when domain walls are present, or the motion of a magnetic particle near a magnetic field.</t>
  </si>
  <si>
    <t>; Escrig, Juan/N-4304-2015; Landeros, Pedro/B-4603-2012</t>
  </si>
  <si>
    <t>Soto Garrido, Rodrigo/0000-0002-6593-5443; Escrig, Juan/0000-0002-3958-8185; Landeros, Pedro/0000-0002-0927-1419</t>
  </si>
  <si>
    <t>10.1088/0022-3727/42/22/225002</t>
  </si>
  <si>
    <t>WOS:000271519000009</t>
  </si>
  <si>
    <t>Herane, MI; Fuenzalida, H; Zegpi, E; De Pablo, C; Espadas, MJ; Trullás, C; Mirada, A; Martin, GG</t>
  </si>
  <si>
    <t>Isabel Herane, Maria; Fuenzalida, Hector; Zegpi, Emilia; De Pablo, Carolina; Jose Espadas, Maria; Trullas, Carles; Mirada, Alfons; Gonzalez Martin, Guillermo</t>
  </si>
  <si>
    <t>Specific gel-cream as adjuvant to oral isotretinoin improved hydration and prevented TEWL increase - a double-blind, randomized, placebo-controlled study</t>
  </si>
  <si>
    <t>JOURNAL OF COSMETIC DERMATOLOGY</t>
  </si>
  <si>
    <t>Background Hydrating and emollient products are often recommended to patients under isotretinoin therapy to control the most frequent mucocutaneous side effects and to improve adherence to treatment. Aims To assess, using noninvasive biophysical tests, the clinical and instrumental effectiveness of a hydrating gel-cream compared with placebo as an adjuvant to isotretinoin for treatment of facial skin in patients with inflammatory acne. Methods Prospective, double-blind, randomized study, using MULTI SKIN MC750, on the adjuvant effect of a hydrating gel-cream for acne (active product) vs. a gel-cream without active substances (placebo). Follow-up lasted 3 months. Results Sixty-six patients were included. Thirty-four were administered the active product, and 32 placebo. Though the number of lesions fell significantly in both groups, the mean number of papules on day 30 was significantly lower in the active product group. The active product group showed a significant increase in hydration, while the placebo group showed a significant increase in transepidermal water loss (TEWL). Seborrhoea decreased significantly in both groups; there were no differences between them. Conclusions Compared with placebo, the specific gel-cream with active products as an adjuvant to oral isotretinoin improved hydration, prevented TEWL increase, and reduced inflammatory acne lesions after 30 days.</t>
  </si>
  <si>
    <t>1473-2130</t>
  </si>
  <si>
    <t>1473-2165</t>
  </si>
  <si>
    <t>10.1111/j.1473-2165.2009.00455.x</t>
  </si>
  <si>
    <t>WOS:000208137000006</t>
  </si>
  <si>
    <t>Dimensional analysis revisited</t>
  </si>
  <si>
    <t>The applicability of dimensional analysis (DA) is discussed in relation to the metabolic scaling laws. The evolution of different theories of biological similarity has shown that the calculated reduced exponents (b) of Huxley's allometric equation are closely correlated with the numerical values obtained from the statistical analysis of empirical data. Body mass and body weight are not equivalent as biological reference systems, since in accordance to Newton's second law, the former has a dimension of a mass, while the latter should be dimensionally considered as a force (W = MLT-2). This distinction affects the coefficients of the mass exponent (alpha). This difference is of paramount importance in microgravity conditions (spaceflight) and of buoyancy during the fetal life in mammals. Furthermore, the coefficients (beta) of the length dimension, and (gamma) of the time dimension do not vary when mass or weight are utilized as reference systems. Consequently, the specific metabolic time, that results from the ratio of basal oxygen consumption and body mass or body weight yields the biological meaning of the time dimension, which is of fractal nature.</t>
  </si>
  <si>
    <t>WOS:000186644200011</t>
  </si>
  <si>
    <t>Different efficacy of specific agonists at 5-HT3 receptor splice variants:: the role of the extra six amino acid segment</t>
  </si>
  <si>
    <t>1 Whole cell voltage clamp electrophysiology and radioligand binding were used to examine the agonist characteristics of the two splice variants of the 5-HT3 receptor which have been cloned from neuronal cell lines. Homo-oligomeric 5-HT3 receptors were examined in HEK 293 cells stably transfected with either long (5-HT3-L) or short (5-HT3-S) receptor subunit DNAs. 2 Functional homo-oligomeric receptors were formed from both subunits, and responses to 5-HT3 receptor agonists (5-hydroxytryptamine (5-HT), 2-methyl 5-HT and m-chlorophenylbiguanide) were qualitatively similar. 3 Maximum currents (R-max) elicited by the 5-HT3 receptor agonists m-chlorophenylbiguanide (mCPBG) and 2-methyl-5-HT (2-Me-5-HT), as compared to 5-HT, differed in the two splice variants: R-max mCPBG/R-max 5-HT values were 0.68+/-0.04 and 0.91+/-0.01 in 5-HT3-L and 5-HT3-S receptors, respectively. Comparable values for 2-Me-5-HT were 0.30+/-0.02 and 0.23+/-0.02. 4 Radioligand binding data showed no difference in affinity of agonist or antagonist binding sites; thus the six amino acid deletion appears to cause differences in agonist efficacy. 5 The role of the 6 amino acid insertion was further investigated by use of site-directed mutagenesis to create two mutant receptors, one where serine 286 was replaced with alanine, and the second where all 6 amino acids were replaced with alanines. 6 Examination of the mutant receptors when stably expressed in HEK 293 cells revealed agonist properties resembling long and not short 5-HT3 receptors. Thus specific amino acids in this region are not responsible for the observed differences. 7 The data show intracellular structure can have significant effects on ligand-gated ion channel function, and suggest that minor changes in structure may be responsible for differences in function observed when ligand-gated ion channel proteins are modulated intracellularly.</t>
  </si>
  <si>
    <t>10.1038/sj.bjp.0701657</t>
  </si>
  <si>
    <t>WOS:000072107500010</t>
  </si>
  <si>
    <t>Durán, C; Fernández-Campusano, C; Espinosa-Leal, L; Castañeda, C; Carrillo, E; Bastias, M; Villagra, F</t>
  </si>
  <si>
    <t>Duran, Claudia; Fernandez-Campusano, Christian; Espinosa-Leal, Leonardo; Castaneda, Cristobal; Carrillo, Eduardo; Bastias, Marcelo; Villagra, Felipe</t>
  </si>
  <si>
    <t>Exploring Boost Efficiency in Text Analysis by Using AI Techniques in Port Companies</t>
  </si>
  <si>
    <t>This study presents how integrating natural language processing (NLP) and machine learning (ML) optimizes strategic management in the port sector. Using hybrid NLP-ML models, the accuracy of classification and prediction of strategic information is significantly improved by analyzing large sets of textual data, both unstructured and semi-structured. The methodological approach is developed in three phases: first, a strategic analysis of port systems is performed using NLP; then, ML is integrated with NLP for text classification using advanced tools such as BERT and Word2Vec; finally, advanced models, including Decision Trees and Recurrent Neural Networks are evaluated. Applied to 55 companies in three countries, this method extracts key strategic data such as mission, vision, values and corporate objectives from their websites to obtain strategic terms related to innovation and sustainability. The study improves the ability to interpret textual data, enabling more informed and agile decision-making, which is essential in a highly competitive and dynamic environment.</t>
  </si>
  <si>
    <t>Fernández-Campusano, Christian/M-8749-2018; Duran, Claudia/S-1175-2019; Leal, Leonardo/AAS-1236-2020</t>
  </si>
  <si>
    <t>10.3390/app15084556</t>
  </si>
  <si>
    <t>WOS:001474759400001</t>
  </si>
  <si>
    <t>Grifferos, L; Alburquenque, D; Vargas, J; Kumar, C; Saavedra, E; Pereira, A; Marco, JF; Escrig, J</t>
  </si>
  <si>
    <t>Grifferos, Lukas; Alburquenque, Daniela; Vargas, Javiera; Kumar, Chandra; Saavedra, Eduardo; Pereira, Alejandro; Marco, Jose F.; Escrig, Juan</t>
  </si>
  <si>
    <t>Synthesis and Characterization of HfO2@Fe3O4 Core-Shell Nanotubes: Insights into Potential Magnetic Functionalities</t>
  </si>
  <si>
    <t>ACS APPLIED ELECTRONIC MATERIALS</t>
  </si>
  <si>
    <t>This study presents the synthesis and characterization of core-shell nanostructures comprising PVP@HfO2@Fe2O3 nanowires and HfO2@Fe3O4 nanotubes. PVP nanofibers were electrospun with an average diameter of approximately 379 nm, onto which HfO2 and Fe2O3 layers were sequentially deposited via atomic layer deposition, resulting in core-shell nanowires averaging 460 nm in diameter. Thermal reduction transformed Fe2O3 into Fe3O4, forming HfO2@Fe3O4 core-shell nanotubes. Characterization using scanning electron microscopy and high-resolution transmission electron microscopy confirmed the core-shell morphology, while energy-dispersive X-ray spectroscopy verified the elemental composition. Surface roughness analysis revealed fractal dimensions indicating increased roughness with thicker shells. X-ray photoelectron spectroscopy analysis identified Fe(II) and Fe(III) oxidation states and confirmed phase transformations from hematite to magnetite. Magnetic measurements demonstrated enhanced coercivity and saturation magnetization in HfO2@Fe3O4 structures compared to initial samples, showcasing the tunability of magnetic properties through core-shell engineering. This work highlights atomic layer deposition's capability to fabricate precise core-shell nanostructures, offering tailored control over morphology and magnetic behavior for applications in advanced nanotechnologies.</t>
  </si>
  <si>
    <t>Escrig, Juan/N-4304-2015; Marco, Jose/N-3176-2014</t>
  </si>
  <si>
    <t>2637-6113</t>
  </si>
  <si>
    <t>2025 APR 15</t>
  </si>
  <si>
    <t>10.1021/acsaelm.5c00280</t>
  </si>
  <si>
    <t>WOS:001467432500001</t>
  </si>
  <si>
    <t>Heredia, V; Vegas, J; Espinoza, L; Flores, E; Navarro, F; Lizama, D; Aguirre, M; Márquez, P; Pizarro, J</t>
  </si>
  <si>
    <t>Heredia, Veronica; Vegas, Javiera; Espinoza, Lidia; Flores, Erick; Navarro, Freddy; Lizama, Daniel; Aguirre, Maria; Marquez, Paulina; Pizarro, Jaime</t>
  </si>
  <si>
    <t>Carbon black as a modifier for a cheap carbon paper disposable electrode for the determination of zaleplon in synthetic saliva (DEC, 10.1007/s10800-024-02240-7, 2024)</t>
  </si>
  <si>
    <t>Aguirre, Maria/A-3935-2013; Navarro, Freddy/KIA-4345-2024</t>
  </si>
  <si>
    <t>10.1007/s10800-025-02279-0</t>
  </si>
  <si>
    <t>WOS:001422455400001</t>
  </si>
  <si>
    <t>Cardero, Y; Aguirre-Calvo, TR; Valenzuela, LM; Matiacevich, S; Santagapita, PR</t>
  </si>
  <si>
    <t>Cardero, Yaniel; Aguirre-Calvo, Tatiana Rocio; Valenzuela, Loreto M.; Matiacevich, Silvia; Santagapita, Patricia Roman</t>
  </si>
  <si>
    <t>Design of an antioxidant powder additive based on carvacrol encapsulated into a multilayer chitosan-alginate-maltodextrin emulsion</t>
  </si>
  <si>
    <t>Carvacrol has demonstrated antioxidant activity; however, its high volatility and low water solubility limit its direct application in food matrices. Then, an effective encapsulation system is required to protect it. This study aimed to design and characterize a carvacrol-based additive encapsulated in a spray-dried multilayer emulsion based on chitosan/sodium alginate/maltodextrin. Spray-drying temperature of 120 degrees C and 3 %(w/w) maltodextrin content maximized both encapsulation efficiency (similar to 97 %) and loading capacity (similar to 53 %). The powder's antioxidant properties were evaluated in two food simulant media: water (SiW) and water-ethanol (SiD). The highest antioxidant activity was observed in SiW for both ABTS(center dot+) (8.2 +/- 0.3mg(EAG)/g) and FRAP (4.1 +/- 0.2mg(EAG)/g) methods because of the reduced release of carvacrol in SiD vs. SiW, as supported by micro- and macrostructural observations by SAXS and microscopy, respectively. An increase from 143 to 157 degrees C attributable to carvacrol protection and T-g = 44.4 degrees C (&gt; ambient) were obtained by TGA and DSC, respectively. FT-IR confirmed intermolecular interactions (e.g. -COO- and -NH3+) as well as H-bonding formation. High water solubility (81 +/- 3 %), low hygroscopicity (8.8 +/- 0.2 %(w/w), poor flowability (CI:45 +/- 4), and high cohesiveness (HR:1.8 +/- 0.1) between particles were achieved, leading to a powdered antioxidant additive with high potential for applications which required avoiding/reducing oxidation on hydrophilic and hydrophobic food products.</t>
  </si>
  <si>
    <t>Santagapita, Patricio/HPH-3800-2023; Valenzuela, Loreto/E-8094-2013</t>
  </si>
  <si>
    <t>Valenzuela, Loreto/0000-0002-5220-9602; CARDERO LLOPIZ, YANIEL/0000-0002-7751-2210</t>
  </si>
  <si>
    <t>10.1016/j.ijbiomac.2024.133039</t>
  </si>
  <si>
    <t>WOS:001261521100001</t>
  </si>
  <si>
    <t>Giannichi, B; Nilson, E; Ferrari, G; Rezende, LFM</t>
  </si>
  <si>
    <t>Giannichi, B.; Nilson, E.; Ferrari, G.; Rezende, L. F. M.</t>
  </si>
  <si>
    <t>The projected economic burden of non-communicable diseases attributable to overweight in Brazil by 2030</t>
  </si>
  <si>
    <t>PUBLIC HEALTH</t>
  </si>
  <si>
    <t>Objectives: The prevalence of overweight increases the risk of several non-communicable diseases (NCDs) and, consequently, the costs of health care systems. In this study, we aimed to project the economic burden of NCDs attributable to overweight in Brazil between 2021 and 2030. Methods: A cohort simulation of adults (17-117 years) using multistate lifetable modeling was used to estimate the costs of NCDs attributable to overweight in Brazil. The projections of direct health care costs (outpatient and inpatient expenses in the Uni fied Health System) and indirect costs (years of productive life lost) considered different trajectories of the prevalence of overweight between 2021 and 2030. Results: In 2019, the prevalence of overweight was 55.4% in the adult Brazilian population. We estimate that around 1.8 billion international dollars (Int$) would be spent on the direct health care cost of NCDs between 2021 and 2030, through the continued increase in overweight prevalence observed between 2006 and 2020. The indirect costs over the same time would be approximately 20.1 billion Int$. We estimate that halving the annual increase in body mass index slope from the beginning of 2021 until 2030 would save 20.2 million Int$ direct and indirect costs by 2030. In the scenario of keeping the prevalence of overweight observed in 2019 constant until 2030, the savings would be 40.8 million Int$. Finally, in the scenario of a 6.7% reduction in the prevalence of overweight observed in 2019 (to be achieved gradually until 2030), 74.1 million Int$ would be saved. Conclusions: These results highlight the high economic burden of overweight in the Brazilian adult population. (c) 2024 The Royal Society for Public Health. Published by Elsevier Ltd. All rights reserved.</t>
  </si>
  <si>
    <t>Ferrari, Gerson/HHM-6173-2022; Ferrari, Gerson/P-1152-2014; Rezende, Leandro/C-1724-2012</t>
  </si>
  <si>
    <t>0033-3506</t>
  </si>
  <si>
    <t>1476-5616</t>
  </si>
  <si>
    <t>10.1016/j.puhe.2024.02.029</t>
  </si>
  <si>
    <t>WOS:001221344200001</t>
  </si>
  <si>
    <t>Cortés-Morales, S; Figueroa, I; del Solar, AV; Jirón, P</t>
  </si>
  <si>
    <t>Cortes-Morales, Susana; Figueroa, Ines; del Solar, Ana Vergara; Jiron, Paola</t>
  </si>
  <si>
    <t>New House, New Furniture, New Room: Children's Pandemic Landscapes of Care in Chile</t>
  </si>
  <si>
    <t>URBAN PLANNING</t>
  </si>
  <si>
    <t>Standing at the intersection between geographies of care and children's geographies, we present three ethnographic stories (emerging from three ethnographic studies) through which we argue that, as a result of pandemic confinement in Chile, children's places within their landscapes of care shifted in a twofold sense: First, given the de-mobilisation and spatial concentration of spaces of care at home, children's place became closer to adults,' suspending the usual spatial segregation that separates them. And second, in tandem with this new proximity that we refer to as in-person family relationships, new possibilities for the involvement of children in family care practices emerged. This rearrangement of children's places within landscapes of care brings to the fore two interrelated aspects of family care from children's perspective. First, the kind and amount of in-person family time spent in a shared space in normal times was not enough from the perspective of children's needs and interests. And second, even though children are usually seen as subjects of care, they are people who care for others and who are able to take on more caring responsibilities than the ones that they usually are expected to.</t>
  </si>
  <si>
    <t>CORTES, SUSANA/AGZ-7240-2022; VERGARA, Ana/ABV-0851-2022</t>
  </si>
  <si>
    <t>vergara del solar, ana cecilia/0000-0001-7823-3769</t>
  </si>
  <si>
    <t>2183-7635</t>
  </si>
  <si>
    <t>10.17645/up.8593</t>
  </si>
  <si>
    <t>WOS:001366009800011</t>
  </si>
  <si>
    <t>Vejar, N; Rojas, J; Alvarado, C; Solís, R; Pineda, F; Sancy, M; Muñoz, L; Páez, M</t>
  </si>
  <si>
    <t>Vejar, Nelson; Rojas, Javier; Alvarado, Claudia; Solis, Roberto; Pineda, Fabiola; Sancy, Mamie; Munoz, Lisa; Paez, Maritza</t>
  </si>
  <si>
    <t>Alumoxane film for corrosion protection of 2024 aluminum alloy</t>
  </si>
  <si>
    <t>Alumoxane film on anodized 2024 was obtained using stearic acid to prevent corrosion in a chloride medium. A cleaning pretreatment was applied to the metal surface to improve the adhesion and formation of the alumoxane film using three different sprays, ethanol, water, and NaOH. Then a molten stearic acid was applied to form an alumoxane. The obtained films were characterized by X-ray photoelectron spectroscopy and glow discharge optical emission spectroscopy, and electrochemical techniques, such as linear sweep voltammetry and electrochemical impedance spectroscopy, evaluated the corrosion protection. The surface analyses suggested an interaction between the boehmite and stearic acid to form alumoxane, and the electrochemical results revealed that alumoxane film using ethanol significantly improved the protection against corrosion due to the formation of compact and homogeneous films with a hydrophobic characteristic for the 2024-T3 alloy. &amp; COPY; 2023 The Author(s). Published by Elsevier B.V. This is an open access article under the CC BY-NC-ND license (http://creativecommons.org/licenses/by-nc-nd/4.0/).</t>
  </si>
  <si>
    <t>Solis, Roberto/ABE-6159-2021; Sancy, Mamié/L-6270-2014; Vejar, Nelson/M-7784-2017; Paez, Maritza/M-2010-2014; Alvarado, Claudia/ECH-1671-2022; Alvarado, Claudia/L-6852-2017</t>
  </si>
  <si>
    <t>Vejar, Nelson/0000-0002-9544-2199; Alvarado, Claudia/0000-0003-2373-0359</t>
  </si>
  <si>
    <t>10.1016/j.jmrt.2023.08.192</t>
  </si>
  <si>
    <t>SEP 2023</t>
  </si>
  <si>
    <t>WOS:001074395600001</t>
  </si>
  <si>
    <t>Pereira, A; Sáez, G; Saavedra, E; Escrig, J</t>
  </si>
  <si>
    <t>Pereira, Alejandro; Saez, Guidobeth; Saavedra, Eduardo; Escrig, Juan</t>
  </si>
  <si>
    <t>Tunable Magnetic Properties of Interconnected Permalloy Nanowire Networks</t>
  </si>
  <si>
    <t>In this study, we investigate the magnetic properties of interconnected permalloy nanowire networks using micromagnetic simulations. The effects of interconnectivity on the hysteresis curves, coercivity, and remanence of the nanowire networks are analyzed. Our results reveal intriguing characteristics of the hysteresis curves, including nonmonotonic behaviors of coercivity as a function of the position of horizontal nanowires relative to vertical nanowires. By introducing horizontal nanowires at specific positions, the coercivity of the nanowire networks can be enhanced without altering the material composition. The normalized remanence remains relatively constant regardless of the position of the horizontal wires, although it is lower in the interconnected nanowire arrays compared to nonconnected arrays. These findings provide valuable insights into the design and optimization of nanowire networks for applications requiring tailored magnetic properties.</t>
  </si>
  <si>
    <t>Pereira, Alejandro/X-7172-2018; Saavedra, Eduardo/IQS-4264-2023; Escrig, Juan/N-4304-2015</t>
  </si>
  <si>
    <t>Escrig, Juan/0000-0002-3958-8185; Pereira Abarca, Alejandro/0000-0002-4473-0852; Saez, Guidobeth/0000-0003-1401-2531; Saavedra Diaz, Eduardo Andres/0000-0002-2842-2526</t>
  </si>
  <si>
    <t>10.3390/nano13131971</t>
  </si>
  <si>
    <t>WOS:001028408800001</t>
  </si>
  <si>
    <t>Deluigi, O; Valencia, F; Tramontina, DR; Amigo, N; Rojas-Nunez, J; Bringa, EM</t>
  </si>
  <si>
    <t>Deluigi, Orlando; Valencia, Felipe; Tramontina, Diego R.; Amigo, Nicolas; Rojas-Nunez, Javier; Bringa, Eduardo M.</t>
  </si>
  <si>
    <t>Influence of Grain Size on Mechanical Properties of a Refractory High Entropy Alloy under Uniaxial Tension</t>
  </si>
  <si>
    <t>CRYSTALS</t>
  </si>
  <si>
    <t>There is a growing interest in High Entropy Alloys (HEAs) due to their outstanding mechanical properties. Most simulation studies have focused on face-centered cubic (fcc) HEAs; however, bcc HEAs can offer a larger elastic modulus and plastic yielding, thus, becoming possible candidates for the next generation of refractory materials. In this work, we focus on molecular dynamics (MD) simulations of bcc HfNbTaZr nanocrystalline samples, with a grain size (d) between 5 and 17 nm, deformed under tension at 300 K. The elastic modulus increases with the grain size and reaches a plateau near 10 nm. We find the typical inverse Hall-Petch (HP) behavior with yield strength, ultimate tensile stress (UTS), and flow stress increasing with d. Up to 12 nm, there are contributions from dislocations and twins; however, grain boundary (GB) activity dominates deformation. For the 5 nm grains, the GB disorder extends and leads to extensive amorphization and grain size reduction. For d &gt; 10 nm, there is a HP-type behavior with dislocations and twinning controlling deformation. For this regime, there is hardening at large strains. Compared to bcc single metal samples, the HP maximum of this HEA appears at a lower grain size, and this could be related to the chemical complexity facilitating dislocation nucleation. We use machine learning to help understand deformation regimes. We also compare our results to a single crystal (SC) HfNbTaZr HEA deformed along [001] and find that the single crystal is weaker than the nanocrystalline samples. The single crystal deforms initially by twinning and then rapidly by dislocation multiplication, leading to strong hardening. It has been proposed that edge dislocations play a major role in bcc HEA plasticity, and we also analyze the relative contributions of edge versus screw dislocations during deformation for both single crystal and nanocrystalline samples.</t>
  </si>
  <si>
    <t>Bringa, Eduardo/F-8918-2011; Rojas, Javier/JYP-5531-2024; Deluigi, Orlando/MBH-0890-2025; Valencia, Felipe/D-9223-2015; Amigo, Nicolas/GSD-7249-2022; Tramontina, Diego Ramiro/J-4528-2014</t>
  </si>
  <si>
    <t>Amigo, Nicolas/0000-0002-8956-8318; Bringa, Eduardo/0000-0002-1403-1954; Deluigi, Orlando/0000-0002-2841-9781; Tramontina, Diego Ramiro/0000-0001-5356-6719</t>
  </si>
  <si>
    <t>2073-4352</t>
  </si>
  <si>
    <t>10.3390/cryst13020357</t>
  </si>
  <si>
    <t>WOS:000945258600001</t>
  </si>
  <si>
    <t>Aedo-Muñoz, E; Martínez-Catalán, R; Miarka, B; Merino-Muñoz, P; Brito, C; Hermosilla-Palma, F; Pérez-Contreras, J</t>
  </si>
  <si>
    <t>Aedo-Munoz, Esteban; Martinez-Catalan, Rodrigo; Miarka, Bianca; Merino-Munoz, Pablo; Brito, Ciro; Hermosilla-Palma, Felipe; Perez-Contreras, Jorge</t>
  </si>
  <si>
    <t>Instep kicking kinematics in Chilean professional male futsal players: Proposal of a kinematic model.</t>
  </si>
  <si>
    <t>Objective: To propose and describe the kinematic model of instep kicking in professional futsal players in Chile. Methods: A biomechanical model of the execution of the technical gesture of instep kicking in futsal was developed through a literature search and a kinematic analysis of the execution was performed in professional male futsal players (n = 12, age 21 +/- 2.83 years, body mass 75.5 +/- 12.01 kg, height 1.74 +/- 0.05 m.) who compete in the ANFP Futsal Championship of Chile. The evaluation of the shot was performed in an official futsal court (FIFA Standard). The ball was placed on the penalty spot, and the participants made 2 attempts each. The kinematic variables selected were the positions and angular velocities of the knee and ankle, for both legs, and in each phase of the shot. For the application of the analysis, the VICON (R) motion capture system was used. The markers were placed on both lower limbs according to the Plug-In GaitTM Standard Lower Body model. Results: Through the literature search, a 4-phase model was generated and analyzed: Unipodal, Balance, Contact and Post Impact. The kinematics (Position [rad] and angular velocity [rad/s] of knee and ankle of the 4 phases were described. Conclusions: The literature search resulted for the qualitative research, the modification of an existing biomechanical model, thus generating, the design of the instep kicking model in futsal and described the position and average angular velocity of each phase.</t>
  </si>
  <si>
    <t>Merino Muñoz, Pablo/JGL-6690-2023; Aedo-Muñoz, Esteban/R-5623-2019; Brito, Ciro/AAC-9104-2019; Miarka, Bianca/V-7395-2017</t>
  </si>
  <si>
    <t>WOS:000919391500001</t>
  </si>
  <si>
    <t>Olguín, V; Durán, A; Heras, ML; Rubilar, JC; Cubillos, FA; Olguín, P; Klein, AD</t>
  </si>
  <si>
    <t>Olguin, Valeria; Duran, Anyelo; Las Heras, Macarena; Carlos Rubilar, Juan; Cubillos, Francisco A.; Olguin, Patricio; Klein, Andres D.</t>
  </si>
  <si>
    <t>Genetic Background Matters: Population-Based Studies in Model Organisms for Translational Research</t>
  </si>
  <si>
    <t>We are all similar but a bit different. These differences are partially due to variations in our genomes and are related to the heterogeneity of symptoms and responses to treatments that patients exhibit. Most animal studies are performed in one single strain with one manipulation. However, due to the lack of variability, therapies are not always reproducible when treatments are translated to humans. Panels of already sequenced organisms are valuable tools for mimicking human phenotypic heterogeneities and gene mapping. This review summarizes the current knowledge of mouse, fly, and yeast panels with insightful applications for translational research.</t>
  </si>
  <si>
    <t>Rubilar, Juan/MBH-0932-2025; Cubillos, Francisco/MIT-2389-2025; Olguin, Patricio/H-3270-2014; Cubillos, Francisco/G-5195-2019</t>
  </si>
  <si>
    <t>KLEIN, ANDRES/0000-0002-9951-2174; Cubillos, Francisco/0000-0003-3022-469X; Olguin, Patricio/0000-0002-8847-4969; Rubilar, Juan Carlos/0000-0001-7970-9458</t>
  </si>
  <si>
    <t>10.3390/ijms23147570</t>
  </si>
  <si>
    <t>WOS:000831619500001</t>
  </si>
  <si>
    <t>Frih, A; Zoulagh, T; El Haiek, B; Er-Rachid, I; Tadeo, F; Barbosa, KA</t>
  </si>
  <si>
    <t>Frih, A.; Zoulagh, T.; El Haiek, B.; Er-Rachid, I; Tadeo, F.; Barbosa, K. A.</t>
  </si>
  <si>
    <t>Robust Finite-Frequency Observer-Controller of Continuous-time Systems</t>
  </si>
  <si>
    <t>2022 10TH INTERNATIONAL CONFERENCE ON SYSTEMS AND CONTROL (ICSC)</t>
  </si>
  <si>
    <t>International Conference on Systems and Control</t>
  </si>
  <si>
    <t>10th International Conference on Systems and Control (ICSC)</t>
  </si>
  <si>
    <t>NOV 23-25, 2022</t>
  </si>
  <si>
    <t>Aix Marseille Univ, Marseille, FRANCE</t>
  </si>
  <si>
    <t>IEEE,IEEE Control Syst Soc,Aix Marseille Univ, Lab Informatique &amp; Syst</t>
  </si>
  <si>
    <t>Aix Marseille Univ</t>
  </si>
  <si>
    <t>The observer-controller design study for linear continuous-time systems with norm-bounded uncertainties is tackled using a finite frequency method. More precisely, the study uses the Generalized Lemma of Kalman Yakobovich Popov (GKYP) to develop conditions over finite frequency ranges, formulated into Linear Matrix Inequalities (LMIs), to design a controller in one step method. The provided conditions reduce the conservatism factor by optimizing the uncertainties' performance. At the end of the paper, a comparative study is given through an example of illustration to highlight the effectiveness of the suggested approach.</t>
  </si>
  <si>
    <t>Barbosa, Karina/A-2236-2014; ER-RACHID, Ismail/AAW-1744-2021; Zoulagh, Taha/AAT-5521-2020; Tadeo, Fernando/D-6234-2016</t>
  </si>
  <si>
    <t>El haiek, Badreddine/0000-0003-4776-0894; Tadeo, Fernando/0000-0002-4046-3136; Zoulagh, Taha/0000-0003-4796-2744; Barbosa, Karina A./0000-0001-7183-2662</t>
  </si>
  <si>
    <t>2379-0059</t>
  </si>
  <si>
    <t>978-1-6654-6507-6</t>
  </si>
  <si>
    <t>10.1109/ICSC57768.2022.9993906</t>
  </si>
  <si>
    <t>WOS:000927654200040</t>
  </si>
  <si>
    <t>Pottier, B; Sandoval, FA; Geitner, M; Melo, FE; Bellon, L</t>
  </si>
  <si>
    <t>Pottier, Basile; Aguilar Sandoval, Felipe; Geitner, Mickael; Esteban Melo, Francisco; Bellon, Ludovic</t>
  </si>
  <si>
    <t>Silicon cantilevers locally heated from 300 K up to the melting point: Temperature profile measurement from their resonances frequency shift</t>
  </si>
  <si>
    <t>When heated, micro-resonators present a shift of their resonance frequencies. We study specifically silicon cantilevers heated locally by laser absorption and evaluate theoretically and experimentally their temperature profile and its interplay with the mechanical resonances. We present an enhanced version of our earlier model [Sandoval et al., J. Appl. Phys. 117, 234503 (2015)], including both elasticity and geometry temperature dependency, showing that the latter can account for 20% of the observed shift for the first flexural mode. The temperature profile description takes into account thermal clamping conditions, radiation at high temperature, and lower conductivity than bulk silicon due to phonon confinement. Thanks to space-power equivalence in the heat equation, scanning the heating point along the cantilever directly reveals the temperature profile. Finally, frequency shift measurement can be used to infer the temperature field with a few percent precision.</t>
  </si>
  <si>
    <t>Melo, Francisco/M-3923-2014; Bellon, Ludovic/B-5213-2008; Aguilar Sandoval, Felipe/G-7545-2015</t>
  </si>
  <si>
    <t>Pottier, Basile/0000-0002-9368-0476; Bellon, Ludovic/0000-0002-2499-8106; Aguilar Sandoval, Felipe/0000-0001-5146-7856; Melo, Francisco Esteban/0000-0001-6818-5476</t>
  </si>
  <si>
    <t>10.1063/5.0040733</t>
  </si>
  <si>
    <t>WOS:000649074000009</t>
  </si>
  <si>
    <t>González, E; Gómez-Caravaca, AM; Giménez, B; Cebrián, R; Maqueda, M; Parada, J; Martínez-Férez, A; Segura-Carretero, A; Robert, P</t>
  </si>
  <si>
    <t>Gonzalez, Estefania; Gomez-Caravaca, Ana Maria; Gimenez, Begona; Cebrian, Ruben; Maqueda, Mercedes; Parada, Javier; Martinez-Ferez, Antonio; Segura-Carretero, Antonio; Robert, Paz</t>
  </si>
  <si>
    <t>Role of maltodextrin and inulin as encapsulating agents on the protection of oleuropein during in vitro gastrointestinal digestion</t>
  </si>
  <si>
    <t>Olive leaves extract (OLE) was spray-dried with maltodextrin (MD) or inulin (IN) to study the evolution of oleuropein (OE) during in vitro gastrointestinal digestion, its bioaccessibility and potential bioavailability. In the case of OLE-MD, OE was partially degraded in gastric and intestinal conditions; whereas in OLE-IN, OE was released under gastric conditions and partially degraded under intestinal conditions. In both cases, the encapsulation of OLE led to higher OE contents at the end of digestion, compared with non-encapsulated OLE, suggesting a protective role of the polysaccharides by the formation of non-covalent polysaccharides-OE complexes. OE bioaccessibility was ten times higher (p &lt; 0.05) in OLE-MD and OLE-IN than in non-encapsulated OLE. However, OE potential bioavailability, evaluated by tangential filtration, was not detected. Encapsulation technology and the encapsulant agent used may determine the release of the encapsulated compounds at a specific-site and their effect on health.</t>
  </si>
  <si>
    <t>Robert, Paz/G-8198-2014; Parada, Javier/AAB-8941-2021; Martinez-Ferez, Antonio/E-6456-2017; segura Carretero, Antonio/B-6867-2014; Gomez-Caravaca, Ana Maria/K-8920-2014; CEBRIAN CASTILLO, RUBEN/M-3311-2014; Maqueda, Mercedes/K-9667-2014; Parada, Javier/I-6181-2016</t>
  </si>
  <si>
    <t>Martinez-Ferez, Antonio/0000-0001-5750-7900; segura Carretero, Antonio/0000-0002-5564-5338; Gomez-Caravaca, Ana Maria/0000-0003-1837-269X; CEBRIAN CASTILLO, RUBEN/0000-0003-1575-1846; Maqueda, Mercedes/0000-0002-5874-9343; Parada, Javier/0000-0001-9085-1770</t>
  </si>
  <si>
    <t>10.1016/j.foodchem.2019.125976</t>
  </si>
  <si>
    <t>WOS:000505957800097</t>
  </si>
  <si>
    <t>Cerda, FMC; Schulz, B; Papaefthymiou, S; Artigas, A; Monsalve, A; Petrov, RH</t>
  </si>
  <si>
    <t>Cerda, Felipe Manuel Castro; Schulz, Bernd; Papaefthymiou, Spyros; Artigas, Alfredo; Monsalve, Alberto; Petrov, Roumen H.</t>
  </si>
  <si>
    <t>The Effect of Ultrafast Heating on Cold-Rolled Low Carbon Steel: Formation and Decomposition of Austenite</t>
  </si>
  <si>
    <t>The effect of heating rate on the formation and decomposition of austenite was investigated on cold-rolled low carbon steel. Experiments were performed at two heating rates, 150 degrees C/s and 1500 degrees C/s, respectively. The microstructures were characterized by means of scanning electron microscopy (SEM) and electron backscattered diffraction (EBSD). Experimental evidence of nucleation of austenite in alpha/beta, as well as in alpha/alpha boundaries is analyzed from the thermodynamic point of view. The increase in the heating rates from 150 degrees C/s to 1500 degrees C/s has an impact on the morphology of austenite in the intercritical range. The effect of heating rate on the austenite formation mechanism is analyzed combining thermodynamic calculations and experimental data. The results provide indirect evidence of a transition in the mechanism of austenite formation, from carbon diffusion control to interface control mode. The resulting microstructure after the application of ultrafast heating rates is complex and consists of a mixture of ferrite with different morphologies, undissolved cementite, martensite, and retained austenite.</t>
  </si>
  <si>
    <t>Artigas, Alfredo/Y-1185-2019; Schulz, Bernd/AAA-2480-2019; Petrov, Roumen/A-5066-2008; Papaefthymiou, Spyros/C-6046-2015; Castro Cerda, Felipe Manuel/Q-2714-2016</t>
  </si>
  <si>
    <t>Monsalve, Alberto/0000-0002-5772-8815; Papaefthymiou, Spyros/0000-0001-8137-938X; Castro Cerda, Felipe Manuel/0000-0001-8126-5593; Petrov, Roumen/0000-0003-0551-9058</t>
  </si>
  <si>
    <t>10.3390/met6120321</t>
  </si>
  <si>
    <t>WOS:000393041700005</t>
  </si>
  <si>
    <t>Muresan, S; Gonzalez-Ibanez, R; Ghosh, D; Wacholder, N</t>
  </si>
  <si>
    <t>Muresan, Smaranda; Gonzalez-Ibanez, Roberto; Ghosh, Debanjan; Wacholder, Nina</t>
  </si>
  <si>
    <t>Identification of nonliteral language in social media: A case study on sarcasm</t>
  </si>
  <si>
    <t>JOURNAL OF THE ASSOCIATION FOR INFORMATION SCIENCE AND TECHNOLOGY</t>
  </si>
  <si>
    <t>With the rapid development of social media, spontaneously user-generated content such as tweets and forum posts have become important materials for tracking people's opinions and sentiments online. A major hurdle for current state-of-the-art automatic methods for sentiment analysis is the fact that human communication often involves the use of sarcasm or irony, where the author means the opposite of what she/he says. Sarcasm transforms the polarity of an apparently positive or negative utterance into its opposite. Lack of naturally occurring utterances labeled for sarcasm is one of the key problems for the development of machine-learning methods for sarcasm detection. We report on a method for constructing a corpus of sarcastic Twitter messages in which determination of the sarcasm of each message has been made by its author. We use this reliable corpus to compare sarcastic utterances in Twitter to utterances that express positive or negative attitudes without sarcasm. We investigate the impact of lexical and pragmatic factors on machine-learning effectiveness for identifying sarcastic utterances and we compare the performance of machine-learning techniques and human judges on this task.</t>
  </si>
  <si>
    <t>Ghosh, Debanjan/IAP-8422-2023</t>
  </si>
  <si>
    <t>Gonzalez-Ibanez, Roberto/0000-0002-4193-6548</t>
  </si>
  <si>
    <t>2330-1635</t>
  </si>
  <si>
    <t>2330-1643</t>
  </si>
  <si>
    <t>10.1002/asi.23624</t>
  </si>
  <si>
    <t>WOS:000385777500011</t>
  </si>
  <si>
    <t>Fuentealba, JF; Hamm, E; Roman, B</t>
  </si>
  <si>
    <t>Fuentealba, Juan-Francisco; Hamm, Eugenio; Roman, Benoit</t>
  </si>
  <si>
    <t>Intertwined Multiple Spiral Fracture in Perforated Sheets</t>
  </si>
  <si>
    <t>We study multiple tearing of a thin, elastic, brittle sheet indented with a rigid cone. The n cracks initially prepared symmetrically propagate radially for n &gt;= 4. However, if n &lt; 4 the radial symmetry is broken and fractures spontaneously intertwine along logarithmic spiral paths, respecting order n rotational symmetry. In the limit of very thin sheets, we find that fracture mechanics is reduced to a geometrical model that correctly predicts the maximum number of spirals to be strictly 4, together with their growth rate and the perforation force. Similar spirals are also observed in a different tearing experiment (this time up to n = 4, in agreement with the model), in which bending energy of the sheet is dominant.</t>
  </si>
  <si>
    <t>Hamm, Eugenio/A-7927-2013; Roman, Benoit/C-6273-2014; Fuentealba, Juan Francisco/AAL-9339-2020</t>
  </si>
  <si>
    <t>Roman, Benoit/0000-0002-1473-2734; Fuentealba, Juan Francisco/0000-0003-0655-6686</t>
  </si>
  <si>
    <t>10.1103/PhysRevLett.116.165501</t>
  </si>
  <si>
    <t>WOS:000374559300011</t>
  </si>
  <si>
    <t>Guerrero, L; Montalvo, S; Huiliñir, C; Campos, JL; Barahona, A; Borja, R</t>
  </si>
  <si>
    <t>Guerrero, Lorna; Montalvo, Silvio; Huilinir, Cesar; Luis Campos, Jose; Barahona, Andrea; Borja, Rafael</t>
  </si>
  <si>
    <t>Advances in the biological removal of sulphides from aqueous phase in anaerobic processes: A review</t>
  </si>
  <si>
    <t>ENVIRONMENTAL REVIEWS</t>
  </si>
  <si>
    <t>In this paper, we review the latest developments in biological methods used in the removal of hydrogen sulphide, present in the liquid phase in anaerobic reactors. The toxicity of H2S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</si>
  <si>
    <t>1208-6053</t>
  </si>
  <si>
    <t>1181-8700</t>
  </si>
  <si>
    <t>10.1139/er-2015-0046</t>
  </si>
  <si>
    <t>WOS:000374245500007</t>
  </si>
  <si>
    <t>Ocaña, J; Sanchez, MP; Carrasco, JL</t>
  </si>
  <si>
    <t>Ocana, Jordi; Sanchez O, Maria P.; Carrasco, Josep L.</t>
  </si>
  <si>
    <t>Carryover negligibility and relevance in bioequivalence studies</t>
  </si>
  <si>
    <t>PHARMACEUTICAL STATISTICS</t>
  </si>
  <si>
    <t>The carryover effect is a recurring issue in the pharmaceutical field. It may strongly influence the final outcome of an average bioequivalence study. Testing a null hypothesis of zero carryover is useless: not rejecting it does not guarantee the non-existence of carryover, and rejecting it is not informative of the true degree of carryover and its influence on the validity of the final outcome of the bioequivalence study. We propose a more consistent approach: even if some carryover is present, is it enough to seriously distort the study conclusions or is it negligible? This is the central aim of this paper, which focuses on average bioequivalence studies based on 2 x 2 crossover designs and on the main problem associated with carryover: type I error inflation. We propose an equivalence testing approach to these questions and suggest reasonable negligibility or relevance limits for carryover. Finally, we illustrate this approach on some real datasets. Copyright (C) 2015 John Wiley &amp; Sons, Ltd.</t>
  </si>
  <si>
    <t>Carrasco, Josep/D-3660-2011; Ocaña, Jordi/G-1794-2015</t>
  </si>
  <si>
    <t>Carrasco, Josep/0000-0003-1184-0753</t>
  </si>
  <si>
    <t>1539-1604</t>
  </si>
  <si>
    <t>1539-1612</t>
  </si>
  <si>
    <t>10.1002/pst.1699</t>
  </si>
  <si>
    <t>WOS:000364239300005</t>
  </si>
  <si>
    <t>Alarcon, EI; Aspee, A; Aliaga, C; Braslavsky, SE</t>
  </si>
  <si>
    <t>Alarcon, Emilio Isaac; Aspee, Alexis; Aliaga, Carolina; Braslavsky, Silvia E.</t>
  </si>
  <si>
    <t>Special Issue Dedicated to the Memory of Elsa Beatriz Abuin Saccomano (1942-2012) Introduction</t>
  </si>
  <si>
    <t>PHOTOCHEMISTRY AND PHOTOBIOLOGY</t>
  </si>
  <si>
    <t>Braslavsky, Silvia/E-2276-2016; Alarcon, Emilio/A-7285-2011; Aliaga, Carolina/G-6024-2019</t>
  </si>
  <si>
    <t>Aliaga, Carolina/0000-0002-1352-3164</t>
  </si>
  <si>
    <t>0031-8655</t>
  </si>
  <si>
    <t>1751-1097</t>
  </si>
  <si>
    <t>10.1111/php.12115</t>
  </si>
  <si>
    <t>WOS:000326507100003</t>
  </si>
  <si>
    <t>Campos-Vargas, R; Zamora, P; Contreras, R; Köhler, H; Zúñiga, GE; Pérez-Donoso, A; Defilippi, BG</t>
  </si>
  <si>
    <t>Campos-Vargas, Reinaldo; Zamora, Pablo; Contreras, Rodrigo; Koehler, Hans; Zuniga, Gustavo E.; Perez-Donoso, Alonso; Defilippi, Bruno G.</t>
  </si>
  <si>
    <t>Cold storage effects on oxidative stress of cv. Red Globe table grape rachises</t>
  </si>
  <si>
    <t>CIENCIA E INVESTIGACION AGRARIA</t>
  </si>
  <si>
    <t>R. Campos-Vargas, P. Zamora, R. Contreras, H. Kohler, G.E. Zuniga, A. Perez-Donoso, and B.G. Defilippi. 2012. Cold storage effects on oxidative stress of Red Globe table grape rachises. Cien. Inv. Agr. 39(1): 91-104. Table grape (Vitis vinifera L.) quality includes the condition of both the berries and the rachis. In the present report, physiological parameters of Red Globe rachises from fully elongated inflorescences (RFEI) and from mature clusters were studied after storage at 0 or 20 C for different durations. To understand changes in rachis physiology as a result of changes in temperature conditions and storage time, the activities of superoxide dismutase (SOD), catalase (CAT) and ascorbate peroxidase (APX) were measured. In addition, hydrogen peroxide content, membrane lipoperoxidation (TBARS), total phenolic compounds and antioxidant capacity (FRAP) were assayed. TBARS was higher in mature rachises than in RFEI. This parameter remained constant throughout storage, indicating a change presumably associated with ontogeny or senescence processes. Short-term storage (0-96 11) increased SOD. CAT and APX activities in RFEI, while in mature rachises, no changes were observed in enzyme activities or in hydrogen peroxide content. Longer cold storage (25 or 53 days at 0 degrees C) of mature rachises reduced CAT activity, but SOD and APX activities did not change under these conditions. At Oh, the FRAP and total phenolic contents of mature rachises were three and 20 times higher than in immature rachises, respectively.</t>
  </si>
  <si>
    <t>Pérez-Donoso, Alonso Gastón/L-4608-2019; Zuñiga, Gustavo/P-8306-2015; Defilippi, Bruno/K-7172-2014; Contreras, Rodrigo/I-1871-2013; Zamora, Pablo/D-1612-2012; Campos-Vargas, Reinaldo/M-4021-2016</t>
  </si>
  <si>
    <t>Contreras, Rodrigo/0000-0001-9970-3125; Zuniga, Gustavo/0000-0002-8286-9468; Campos-Vargas, Reinaldo/0000-0003-1987-4130; Perez-Donoso, Alonso Gaston/0000-0001-6442-891X</t>
  </si>
  <si>
    <t>0718-1620</t>
  </si>
  <si>
    <t>JAN-APR</t>
  </si>
  <si>
    <t>10.4067/S0718-16202012000100007</t>
  </si>
  <si>
    <t>WOS:000303078600007</t>
  </si>
  <si>
    <t>Antonova, EE; Myagkova, IM; Stepanova, MV; Riazantseva, MO; Ovchinnikov, IL; Mar'in, BV; Karavaev, MV</t>
  </si>
  <si>
    <t>Antonova, E. E.; Myagkova, I. M.; Stepanova, M. V.; Riazantseva, M. O.; Ovchinnikov, I. L.; Mar'in, B. V.; Karavaev, M. V.</t>
  </si>
  <si>
    <t>Local particle traps in the high latitude magnetosphere and the acceleration of relativistic electrons</t>
  </si>
  <si>
    <t>Variations of electron fluxes with energies 300-600 keV in the region of quasitrapping are analyzed using data of the low orbiting Coronas-F satellite. Enhancements in the electron fluxes with energies above 300 keV are observed at the polar boundary of the outer radiation belt. Meteor-3M satellite data, OVATION and AP models of the position of the auroral oval are used to determine the position of analyzed increases in the energetic electrons with respect to the position of the auroral oval. There is a significant number of events when these increases were observed at a few consequent orbits crossing the outer radiation belt boundary. Studied increases in relativistic electron fluxes are localized at the latitudes of the auroral oval. Different mechanisms of formation of observed enhancements are discussed. The possibility of the appearance of increases due to formation of local particle traps is analyzed using Tsyganenko geomagnetic field models. The role of the formation of local particle traps at the boundary of the outer radiation belt and its possible influence to the formation of the outer radiation belt is discussed. (C) 2010 Elsevier Ltd. All rights reserved.</t>
  </si>
  <si>
    <t>Myagkova, Irina/E-3660-2012; Riazantseva, Maria/G-9066-2014; Stepanova, Marina/D-6329-2011; Ovchinnikov, Ilya/B-1467-2014; Antonova, Elizaveta/A-2716-2012</t>
  </si>
  <si>
    <t>Stepanova, Marina/0000-0002-1053-3375; Ovchinnikov, Ilya/0000-0003-2509-8166; Antonova, Elizaveta/0000-0001-6980-3993</t>
  </si>
  <si>
    <t>11-12</t>
  </si>
  <si>
    <t>10.1016/j.jastp.2010.11.020</t>
  </si>
  <si>
    <t>WOS:000294093500024</t>
  </si>
  <si>
    <t>Spodine, E; Valencia-Gálvez, P; Fuentealba, P; Manzur, J; Ruiz, D; Venegas-Yazigi, D; Paredes-García, V; Cardoso-Gil, R; Schnelle, W; Kniep, R</t>
  </si>
  <si>
    <t>Spodine, E.; Valencia-Galvez, P.; Fuentealba, P.; Manzur, J.; Ruiz, D.; Venegas-Yazigi, D.; Paredes-Garcia, V.; Cardoso-Gil, R.; Schnelle, W.; Kniep, R.</t>
  </si>
  <si>
    <t>Magnetic behavior of MnPS3 phases intercalated by [Zn2L]2+ (LH2: macrocyclic ligand obtained by condensation of 2-hydroxy-5-methyl-1,3-benzenedicarbaldehyde and 1,2-diaminobenzene)</t>
  </si>
  <si>
    <t>JOURNAL OF SOLID STATE CHEMISTRY</t>
  </si>
  <si>
    <t>The intercalation of the cationic binuclear macrocyclic complex [Zn2L](2+) (LH2: macrocyclic ligand obtained by the template condensation of 2-hydroxy-5-methyl-1,3-benzenedicarbaldehyde and 1,2-diaminobenzene) was achieved by a cationic exchange process, using K0.4Mn0.8PS3 as a precursor. Three intercalated materials were obtained and characterized: (Zn2L)(0.05)K0.3Mn0.8PS3 (1), (Zn2L)(0.1)K0.2Mn0.8PS3 (2) and (Zn2L)(0.05)K0.3Mn0.8PS3 (3), the latter phase being obtained by an assisted microwave radiation process. The magnetic data permit to estimate the Weiss temperature theta of approximate to -130 K for (1); approximate to -155 K for (2) and approximate to -130 K for (3). The spin canting present in the potassium precursor remains unperturbed in composite (3), and spontaneous magnetization is observed under 50 K in both materials. However composites (1) and (2) do not present this spontaneous magnetization at low temperatures. The electronic properties of the intercalates do not appear to be significantly altered. The reflectance spectra of the intercalated phases (1), (2) and (3) show a gap value between 1.90 and 1.80 eV, lower than the value observed for the K0.4Mn0.8FS3 precursor of 2.8 eV. (C) 2011 Elsevier Inc. All rights reserved.</t>
  </si>
  <si>
    <t>Manzur, Jorge/H-3824-2013; Paredes-Garcia, Veronica/C-4415-2011; Ruiz, Domingo/H-3818-2011; Venegas-Yazigi, Diego/C-5022-2009</t>
  </si>
  <si>
    <t>Fuentealba, Pablo/0000-0003-0581-1243; Ruiz Leon, Domingo/0000-0002-0950-6919; Valencia Galvez, Paulina/0000-0002-7283-064X; Schnelle, Walter/0009-0007-0136-7268; Venegas-Yazigi, Diego/0000-0001-7816-2841; Kniep, Rudiger/0000-0003-0679-5468</t>
  </si>
  <si>
    <t>0022-4596</t>
  </si>
  <si>
    <t>1095-726X</t>
  </si>
  <si>
    <t>10.1016/j.jssc.2011.03.009</t>
  </si>
  <si>
    <t>WOS:000290549900023</t>
  </si>
  <si>
    <t>Montalvo, SJ; Guerrero, LE; Milán, Z; Borja, R</t>
  </si>
  <si>
    <t>Montalvo, Silvio J.; Guerrero, Lorna E.; Milan, Zhenia; Borja, Rafael</t>
  </si>
  <si>
    <t>Nitrogen and phosphorus removal using a novel integrated system of natural zeolite and lime</t>
  </si>
  <si>
    <t>Nitrogen and phosphorus can cause eutrophication problems in receiving waters. These nutrients can be eliminated by different wastewater treatments but they tend to be costly or require complex operations. With these reasons in mind, this work set out to study the behavior of a novel combined or integrated system with zeolite and lime for the removal of these chemical species. With the integrated treatment, excellent removals-98 % NH4+, 100 % total phosphorus (TP), 79 % chemical oxygen demand (COD), 71 % BOD5, 99 % of total suspended solids (TSS) and 100 % of fecal coliforms-were obtained. A sludge production of 4.4 % and 4.8 % of the wastewater total volume treated with lime was achieved. The final liquid effluent of the integrated system of natural zeolite and lime had a composition which was suitable for its discharge into sewerage systems and marine or continental waters (according to Chilean regulations), as far as the concentrations of nitrogen, phosphorus and total coliforms were concerned. Validated curves with their corresponding equations were obtained in this study for the removal of ammonia nitrogen and total phosphorus. These equations can theoretically be applied to estimate the removal of both parameters in studies or practical applications undertaken with operating conditions similar to those used in this work.</t>
  </si>
  <si>
    <t>Borja, Rafael/P-5314-2016</t>
  </si>
  <si>
    <t>Borja, Rafael/0000-0002-3699-7223</t>
  </si>
  <si>
    <t>10.1080/10934529.2011.606709</t>
  </si>
  <si>
    <t>WOS:000297550900009</t>
  </si>
  <si>
    <t>Nyström, JO; Billström, K; Henríquez, F; Fallick, AE; Naslund, HR</t>
  </si>
  <si>
    <t>Nystrom, Jan Olov; Billstrom, Kjell; Henriquez, Fernando; Fallick, Anthony E.; Naslund, H. Richard</t>
  </si>
  <si>
    <t>Oxygen isotope composition of magnetite in iron ores of the Kiruna type in Chile and Sweden</t>
  </si>
  <si>
    <t>Magnetite-apatite iron ores of the Kiruna type, unaffected by deformation, have structures and textures similar to those of igneous rocks. The best examples are the El Laco deposits in northern Chile which resemble lava flows, pyroclastic deposits and dikes. El Laco magnetites have delta O-18 values between 2.3 and 4.2 parts per thousand (V-SMOW). Magnetite from ore with a magmatic texture has a mean of 3.7 parts per thousand, and the mean for magnetite intergrown with pyroxene in veins is 2.4 parts per thousand. Oxygen isotope data given here, fluid inclusion results and geological evidence indicate that ore formation took place in a cooling magmatic system. Major orebodies resembling lava flows and near-vent pyroclastic deposits crystallized from magma at ca. 1000 degrees C. Fluids from cooling magma deposited magnetite and pyroxene (+/-apatite) at ca. 800 degrees C in fissures and open spaces, now present as veins cutting major orebodies. There is little evidence for significant magnetite precipitation during hydrothermal conditions. A large province of magnetite-apatite iron ore in central Chile (the Cretaceous iron belt) and the Kiruna district in northern Sweden also contain primary ore of magmatic appearance. Major deposits in the Chilean iron belt and Kiruna contain magmatic-textured magnetites with the following delta O-18 means: Algarrobo = 2.2 parts per thousand, Romeral = 1.2 parts per thousand, Cerro Iman = 1.6 parts per thousand, and Kiirunavaara = 1.5 parts per thousand. We consider all oxygen isotope data for unoxidized, magmatic-textured magnetite as representative of the Fe-rich magmas. Magnetites affected by hydrothermal alteration, recrystallization and subaerial oxidation have modified isotope signatures.</t>
  </si>
  <si>
    <t>Henriquez, Fernando/C-9830-2009; Fallick, Anthony/MGB-3739-2025</t>
  </si>
  <si>
    <t>Fallick, Anthony/0000-0002-7649-6167; Henriquez, Fernando/0000-0002-8494-1435</t>
  </si>
  <si>
    <t>2000-0863</t>
  </si>
  <si>
    <t>WOS:000265297200001</t>
  </si>
  <si>
    <t>Silva, JF; Griveau, S; Richard, C; Zagal, JH; Bedioui, F</t>
  </si>
  <si>
    <t>Silva, J. Francisco; Griveau, Sophie; Richard, Cyrille; Zagal, Jose H.; Bedioui, Fethi</t>
  </si>
  <si>
    <t>Glassy carbon electrodes modified with single walled carbon nanotubes and cobalt phthalocyanine and nickel tetrasulfonated phthalocyanine: Highly stable new hybrids with enhanced electrocatalytic performances</t>
  </si>
  <si>
    <t>ELECTROCHEMISTRY COMMUNICATIONS</t>
  </si>
  <si>
    <t>We report here a fast procedure to modify glassy carbon (GC) electrode using commercially available unsubstituted cobalt phthalocyanine (COPC) and tetrasulfonated substituted nickel phthalocyanine (NiTSPc) simply adsorbed on oxidized single walled carbon nanotubes SWCNT. The electrocatalytic activity of the resulting SWCNT-MPc nanocomposite materials was evaluated toward the oxidation of two biologically relevant molecules, namely 2-mercaptoethanol (2-ME) and nitric oxide (NO). The obtained electrodes are highly stable under hydrodynamic conditions and the tailored hybrid surfaces allow enhancing electron transfer for the electrocatalytic oxidation of 2-ME and NO. (C) 2007 Elsevier B.V. All rights reserved.</t>
  </si>
  <si>
    <t>zagal, jose/L-9648-2014; Richard, Cyrille/O-6802-2017; Bedioui, Fethi/N-3507-2014</t>
  </si>
  <si>
    <t>Richard, Cyrille/0000-0003-4896-6675; Bedioui, Fethi/0000-0002-0063-4412</t>
  </si>
  <si>
    <t>1388-2481</t>
  </si>
  <si>
    <t>10.1016/j.elecom.2007.03.008</t>
  </si>
  <si>
    <t>WOS:000248089400039</t>
  </si>
  <si>
    <t>Venegas, F; Celedón, G; Lissi, EA; Lanio, M; Alvarez, C; Martínez, D</t>
  </si>
  <si>
    <t>Sticholysin II lytic activity in peroxyl-oxidized erythrocytes</t>
  </si>
  <si>
    <t>PLACENTA</t>
  </si>
  <si>
    <t>Joint Meeting of the 2nd Latinamerican Symposium on Fetal-Mateanal Interaction and Placenta/19th Annual Meeting of the Chilean-Society-of-Physiological-Sciences</t>
  </si>
  <si>
    <t>NOV 06-09, 2005</t>
  </si>
  <si>
    <t>Santiago, CHILE</t>
  </si>
  <si>
    <t>Chilean Soc Physiol Sci</t>
  </si>
  <si>
    <t>0143-4004</t>
  </si>
  <si>
    <t>A62</t>
  </si>
  <si>
    <t>WOS:000233996200221</t>
  </si>
  <si>
    <t>Biben, T; Géminard, JC; Melo, F</t>
  </si>
  <si>
    <t>Dynamics of bio-polymeric brushes growing from a cellular membrane:: Tentative modelling of the actin turnover within an adhesion unit;: the podosome</t>
  </si>
  <si>
    <t>JOURNAL OF BIOLOGICAL PHYSICS</t>
  </si>
  <si>
    <t>Podosomes are involved in the adhesion process of various cells to a solid substrate. They have been proven to consist of a dense actin core surrounded by an actin cloud. The podosomes, which nucleate when the cell comes in the vicinity of a substrate, contribute to link the membrane to the solid surface, but rather than frozen links, collective dynamical behaviors are experimentally observed. Depending on the differentiation stage, podosomes assemble and form clusters, rings or belts. Considering the dynamics of a polymeric brush, we design a simple model aiming at the description of a single podosome, the basic unit of these complex adhesion-structures and compare our theoretical conclusions to recent experimental results. Particularly, we explain, by solving the diffusion problem around the podosome, why the structure is likely to have a finite life-span.</t>
  </si>
  <si>
    <t>0092-0606</t>
  </si>
  <si>
    <t>10.1007/s10867-005-1637-y</t>
  </si>
  <si>
    <t>WOS:000229970700006</t>
  </si>
  <si>
    <t>Effects of agonists on the long and short splice variants of 5-HT3 receptor stably expressed in HEK 293 cells</t>
  </si>
  <si>
    <t>P261</t>
  </si>
  <si>
    <t>WOS:A1996VK18800261</t>
  </si>
  <si>
    <t>Carvajal, JO; Zoccali, M; De Leo, M; Ramos, RC; Quezada, C; Rojas-Arriagada, A; Valenti, E; Albarracín, R; Navarro, AV</t>
  </si>
  <si>
    <t>Carvajal, J. Olivares; Zoccali, M.; De Leo, M.; Ramos, R. Contreras; Quezada, C.; Rojas-Arriagada, A.; Valenti, E.; Albarracin, R.; Navarro, A. Valenzuela</t>
  </si>
  <si>
    <t>Comparing bulge RR Lyrae stars with bulge giants: Insight from 3D kinematics</t>
  </si>
  <si>
    <t>Context. The structure and kinematics of the old component of the Galactic bulge are still a matter of debate. It is clear that the bulk of the bulge as traced by red clump stars includes two main components, which are usually identified as the metal-rich and metal-poor components. They have different shapes, kinematics, mean metallicities, and alpha-element abundances. It is our current understanding that they are associated with a bar and a spheroid, respectively. On the other hand, RR Lyrae variables trace the oldest population of the bulge. While it would be natural to think that they follow the structure and kinematics of the metal-poor component, the data analysed in the literature show conflicting results. Aims. We aim to derive a rotation curve for bulge RR Lyrae stars in order to determine that the old component traced by these stars is distinct from the two main components observed in the Galactic bulge. Methods. This paper combines APOGEE-2S spectra with OGLE-IV light curves, near-infrared photometry, and proper motions from the VISTA Variables in the V &amp; iacute;a L &amp; aacute;ctea survey for 4193 RR Lyrae stars. Six-dimensional phase-space coordinates were used to calculate orbits within an updated Galactic potential and to isolate the stars. Results. The stars that stay confined within the bulge represent 57% of our sample. Our results show that bulge RR Lyrae variables rotate more slowly than metal-rich red clump stars and have a lower velocity dispersion. Their kinematics is compatible with them being the low-metallicity tail of the metal-poor component. We confirm that a rather large fraction of halo and thick disc RR Lyrae stars pass by the bulge within their orbits, increasing the velocity dispersion. A proper orbital analysis is therefore critical to isolate bona fide bulge variables. Finally, bulge RR Lyrae seem to trace a spheroidal component, although the current data do now allow us to reach a firm conclusion about the spatial distribution.</t>
  </si>
  <si>
    <t>Olivares Carvajal, Julio/0009-0000-1857-4393; Zoccali, Manuela/0000-0002-5829-2267</t>
  </si>
  <si>
    <t>A312</t>
  </si>
  <si>
    <t>10.1051/0004-6361/202449503</t>
  </si>
  <si>
    <t>WOS:001280629000008</t>
  </si>
  <si>
    <t>Aguilera-Granja, F; Aguilera-del-Toro, RH; Vogel, EE; Escrig, J</t>
  </si>
  <si>
    <t>Aguilera-Granja, F.; Aguilera-del-Toro, R. H.; Vogel, E. E.; Escrig, Juan</t>
  </si>
  <si>
    <t>Adsorption of silanediol-like molecules on TiO2 nano-clusters: A density-functional-theoretic study</t>
  </si>
  <si>
    <t>We performed density-functional-theoretical calculations of the silanediol-like molecules adsorbed on (TiO2)20 tetrahedral-like clusters. We study the adsorption on the triangular face of the (TiO2)20 clusters in two different sites (Center and Edge). Our results suggest that the band gap of the (TiO2)20 nano-clusters can be controlled (tune or adjust) changing the length of the molecule as well as the terminal element within the molecule chain. The adsorption energy or functionalization energy of the cluster is almost independent of the number of atoms, presenting only a slight increase with the number of atoms in the adsorbed molecular chain. We also analyze the dependence of the gap with iso-electronic final monomer for a few selected cases.</t>
  </si>
  <si>
    <t>Aguilera-Granja, Faustino/B-3582-2009; Aguilera, Rodrigo/ABG-7870-2020; Escrig, Juan/N-4304-2015</t>
  </si>
  <si>
    <t>Aguilera, Rodrigo/0000-0001-6186-0977; Escrig, Juan/0000-0002-3958-8185; Aguilera-Granja, Faustino/0000-0002-8925-3180</t>
  </si>
  <si>
    <t>10.1016/j.jpcs.2023.111642</t>
  </si>
  <si>
    <t>WOS:001073639500001</t>
  </si>
  <si>
    <t>Antico, FC; Concha-Riedel, J; Valdivia, I; Herrera, CG; Utrera, A</t>
  </si>
  <si>
    <t>Antico, F. C.; Concha-Riedel, J.; Valdivia, I.; Herrera, C. Garcia; Utrera, A.</t>
  </si>
  <si>
    <t>The fracture mechanical behavior of the interface between animal fibers, mortar, and earth matrices. A theoretical and experimental approach</t>
  </si>
  <si>
    <t>COMPOSITES PART B-ENGINEERING</t>
  </si>
  <si>
    <t>Theoretical-experimental research is presented to address the mechanics and failure mode of the interface between two matrices with brittle behavior, earth and mortar, and pig hair, an organic fiber that is a massive waste from the food industry worldwide. A comprehensive statistical analysis of the pull-out force is presented, accounting for the effect of fiber embedded length, diameter variability, and age of the matrices. Experimental results are contrasted with fracture-mechanics theories to describe its behavior in this matter. Results show that neither fiber length, variability of diameter, nor the age of the matrix influences the pull-out force of both matrices evaluated in this work. Our results show the brittle nature of these interfaces, which was also observed using a high-speed camera. The tensile load of the fibers was compared to the pull-out force, showing that these fibers always work within their elastic regime. This work contributes directly to the sustainable goals 9, 11, and 15 enacted by the United Nations in 2015, by contributing to the understanding of the fracture mechanics of a waste product used as reinforcement of construction matrices.</t>
  </si>
  <si>
    <t>Antico, Federico/B-7258-2009</t>
  </si>
  <si>
    <t>Concha-Riedel, Jose/0000-0002-0038-1865; Antico, Federico C./0000-0001-7828-9391</t>
  </si>
  <si>
    <t>1359-8368</t>
  </si>
  <si>
    <t>1879-1069</t>
  </si>
  <si>
    <t>10.1016/j.compositesb.2023.110568</t>
  </si>
  <si>
    <t>WOS:000993235300001</t>
  </si>
  <si>
    <t>Araya-Córdova, PJ; Dávila, S; Valenzuela-Levi, N; Vásquez, OC</t>
  </si>
  <si>
    <t>Araya-Cordova, Patricio J.; Davila, Sebastian; Valenzuela-Levi, Nicolas; Vasquez, Oscar C.</t>
  </si>
  <si>
    <t>Income inequality and efficient resources allocation policy for the adoption of a recycling program by municipalities in developing countries: The case of Chile</t>
  </si>
  <si>
    <t>The question about how to choose the best recycling policy is particularly relevant in developing countries. On the one hand, many of these countries have no national waste management strategies, with recycling programs emerging as an independent initiative financed by municipalities, mostly in urban areas. On the other hand, the municipal budget tends to be linked to the wealth of their inhabitants. Consequently, an efficient municipal resources allocation policy to support recycling programs is especially crucial for the most vulnerable population, often located in rural areas. In this paper, we address the problem of optimal allocation of resources for the adoption of a recycling program by municipalities located in both urban and rural areas of a developing country, determining the best combination between two options: increasing and redistributing existing resources. Our research methods involve comprehensive data collection and mathematical modelling, adopting a logistic regression model proposed in the literature, formulating a non-linear optimisation model, and implementing a resolution method. In addition, recycling policies with equivalent results are described and analysed, discussing their political feasibility and economic efficiency. To illustrate our proposal, the case of Chilean municipalities is considered. Chile is a country from the Global South that belongs to the OECD and can be therefore compared to other documented cases. Although no official national data is available, we were able to collect figures by requesting information from every municipality in the country. The obtained results show an important lack of resources at the national level in MSWM, especially affecting rural areas. In this context, equivalent recycling policies with combined options could better favour rural municipalities. However, the average probability for the adoption of a recycling program by municipalities, although shows slight increases, is not enough for a substantial change towards a more sustainable waste management model. Our results illustrate the gap between urban and rural municipalities, the need to inject important funds into the system as a whole, and open the question of whether a more direct 'command and control' policy is required instead of just trusting the individual initiative of each municipality, even if more resources are provided.</t>
  </si>
  <si>
    <t>10.1016/j.jclepro.2021.127305</t>
  </si>
  <si>
    <t>WOS:000662983500005</t>
  </si>
  <si>
    <t>Palacios, S; Schiappacasse, G; Valdes, R; Maldonado, I; Varela, C</t>
  </si>
  <si>
    <t>Palacios, Sofia; Schiappacasse, Giancarlo; Valdes, Rosario; Maldonado, Ignacio; Varela, Cristian</t>
  </si>
  <si>
    <t>COVID-19: Abdominal and Pelvic Imaging Findings: A Primer for Radiologists</t>
  </si>
  <si>
    <t>JOURNAL OF COMPUTER ASSISTED TOMOGRAPHY</t>
  </si>
  <si>
    <t>The COVID-19 pandemic presents an ongoing global health threat. The SARS-CoV-2 is known to cause substantial pulmonary disease, and most of the current radiological publications are dedicated to describing and characterizing these findings. However, studies regarding imaging findings in the abdomen and pelvis of infected patients are still very limited. The aim of this review is to discuss the most frequent abdominal manifestations based on the current literature and representative images from our local experience.</t>
  </si>
  <si>
    <t>0363-8715</t>
  </si>
  <si>
    <t>1532-3145</t>
  </si>
  <si>
    <t>10.1097/RCT.0000000000001152</t>
  </si>
  <si>
    <t>WOS:000653149000002</t>
  </si>
  <si>
    <t>Acosta-Cordero, L; Carrera-Chapela, F; Montalvo, S; Guerrero, L; Palominos, N; Borja, R; Huiliñir, C</t>
  </si>
  <si>
    <t>Acosta-Cordero, Lidersi; Carrera-Chapela, Fabio; Montalvo, Silvio; Guerrero, Lorna; Palominos, Nicolas; Borja, Rafael; Huilinir, Cesar</t>
  </si>
  <si>
    <t>Modeling of the effect of zeolite concentration on the biological nitrification process in the presence of sulfide and organic matter</t>
  </si>
  <si>
    <t>The evaluation of the nitrification kinetics in the simultaneous presence of sulfide and organic matter using zeolite as improver was the main goal of this work. According to the sensitivity and collinearity analyses, five parameters were the most sensitive in the model, whose calibrated values were: mu (max, AOB) = 0.02642 +/- 0.002 h(-1); mu (max, NOB) = 0.3307 +/- 0.416 h(-1); K (S,NOB) = 1.65 center dot 10(-6) +/- 2.85 center dot 10(-6) mgHNO(2)-N/L; k (S2) = 0.8213 +/- 0.076 and n = 0.6537 +/- 0.030. A good fit between the experimental data and the model's results including the effect of zeolite on the kinetic parameters was obtained, with Theil inequality coefficient values between 0.109 and 0.007 for all the variables studied, with all of these values lower than 0.3. Thus, the model proposed is robust and can simulate the nitrification process in the presence of sulfide and organic matter when zeolite was used as improver.</t>
  </si>
  <si>
    <t>Huilinir, Cesar/0000-0002-3487-684X; Carrera-Chapela, Fabio/0000-0001-7265-3439; Borja, Rafael/0000-0002-3699-7223</t>
  </si>
  <si>
    <t>NOV 19</t>
  </si>
  <si>
    <t>10.1080/10934529.2020.1852011</t>
  </si>
  <si>
    <t>WOS:000596674200001</t>
  </si>
  <si>
    <t>Echeverry, C; Prunell, G; Narbondo, C; de Medina, VS; Nadal, X; Reyes-Parada, M; Scorza, C</t>
  </si>
  <si>
    <t>Echeverry, Carolina; Prunell, Giselle; Narbondo, Camila; Sanchez de Medina, Veronica; Nadal, Xavier; Reyes-Parada, Miguel; Scorza, Cecilia</t>
  </si>
  <si>
    <t>A Comparative In Vitro Study of the Neuroprotective Effect Induced by Cannabidiol, Cannabigerol, and Their Respective Acid Forms: Relevance of the 5-HT1AReceptors</t>
  </si>
  <si>
    <t>NEUROTOXICITY RESEARCH</t>
  </si>
  <si>
    <t>Previous preclinical studies have demonstrated that cannabidiol (CBD) and cannabigerol (CBG), two non-psychotomimetic phytocannabinoids fromCannabis sativa, induce neuroprotective effects on toxic and neurodegenerative processes. However, a comparative study of both compounds has not been reported so far, and the targets involved in this effect remain unknown. The ability of CBD and CBG to attenuate the neurotoxicity induced by two insults involving oxidative stress (hydrogen peroxide, H2O2) and mitochondrial dysfunction (rotenone) was evaluated in neural cell cultures. The involvement of CB-1 and CB-2 or 5-HT1A receptors was investigated. The neuroprotective effect of their respective acids forms, cannabidiolic acid (CBDA) and cannabigerolic acid (CBGA), was also analyzed. MTT and immunocytochemistry assays were used to evaluate cell viability. No significant variation on cell viability was per se induced by the lower concentrations tested of CBD and CBG or CBDA and CBGA; however, high concentrations of CBD, CBDA, or CBGA were toxic since a 40-50% reduction of cell viability was observed. CBD and CBG showed neuroprotective effects against H(2)O(2)or rotenone; however, both compounds were more effective in attenuating the rotenone-induced neurotoxicity. A high concentration of CBDA reduced the rotenone-induced neurotoxicity. WAY100635 (5-HT1A receptor antagonist) but not AM251 and AM630 (CB1 or CB2 receptor antagonists, respectively) significantly diminished the neuroprotective effect induced by CBG only against rotenone. Our results contribute to the understanding of the neuroprotective effect of CBD and CBG, showing differences with their acid forms, and also highlight the role of 5-HT1A receptors in the mechanisms of action of CBG.</t>
  </si>
  <si>
    <t>Echeverry, Carolina/GNO-9877-2022; Prunell, Giselle/AAF-1832-2020</t>
  </si>
  <si>
    <t>Prunell, Giselle/0000-0002-6412-1114; Echeverry, Carolina/0000-0002-3953-4814</t>
  </si>
  <si>
    <t>1029-8428</t>
  </si>
  <si>
    <t>1476-3524</t>
  </si>
  <si>
    <t>10.1007/s12640-020-00277-y</t>
  </si>
  <si>
    <t>WOS:000566059800001</t>
  </si>
  <si>
    <t>Gim-Krumm, M; Quilaqueo, M; Rojas, V; Seriche, G; Ruby-Figueroa, R; Cortés-Arriagada, D; Romero, J; Troncoso, E; Estay, H</t>
  </si>
  <si>
    <t>Gim-Krumm, Minghai; Quilaqueo, Michelle; Rojas, Vania; Seriche, Gabriel; Ruby-Figueroa, Rene; Cortes-Arriagada, Diego; Romero, Julio; Troncoso, Elizabeth; Estay, Humberto</t>
  </si>
  <si>
    <t>Impact of precipitate characteristics and precipitation-conditions on the settling performance of a sulfide precipitation process: An exhaustive characterization of the aggregation behavior</t>
  </si>
  <si>
    <t>The sulfide precipitation process is currently the most successful technology for recovering cyanide and copper in cyanidation gold plants. The application of this chemical process has been implemented in the SART (Sulfidization, Acidification, Recycling, and Thickening) process. This process includes thickening and filtering unit operations to separate the solids precipitated in the sulfidization reactor. Nevertheless, solid-liquid separation in the thickener has not been optimized, resulting in the loss of copper precipitates in the overflow and, consequently, inducing a reduction in copper recovery in the overall process. This performance could be influenced by the colloidal characteristics of the particles formed in the reaction, but only a few studies have found quantifiable evidence in this regard. Moreover, the impact of the main variables of the process (e.g., pH, sulfide content, and reaction time) on the aggregation behavior has not been studied. Thus, this work attempts to reduce the current lack of scientific understanding of the SART process with respect to the industrial practice. In this context, the goal of this work was to carry out a chemical characterization, particle electrical charge (zeta potential) assessment, chemical computational simulation and settling tests of precipitates obtained from sulfide precipitation assays, in order to create a deep characterization of copper and zinc precipitates. The main results attend to understand the aggregation behavior of the precipitates, the relevance of reaction parameters (pH and sulfide addition) in the aggregation characteristics and its impact in settling results. This study is the first research focused on the characterization of sulfide metal precipitates in cyanide media and its impact in the process.</t>
  </si>
  <si>
    <t>Romero, Julio/I-6705-2013; Cortés-Arriagada, Diego/J-5940-2019; Estay, Humberto/I-3499-2017</t>
  </si>
  <si>
    <t>Cortes-Arriagada, Diego/0000-0002-6709-1723; Ruby-Figueroa, Rene/0000-0001-7747-1837; Estay, Humberto/0000-0001-8518-7131; Gim Krumm, Minghai/0000-0003-0450-4751; Romero, Julio/0000-0002-1229-1592</t>
  </si>
  <si>
    <t>10.1016/j.hydromet.2019.105150</t>
  </si>
  <si>
    <t>WOS:000496341300043</t>
  </si>
  <si>
    <t>García-Hermoso, A; Martínez-Vizcaíno, V; Gomez-Marcos, MA; Cavero-Redondo, I; Recio-Rodriguez, JI; García-Ortiz, L</t>
  </si>
  <si>
    <t>Garcia-Hermoso, Antonio; Martinez-Vizcaino, Vicente; Angel Gomez-Marcos, Manuel; Cavero-Redondo, Ivan; Ignacio Recio-Rodriguez, Jose; Garcia-Ortiz, Luis</t>
  </si>
  <si>
    <t>Ideal Cardiovascular Health and Arterial Stiffness in Spanish Adults-The EVIDENT Study</t>
  </si>
  <si>
    <t>JOURNAL OF STROKE &amp; CEREBROVASCULAR DISEASES</t>
  </si>
  <si>
    <t>Background: Studies concerning ideal cardiovascular (CV) health and its relationship with arterial stiffness are lacking. This study examined the association between arterial stiffness with ideal CV health as defined by the American Heart Association, across age groups and gender. Methods: The cross-sectional study included 1365 adults. Ideal CV health was defined as meeting ideal levels of the following components: 4 behaviors (smoking, body mass index, physical activity, and Mediterranean diet adherence) and 3 factors (total cholesterol, blood pressure, and glycated hemoglobin). Patients were grouped into 3 categories according to their number of ideal CV health metrics: ideal (5-7 metrics), intermediate (3-4 metrics), and poor (0-2 metrics). We analyzed the pulse wave velocity (PWV), the central and radial augmentation indexes, and the ambulatory arterial stiffness index (AASI). Results: The ideal CV health profile was inversely associated with lower arterial radial augmentation index and AASI in both genders, particularly in middle-aged (45-65 years) and in elderly subjects (&gt; 65 years). Also in elderly subjects, adjusted models showed that adults with at least 3 health metrics at ideal levels had significantly lower PWV than those with 2 or fewer ideal health metrics. Conclusions: An association was found between a favorable level of ideal CV health metrics and lower arterial stiffness across age groups. (c) 2018 National Stroke Association. Published by Elsevier Inc. All rights reserved.</t>
  </si>
  <si>
    <t>García-Hermoso, Antonio/ADU-2591-2022; Cavero-Redondo, Ivan/R-4818-2019; VIZCAINO, VICENTE/R-4336-2017; Garcia-Hermoso, Antonio/P-1857-2017</t>
  </si>
  <si>
    <t>Recio-Rodriguez, Jose I/0000-0002-3772-8746; Cavero-Redondo, Ivan/0000-0003-2617-0430; Garcia-Hermoso, Antonio/0000-0002-1397-7182</t>
  </si>
  <si>
    <t>1052-3057</t>
  </si>
  <si>
    <t>1532-8511</t>
  </si>
  <si>
    <t>10.1016/j.jstrokecerebrovasdis.2017.12.031</t>
  </si>
  <si>
    <t>WOS:000428778400040</t>
  </si>
  <si>
    <t>Díaz, H; Maureira, F; Flores, E; Córdova, F</t>
  </si>
  <si>
    <t>Shi, Y; Wolcott, P; Kwak, W; Chen, Z; Tian, Y; Lee, H</t>
  </si>
  <si>
    <t>Diaz M, Hernan; Maureira, Fernando; Flores, Elizabeth; Cordova, Felisa</t>
  </si>
  <si>
    <t>Intra and inter-hemispheric correlations of the order/chaos fluctuation in the brain activity during a motor imagination task</t>
  </si>
  <si>
    <t>6TH INTERNATIONAL CONFERENCE ON INFORMATION TECHNOLOGY AND QUANTITATIVE MANAGEMENT</t>
  </si>
  <si>
    <t>Procedia Computer Science</t>
  </si>
  <si>
    <t>6th International Conference on Information Technology and Quantitative Management (ITQM)</t>
  </si>
  <si>
    <t>OCT 20-21, 2018</t>
  </si>
  <si>
    <t>Omaha, NE</t>
  </si>
  <si>
    <t>Int Acad Informat Technol &amp; Quantitat Management,Univ Nebraska,Chinese Acad Sci, Res Ctr Fictitious Economy &amp; Data Sci,UCAS, Sch Econ &amp; Management,Chinese Acad Sci, Inst Sci &amp; Dev,Chinese Acad Sci, Key Lab Big Data Mining &amp; Knowledge Management,Chinese Acad Management, Business Intelligence Soc,SW Minzu Univ,TIBD</t>
  </si>
  <si>
    <t>The objective of the present study was to explore the degree of synchrony manifested by the fluctuation of the order/chaos oscillation between different areas of the brain (frontal, temporal and occipital). We made this exploration during the execution of the mental visualization of a motor task consisting of performing a self-invented ordered sequence of body movements. The sample consisted in the EEG of 9 professional dancers recorded during the process of imagining the sequence of movements. To study the variation of the order/chaos activity and the synchronic relationship of this balance between different regions of the cerebral cortex, we estimated the Hurst exponent and used linear Spearman correlations to evaluate order/chaos fluctuations synchronicity. The results showed H&gt;0.5 values in all the electrodes, showing a strong self-similar and persistent brain activity during the imagination process. In addition, high order/chaos fluctuation synchrony indexes were found for the inter-hemispheric frontal and occipital areas in all the subjects, but poor order/chaos synchrony between temporal areas. (C) 2018 The Authors. Published by Elsevier B.V.</t>
  </si>
  <si>
    <t>Flores, Elizabeth/JLM-7033-2023; Córdova, Felisa/AAK-4280-2020</t>
  </si>
  <si>
    <t>CORDOVA, FELISA/0000-0002-5557-8569</t>
  </si>
  <si>
    <t>1877-0509</t>
  </si>
  <si>
    <t>10.1016/j.procs.2018.10.250</t>
  </si>
  <si>
    <t>WOS:000471259200061</t>
  </si>
  <si>
    <t>Kirpichev, IP; Antonova, EE; Stepanova, M</t>
  </si>
  <si>
    <t>Kirpichev, I. P.; Antonova, E. E.; Stepanova, M.</t>
  </si>
  <si>
    <t>Ion leakage at dayside magnetopause in case of high and low magnetic shears</t>
  </si>
  <si>
    <t>JOURNAL OF GEOPHYSICAL RESEARCH-SPACE PHYSICS</t>
  </si>
  <si>
    <t>The nature of energetic ions in the magnetosheath of the Earth is studied using the data of the Time History of Events and Macroscale Interactions during Substorms mission. Three intervals of the multiple crossings of the magnetopause during northward orientation of the interplanetary magnetic field and quiet geomagnetic conditions were selected to illustrate the behavior of ion distribution functions near the subsolar region in case of high and low magnetic shears. For all analyzed events, the velocity and thickness of the magnetopause was estimated using the simultaneous measurements in two satellites. The ion spectra in the magnetosphere and magnetosheath were fitted by kappa and bi-kappa distributions, respectively. It was found that during high shear events the energetic part of the ion spectra is practically identical inside and outside the magnetopause. On the other side, for low shear events the energetic fluxes of ions in the magnetosheath are lower. We argue that in case of high magnetic shear, the magnetopause becomes transparent when the ion Larmor radii is comparable or larger than the thickness of the magnetopause. It may explain coincidence of the energetic part of spectra inside and outside the magnetosphere. We discuss the reason for the changes of spectra at low magnetic shear.</t>
  </si>
  <si>
    <t>2169-9380</t>
  </si>
  <si>
    <t>2169-9402</t>
  </si>
  <si>
    <t>10.1002/2016JA023735</t>
  </si>
  <si>
    <t>WOS:000411788800017</t>
  </si>
  <si>
    <t>González, A; Ugarte, G; Restrepo, C; Herrera, G; Piña, R; Gómez-Sánchez, JA; Pertusa, M; Orio, P; Madrid, R</t>
  </si>
  <si>
    <t>Gonzalez, Alejandro; Ugarte, Gonzalo; Restrepo, Carlos; Herrera, Gaspar; Pina, Ricardo; Antonio Gomez-Sanchez, Jose; Pertusa, Maria; Orio, Patricio; Madrid, Rodolfo</t>
  </si>
  <si>
    <t>Role of the Excitability Brake Potassium Current IKD in Cold Allodynia Induced by Chronic Peripheral Nerve Injury</t>
  </si>
  <si>
    <t>Cold allodynia is a common symptom of neuropathic and inflammatory pain following peripheral nerve injury. The mechanisms underlying this disabling sensory alteration are not entirely understood. In primary somatosensory neurons, cold sensitivity is mainly determined by a functional counterbalance between cold-activated TRPM8 channels and Shaker-like Kv1.1-1.2 channels underlying the excitability brake current I-KD. Here we studied the role of I-KD in damage-triggered painful hypersensitivity to innocuous cold. We found that cold allodynia induced by chronic constriction injury (CCI) of the sciatic nerve in mice, was related to both an increase in the proportion of cold-sensitive neurons (CSNs) in DRGs contributing to the sciatic nerve, and a decrease in their cold temperature threshold. I-KD density was reduced in high-threshold CSNs from CCI mice compared with sham animals, with no differences in cold-induced TRPM8-dependent current density. The electrophysiological properties and neurochemical profile of CSNs revealed an increase of nociceptive-like phenotype among neurons from CCI animals compared with sham mice. These results were validated using a mathematical model of CSNs, including I-KD and TRPM8, showing that a reduction in I-KD current density shifts the thermal threshold to higher temperatures and that the reduction of this current induces cold sensitivity in former cold-insensitive neurons expressing low levels of TRPM8-like current. Together, our results suggest that cold allodynia is largely due to a functional downregulation of I-KD in both high-threshold CSNs and in a subpopulation of polymodal nociceptors expressing TRPM8, providing a general molecular and neural mechanism for this sensory alteration.</t>
  </si>
  <si>
    <t>Piña, ricardo/AAU-1694-2020; Madrid, Rodolfo/MCJ-4974-2025; Gonzalez, Alejandro/MFI-1717-2025; Gomez Sanchez, Jose/O-7034-2019; Orio, Patricio/F-6207-2010</t>
  </si>
  <si>
    <t>Restrepo Bravo, Carlos Anibal/0000-0003-3097-4925; Pina, Ricardo/0000-0002-2316-8952; Orio, Patricio/0000-0003-0332-8098; Pertusa, Maria/0000-0003-3856-9019; Gonzalez, Alejandro/0000-0001-7513-2516; Gomez-Sanchez, Jose Antonio/0000-0002-6746-1800</t>
  </si>
  <si>
    <t>MAR 22</t>
  </si>
  <si>
    <t>10.1523/JNEUROSCI.3553-16.2017</t>
  </si>
  <si>
    <t>WOS:000397819300003</t>
  </si>
  <si>
    <t>Dorta, E; Rodríguez-Rodríguez, EM; Jiménez-Quezada, A; Fuentes-Lemus, E; Speisky, H; Lissi, E; López-Alarcón, C</t>
  </si>
  <si>
    <t>Dorta, Eva; Rodriguez-Rodriguez, Elena Maria; Jimenez-Quezada, Andres; Fuentes-Lemus, Eduardo; Speisky, Hernan; Lissi, Eduardo; Lopez-Alarcon, Camilo</t>
  </si>
  <si>
    <t>Use of the Oxygen Radical Absorbance Capacity (ORAC) Assay to Predict the Capacity of Mango (Mangifera indica L.) By-Products to Inhibit Meat Protein Oxidation</t>
  </si>
  <si>
    <t>FOOD ANALYTICAL METHODS</t>
  </si>
  <si>
    <t>The potential activity of mango by-products to inhibit the peroxyl radical-mediated oxidation of tryptophan residues (Trp) of myofibrillar proteins (MP) was studied. Extracts of seeds, peels and pulps were studied in terms of their antioxidant activity, assessed by the oxygen radical absorbance capacity (ORAC) assay employing fluorescein and pyrogallol red as probes (ORAC-FL and ORAC-PGR, respectively). The effect of the extracts of mango by-products on the oxidation of Trp was evaluated by fluorescence spectroscopy. Data obtained employing the ORAC-FL assay showed a low discrimination of the antioxidant activity of the samples (Peel ae Seed &gt; Pulp). However, employing the ORAC-PGR assay it was possible to differentiate the antioxidant activity of the samples (Seed &gt; Peel &gt;&gt; Pulp). Extracts obtained from mango seed, peel, and pulp protected Trp of MP when the latter was exposed to AAPH (2,2'-azo-bis(2-amidinopropane) dihydrochloride)-derived free radicals. Such effect was in good agreement with the ORAC-PGR data, showing that this assay could be employed to predict the protection of Trp residues of MP.</t>
  </si>
  <si>
    <t>Pérez, Dorta/T-7820-2019; Lopez, Camilo/J-5770-2013; Fuentes Lemus, Eduardo/X-4292-2019; Rodriguez-Rodriguez, Elena M/B-8346-2015</t>
  </si>
  <si>
    <t>Lopez, Camilo/0000-0002-0174-8972; Fuentes Lemus, Eduardo/0000-0002-1465-8466; Rodriguez-Rodriguez, Elena M/0000-0003-3807-4593; Dorta, Eva/0000-0002-2292-0356</t>
  </si>
  <si>
    <t>1936-9751</t>
  </si>
  <si>
    <t>1936-976X</t>
  </si>
  <si>
    <t>10.1007/s12161-016-0584-5</t>
  </si>
  <si>
    <t>WOS:000392379600005</t>
  </si>
  <si>
    <t>Oweis, NE; Aracenay, C; George, W; Oweis, M; Soori, H; Snasel, V</t>
  </si>
  <si>
    <t>Abraham, A; WegrzynWolska, K; Hassanien, AE; Snasel, V; Alimi, AM</t>
  </si>
  <si>
    <t>Oweis, Nour E.; Aracenay, Claudio; George, Waseem; Oweis, Mona; Soori, Hussein; Snasel, Vaclav</t>
  </si>
  <si>
    <t>Internet of Things: Overview, Sources, Applications and Challenges</t>
  </si>
  <si>
    <t>PROCEEDINGS OF THE SECOND INTERNATIONAL AFRO-EUROPEAN CONFERENCE FOR INDUSTRIAL ADVANCEMENT (AECIA 2015)</t>
  </si>
  <si>
    <t>Advances in Intelligent Systems and Computing</t>
  </si>
  <si>
    <t>2nd International Afro-European Conference for Industrial Advancement (AECIA)</t>
  </si>
  <si>
    <t>SEP 09-11, 2015</t>
  </si>
  <si>
    <t>Engn Sch Digital Sci, AllianSTIC Lab, Villejuif, FRANCE</t>
  </si>
  <si>
    <t>Tech Univ Ostrava, Dept Comp Sci,Univ Sfax, Res Grp Intelligent Machines</t>
  </si>
  <si>
    <t>Engn Sch Digital Sci, AllianSTIC Lab</t>
  </si>
  <si>
    <t>Nowadays, Internet of Things (IoT) is growing rapidly. Billions of devices are expected to be associated in the coming future. Smart and sensing devices have impacted the Big Data area through huge data generation and gathering during the communication between new physical object. The challenges in this communication process can be seen in the necessity to handle huge amount of data that can serve different purposes in various fields such as, medical, social, commercial, industrial and scientific fields. This study aims at presenting some of the most recent advances in IoT. We divided the study into four main parts: short history, Big Data concept, IoT sources (hardware and software), and finally some challenges and future expectations. The objective of the study is to give readers an updated description of the IoT and its impact on Big Data.</t>
  </si>
  <si>
    <t>Aracena, Claudio/AAD-6604-2022; Soori, Hussein/C-1159-2016; Snasel, Vaclav/B-8094-2009</t>
  </si>
  <si>
    <t>Aracena, Claudio/0000-0001-9896-9626; Snasel, Vaclav/0000-0002-9600-8319</t>
  </si>
  <si>
    <t>2194-5357</t>
  </si>
  <si>
    <t>2194-5365</t>
  </si>
  <si>
    <t>978-3-319-29504-6; 978-3-319-29503-9</t>
  </si>
  <si>
    <t>10.1007/978-3-319-29504-6_7</t>
  </si>
  <si>
    <t>WOS:000371912400007</t>
  </si>
  <si>
    <t>Nattaf, M; Artigues, C; Lopez, P; Medina, R; Parada, V; Pradenas, L</t>
  </si>
  <si>
    <t>Framinan, JM; Gonzalez, PP; Artiba, A</t>
  </si>
  <si>
    <t>Nattaf, Margaux; Artigues, Christian; Lopez, Pierre; Medina, Rosa; Parada, Victor; Pradenas, Lorena</t>
  </si>
  <si>
    <t>A batch sizing and scheduling problem on parallel machines with different speeds, maintenance operations, setup times and energy costs</t>
  </si>
  <si>
    <t>2015 INTERNATIONAL CONFERENCE ON INDUSTRIAL ENGINEERING AND SYSTEMS MANAGEMENT (IESM)</t>
  </si>
  <si>
    <t>International Conference on Industrial Engineering and Systems Management</t>
  </si>
  <si>
    <t>OCT 21-23, 2015</t>
  </si>
  <si>
    <t>Seville, SPAIN</t>
  </si>
  <si>
    <t>I4e2,Univ Valenciennes Hainaut Cambresis,GDR macs,CNRS,LAMIH,IFSTTAR,RAILENIUM,Endesa,TUSSAM,NODO Ayuntamiento Sevilla,Univ Sevilla,Cisit,Junta Andalucia,Consejeria Econ Innovat Ciencia Empleo,Organizac Ind,Turismo Provincia Diputac Sevilla,Invest Andalucia Spain,Escuela Tecn Super Ingn,Springer,IEEE,IEEE Secc Espana</t>
  </si>
  <si>
    <t>This paper considers a production scheduling problem in a Chilean company from the metalworking industry. This company produces steel balls of different diameters on parallel production lines. There are different types of production lines and each production line may have a different speed for producing each diameter. Furthermore a setup time occurs when changing the diameter produced on each machine. Besides these production and setup operations, maintenance operations have to be scheduled. These electrical machines yield high energy demands. It is therefore crucial to minimize total energy consumption, which depends on batch/machine assignment, and maximum demand on peak hours. We consider the batch sizing and scheduling problem involving electricity costs in a non-uniform parallel machine context. Given a demand for each family of steel balls, the problem consists in splitting the demand in sublots (batches) that have to be assigned and scheduled on the parallel machines together with the required maintenance operations. The goal is to complete the schedule before a common deadline while minimizing electricity costs. We propose to tackle this problem through mixed integer linear programming. We propose a global formulation and a two-phase matheuristic. Computational results on realistic instances are provided.</t>
  </si>
  <si>
    <t>Parada, Victor/M-5840-2014; Artigues, Christian/HPH-0010-2023; Pradenas, Lorena/ACZ-4624-2022</t>
  </si>
  <si>
    <t>Nattaf, Margaux/0009-0001-2429-8652</t>
  </si>
  <si>
    <t>978-2-9600532-6-5</t>
  </si>
  <si>
    <t>WOS:000380454700110</t>
  </si>
  <si>
    <t>Chaná-Cuevas, P; Díaz, V; Juri, C</t>
  </si>
  <si>
    <t>Chana-Cuevas, Pedro; Diaz, Violeta; Juri, Carlos</t>
  </si>
  <si>
    <t>Parkinson disease mortality rates in Chile: an under reported condition</t>
  </si>
  <si>
    <t>Chana-Cuevas, Pedro/AAM-8215-2020</t>
  </si>
  <si>
    <t>10.4067/S0034-98872014000300021</t>
  </si>
  <si>
    <t>WOS:000336075000021</t>
  </si>
  <si>
    <t>Villagrán, L; Reyes, C; Wlodarczyk, A; Páez, D</t>
  </si>
  <si>
    <t>Villagran, Loreto; Reyes, Carlos; Wlodarczyk, Anna; Paez, Dario</t>
  </si>
  <si>
    <t>Coping community, collective posttraumatic growth and social well-being in context february 27 earthquake in Chile, 2010</t>
  </si>
  <si>
    <t>TERAPIA PSICOLOGICA</t>
  </si>
  <si>
    <t>The earthquake and tsunami in Chile on February 27, 2010 constituted a context of disaster which mobilized collective strategies to cope with its effects. One of them corresponds to the communal coping (CC), which involves activating social resources to solve shared collective problems. Another aspect is the reevaluation associated with positive changes that people perceive after a disaster and it is defined as post-traumatic growth (PTG). This paper explores the use of different forms of CC and PTG after the earthquake, in a sample of 80 people in Chile. Four dimensions of communal coping were identified: direct coping, distraction, emotional expression and avoidance. Furthermore, PTG structure was defined as composed of individual, relational and collective levels. Direct coping, distraction and emotional sharing significantly correlated with CPT and social well-being. The results and their implications are discussed in a context of psychosocial studies of natural disasters.</t>
  </si>
  <si>
    <t>Wlodarczyk, Anna/HHC-3887-2022; GARAY, CARLOS/A-1816-2014; Paez, Dario/D-5207-2009; Wlodarczyk, Anna/K-4968-2014</t>
  </si>
  <si>
    <t>Paez, Dario/0000-0002-8459-6037; Wlodarczyk, Anna/0000-0003-2106-5324</t>
  </si>
  <si>
    <t>0718-4808</t>
  </si>
  <si>
    <t>10.4067/S0718-48082014000300007</t>
  </si>
  <si>
    <t>WOS:000348454800007</t>
  </si>
  <si>
    <t>Zapata, PA; Belver, C; Quijada, R; Aranda, P; Ruiz-Hitzky, E</t>
  </si>
  <si>
    <t>Zapata, Paula A.; Belver, Carolina; Quijada, Raul; Aranda, Pilar; Ruiz-Hitzky, Eduardo</t>
  </si>
  <si>
    <t>Silica/clay organo-heterostructures to promote polyethylene-clay nanocomposites by in situ polymerization</t>
  </si>
  <si>
    <t>Two clay organo-heterostructures have been prepared and employed as fillers and catalyst supports for the development of polyethylene-clay nanocomposites. The new silica-clay organo-heterostructures have been obtained from two organoclays modified with tetramethoxysilane. In contrast to related heterostructures reported previously the organic moieties are not removed by heating and their presence intends to confer hydrophobicity to the interlayer region of the clay, even after delamination by hydrolysis-polymerization of the alkoxysilane takes place. These organo-heterostructures were used for preparing clay-polyethylene nanocomposites by in situ polymerizations in which the organo-heterostructures were added together with the metallocene catalyst, and by using the silica-clay as support for the metallocene catalysts. The polymers formed when the organo-heterostructures were used as support for the catalyst have higher molecular weights than the standard polyethylene formed under homogeneous conditions. Moreover, the presence of the inorganic silica network developed in the interlayer region of the organoclay favours the existence of a larger organophilic region in which it is possible to accommodate both the catalyst and the monomer, and hence when the polymer grows in this environment it can assist in the exfoliation of the clay layers inside the polyethylene matrix. The polymer particle morphology improved with the presence of the clay in the polymerization. The molecular weight for support systems presented an increasing ca. 40% compared to neat PE, and by TEM it was found that the clay layers were well dispersed in the PE matrix. (C) 2012 Elsevier B.V. All rights reserved.</t>
  </si>
  <si>
    <t>Aranda, Pilar/G-2765-2010; Belver, Carolina/B-9306-2012; Ruiz-Hitzky, Eduardo/G-2727-2010</t>
  </si>
  <si>
    <t>Belver, Carolina/0000-0003-2590-3225; QUIJADA, RAUL/0000-0003-0791-6954; Ruiz-Hitzky, Eduardo/0000-0003-4383-7698; Aranda, Pilar/0000-0003-2196-0476; Zapata, Paula Andrea/0000-0003-3361-6226</t>
  </si>
  <si>
    <t>FEB 26</t>
  </si>
  <si>
    <t>10.1016/j.apcata.2012.12.012</t>
  </si>
  <si>
    <t>WOS:000315610300016</t>
  </si>
  <si>
    <t>Miranda, M; Vega-Gálvez, A; Sanders, M; López, J; Lemus-Mondaca, R; Martínez, E; Di Scala, K</t>
  </si>
  <si>
    <t>Miranda, Margarita; Vega-Galvez, Antonio; Sanders, Mariela; Lopez, Jessica; Lemus-Mondaca, Roberto; Martinez, Enrique; Di Scala, Karina</t>
  </si>
  <si>
    <t>Modelling the Water Sorption Isotherms of Quinoa Seeds (Chenopodium quinoa Willd.) and Determination of Sorption Heats</t>
  </si>
  <si>
    <t>Adsorption and desorption isotherms of quinoa seeds (Chenopodium quinoa Willd.) were measured using the static gravimetric method at three temperatures (20, 40 and 60 A degrees C). Water activity ranged from 0.118 to 0.937. The moisture sorption behaviour of quinoa was temperature dependent, as indicated by a decrease in equilibrium moisture content, at all levels of a (w), with increasing temperature. Eight mathematical equations available in the literature were used to model the experimental data, namely, GAB, BET, Caurie, Henderson, Oswin, Halsey, Smith and Iglesias-Chirife. All the equations showed generally a good fit; however, the Iglesias-Chirife and Oswin equations were considered the best to predict the experimental data for both isotherms. Effect of temperature on model parameters was analysed and studied through an Arrhenius-type equation. The net isosteric heats of desorption and adsorption were determined by applying the Clausius-Clapeyron equation resulting in 69.24 kJ mol(-1) for desorption and 61.26 kJ mol(-1) for adsorption. The experimental heat data were satisfactorily modelled by Tsami's equation.</t>
  </si>
  <si>
    <t>Lopez, Jessica/0000-0001-5064-4486; Lemus-Mondaca, Roberto/0000-0002-1252-2573; Vega-Galvez, Antonio/0000-0001-9991-6139</t>
  </si>
  <si>
    <t>10.1007/s11947-011-0610-y</t>
  </si>
  <si>
    <t>WOS:000305213500023</t>
  </si>
  <si>
    <t>Inostroza-Ponta, M; Berretta, R; Moscato, P</t>
  </si>
  <si>
    <t>Inostroza-Ponta, Mario; Berretta, Regina; Moscato, Pablo</t>
  </si>
  <si>
    <t>QAPgrid: A Two Level QAP-Based Approach for Large-Scale Data Analysis and Visualization</t>
  </si>
  <si>
    <t>Background: The visualization of large volumes of data is a computationally challenging task that often promises rewarding new insights. There is great potential in the application of new algorithms and models from combinatorial optimisation. Datasets often contain hidden regularities and a combined identification and visualization method should reveal these structures and present them in a way that helps analysis. While several methodologies exist, including those that use non-linear optimization algorithms, severe limitations exist even when working with only a few hundred objects. Methodology/Principal Findings: We present a new data visualization approach (QAPgrid) that reveals patterns of similarities and differences in large datasets of objects for which a similarity measure can be computed. Objects are assigned to positions on an underlying square grid in a two-dimensional space. We use the Quadratic Assignment Problem (QAP) as a mathematical model to provide an objective function for assignment of objects to positions on the grid. We employ a Memetic Algorithm (a powerful metaheuristic) to tackle the large instances of this NP-hard combinatorial optimization problem, and we show its performance on the visualization of real data sets. Conclusions/Significance: Overall, the results show that QAPgrid algorithm is able to produce a layout that represents the relationships between objects in the data set. Furthermore, it also represents the relationships between clusters that are feed into the algorithm. We apply the QAPgrid on the 84 Indo-European languages instance, producing a near-optimal layout. Next, we produce a layout of 470 world universities with an observed high degree of correlation with the score used by the Academic Ranking of World Universities compiled in the The Shanghai Jiao Tong University Academic Ranking of World Universities without the need of an ad hoc weighting of attributes. Finally, our Gene Ontology-based study on Saccharomyces cerevisiae fully demonstrates the scalability and precision of our method as a novel alternative tool for functional genomics.</t>
  </si>
  <si>
    <t>MOSCATO, PABLO/G-7668-2013; Inostroza-Ponta, Mario/G-7548-2012</t>
  </si>
  <si>
    <t>Moscato, Pablo/0000-0003-2570-5966; Berretta, Regina/0000-0002-4420-3446; Inostroza-Ponta, Mario/0000-0003-1295-8972</t>
  </si>
  <si>
    <t>JAN 18</t>
  </si>
  <si>
    <t>e14468</t>
  </si>
  <si>
    <t>10.1371/journal.pone.0014468</t>
  </si>
  <si>
    <t>WOS:000286519500001</t>
  </si>
  <si>
    <t>Berahovich, RD; Zabel, BA; Penfold, MET; Lewén, S; Wang, Y; Miao, ZH; Gan, L; Pereda, J; Dias, J; Slukvin, II; McGrath, KE; Jaen, JC; Schall, TJ</t>
  </si>
  <si>
    <t>Berahovich, Robert D.; Zabel, Brian A.; Penfold, Mark E. T.; Lewen, Susanna; Wang, Yu; Miao, Zhenhua; Gan, Lin; Pereda, Jaime; Dias, Jessica; Slukvin, Igor I.; McGrath, Kathleen E.; Jaen, Juan C.; Schall, Thomas J.</t>
  </si>
  <si>
    <t>CXCR7 Protein Is Not Expressed on Human or Mouse Leukocytes</t>
  </si>
  <si>
    <t>JOURNAL OF IMMUNOLOGY</t>
  </si>
  <si>
    <t>Since the discovery that CXCR7 binds to CXCL12/SDF-1 alpha, the role of CXCR7 in CXCL12-mediated biological processes has been under intensive scrutiny. However, there is no consensus in the literature on the expression of CXCR7 protein by peripheral blood cells. In this study we analyzed human and mouse leukocytes and erythrocytes for CXCR7 protein expression, using a competitive CXCL12 binding assay as well as by flow cytometry and immunohistochemistry using multiple CXCR7 Abs. CXCR7(-/-) mice were used as negative controls. Together, these methods indicate that CXCR7 protein is not expressed by human peripheral blood T cells, B cells, NK cells, or monocytes, or by mouse peripheral blood leukocytes. CXCR7 protein is, however, expressed on mouse primitive erythroid cells, which supply oxygen to the embryo during early stages of development. These studies therefore suggest that, whereas CXCR7 protein is expressed by primitive RBCs during murine embryonic development, in adult mammals CXCR7 protein is not expressed by normal peripheral blood cells. The Journal of Immunology, 2010, 185: 5130-5139.</t>
  </si>
  <si>
    <t>Zabel, Brian/0000-0001-7293-6180</t>
  </si>
  <si>
    <t>0022-1767</t>
  </si>
  <si>
    <t>1550-6606</t>
  </si>
  <si>
    <t>10.4049/jimmunol.1001660</t>
  </si>
  <si>
    <t>WOS:000283248700026</t>
  </si>
  <si>
    <t>Villagrán, M; Caruso, F; Rossi, M; Zagal, JH; Costamagna, J</t>
  </si>
  <si>
    <t>Villagran, Manuel; Caruso, Francesco; Rossi, Miriam; Zagal, Jose H.; Costamagna, Juan</t>
  </si>
  <si>
    <t>Substituent Effects on Structural, Electronic, and Redox Properties of Bis(N-alkyl-2-oxy-1-naphthaldiminato)copper(II) Complexes Revisited - Inequivalence in Solid- and Solution-State Structures by Electronic Spectroscopy and X-ray Diffraction Explained by DFT</t>
  </si>
  <si>
    <t>EUROPEAN JOURNAL OF INORGANIC CHEMISTRY</t>
  </si>
  <si>
    <t>Bis(N-alky1-2-oxy-1-naphthaldiminato)copper(II) complexes in the solid state and in N,N'-dimethylformamide (DMF) solutions were studied by electronic spectroscopy, X-ray diffraction, DFT calculations, and cyclic voltammetry. The established correlation between the bulkiness of the imine nitrogen substituent, deformation of the copper coordination sphere, and the Cu-II/Cu-I couple potential in DMF solutions has been re-evaluated, and its inconsistencies explained by using results from DFT calculations and spectroscopic data. According to these DFT calculations, the coordination sphere of the N-ethyl derivative has a flat-tetrahedral geometry. The N-Cu-N' and O-Cu-O' angles and the dihedral angle between the planes N-Cu-O and N'-Cu-O' in the solid state found by X-ray diffraction in this study are affected by crystal packing forces. UV/Vis spectra of the N-ethyl, N-iPr, and N-tBu derivatives suggest that the first two compounds have fluxional behavior characterized by a centrosymmetric transition state, whereas the tBu group in the N-tBu derivative prevents such dynamic action. In the crystal, this N-tBu complex changes upon DFT geometry optimization to a more tetrahedral configuration. Therefore, in contrast to X-ray crystal structures reported in the literature of complexes with primary N-alkyl substituents that show a planar Cu coordination sphere (i.e. N-Cu-N' and O-Cu-O' bond angles of 180 degrees), these complexes are not planar in solution or as isolated molecules.</t>
  </si>
  <si>
    <t>rossi, massimo/C-8411-2012; zagal, jose/L-9648-2014</t>
  </si>
  <si>
    <t>Rossi, Miriam/0000-0001-9609-474X</t>
  </si>
  <si>
    <t>1434-1948</t>
  </si>
  <si>
    <t>1099-0682</t>
  </si>
  <si>
    <t>10.1002/ejic.200900298</t>
  </si>
  <si>
    <t>WOS:000276370300007</t>
  </si>
  <si>
    <t>Baptista, M; Brito, I; Bangura, S</t>
  </si>
  <si>
    <t>Migge, B; Leglise, I; Bartens, A</t>
  </si>
  <si>
    <t>Baptista, Marlyse; Brito, Ines; Bangura, Saidu</t>
  </si>
  <si>
    <t>Cape Verdean in education A linguistic and human right</t>
  </si>
  <si>
    <t>CREOLES IN EDUCATION: AN APPRAISAL OF CURRENT PROGRAMS AND PROJECTS</t>
  </si>
  <si>
    <t>Creole Language Library</t>
  </si>
  <si>
    <t>This paper illustrates how the Cape Verdean language evolved from being oral to gaining written representation, a necessary step before integrating the educational realm. We report three sociolinguistic surveys showing the gradual shift in attitudes by native speakers towards the Cape Verdean language. We also examine the evolution of orthographic conventions in Cape Verde and demonstrate that they correlate with creole identity and reflect a complex interplay of social, symbolic and political factors. We describe the challenges the language has encountered in gaining a footing in education including dialectal variation and inadequate linguistic description. Finally, we provide a list of recommendations ( including teacher training and parental outreach) to be implemented to help the language gain its place in education.</t>
  </si>
  <si>
    <t>0920-9026</t>
  </si>
  <si>
    <t>978-90-272-8820-2</t>
  </si>
  <si>
    <t>WOS:000305187500011</t>
  </si>
  <si>
    <t>Romero, G; García-Ripoll, JJ; Solano, E</t>
  </si>
  <si>
    <t>Romero, Guillermo; Jose Garcia-Ripoll, Juan; Solano, Enrique</t>
  </si>
  <si>
    <t>Photodetection of propagating quantum microwaves in circuit QED</t>
  </si>
  <si>
    <t>PHYSICA SCRIPTA</t>
  </si>
  <si>
    <t>141st Nobel Symposium on Qubits for Future Quantum Information</t>
  </si>
  <si>
    <t>MAY 25-28, 2009</t>
  </si>
  <si>
    <t>Gothenburg, SWEDEN</t>
  </si>
  <si>
    <t>Nobel Fdn,Nobel Symp Comm</t>
  </si>
  <si>
    <t>We develop the theory of a metamaterial composed of an array of discrete quantum absorbers inside a one-dimensional waveguide that implements a high-efficiency microwave photon detector. A basic design consists of a few metastable superconducting nanocircuits spread inside and coupled to a one-dimensional waveguide in a circuit QED setup. The arrival of a propagating quantum microwave field induces an irreversible change in the population of the internal levels of the absorbers, due to a selective absorption of photon excitations. This design is studied using a formal but simple quantum field theory, which allows us to evaluate the single-photon absorption efficiency for one and many absorber setups. As an example, we consider a particular design that combines a coplanar coaxial waveguide with superconducting phase qubits, a natural but not exclusive playground for experimental implementations. This work and a possible experimental realization may stimulate the possible arrival of 'all-optical' quantum information processing with propagating quantum microwaves, where a microwave photodetector could play a key role.</t>
  </si>
  <si>
    <t>Solano, Enrique/C-2895-2017; Romero, Guillermo/C-8245-2009; Romero, Guillermo/C-8245-2009; Garcia-Ripoll, Juan Jose/B-8302-2008</t>
  </si>
  <si>
    <t>Romero, Guillermo/0000-0003-4366-4950; SOLANO VILLANUEVA, ENRIQUE LEONIDAS/0000-0002-8602-1181; Romero, Guillermo/0000-0003-2917-7814; Garcia-Ripoll, Juan Jose/0000-0001-8993-4624</t>
  </si>
  <si>
    <t>0031-8949</t>
  </si>
  <si>
    <t>1402-4896</t>
  </si>
  <si>
    <t>T137</t>
  </si>
  <si>
    <t>10.1088/0031-8949/2009/T137/014004</t>
  </si>
  <si>
    <t>WOS:000272834700005</t>
  </si>
  <si>
    <t>Allende, S; Altbir, D; Salcedo, E; Bahiana, M; Sinnecker, JP</t>
  </si>
  <si>
    <t>Allende, S.; Altbir, D.; Salcedo, E.; Bahiana, M.; Sinnecker, J. P.</t>
  </si>
  <si>
    <t>Propagation of transverse domain walls in homogeneous magnetic nanowires</t>
  </si>
  <si>
    <t>The field driven nucleation and propagation of transverse domain walls in a uniform Ni nanowire is examined by means of Monte Carlo simulations combined with a scaling technique. Simulations show a nonlinear behavior followed by the simultaneous nucleation of several domain walls. Also we study the angular dependence of the propagation of the transverse domain wall with external field. Results are analyzed in terms of the classical relaxation model for interface dynamics. (C) 2008 American Institute of Physics.</t>
  </si>
  <si>
    <t>Salcedo, Evy/C-9674-2013; Sinnecker, Joao Paulo/A-7498-2010; Altbir, Dora/R-6781-2018</t>
  </si>
  <si>
    <t>Sinnecker, Joao Paulo/0000-0001-5211-901X; Altbir, Dora/0000-0002-2945-4909; Salcedo, Evy/0000-0002-7765-3419</t>
  </si>
  <si>
    <t>10.1063/1.2939264</t>
  </si>
  <si>
    <t>WOS:000257766500079</t>
  </si>
  <si>
    <t>López, RB; Loeb, BL</t>
  </si>
  <si>
    <t>Tuning the excited states in fac-[Re(X2dppz)(CO)3(L)]:: Intraligand, charge transfer or both?</t>
  </si>
  <si>
    <t>Excited state lifetime measurements-emission, emission lifetime and Resonance Raman-have been conducted on the series fac-[Re(X(2)dppz)(CO)(3)(L)](0,+) (L=Cl-, 4-ethylpyridine (4-Etpy), 4,4'-bipyridine (4,4'-bpy)), with the X-2 dppz substituted dipyrido[3,2-a:2',3'-c]phenazine ligands (X=CH3 and Cl). The results are consistent with closely lying excited states, with pipi* lowest, but MLCT contributing significantly to excited state lifetimes for the neutral complexes. fac-[Re(Cl(2)dppz)(CO)(3)Cl] appears to undergo a crossover from lowest pipi* to lowest MLCT through the glass to fluid transition.</t>
  </si>
  <si>
    <t>Loeb, Barbara/0000-0003-0799-6288</t>
  </si>
  <si>
    <t>WOS:000189308600014</t>
  </si>
  <si>
    <t>Peters, K; Peters, EM; von Schnering, HG; Hönle, W; Schmidt, R; Binder, H</t>
  </si>
  <si>
    <t>Crystal structure of trichloro(3,3′)-trimethylene-2,2′-biquinoline)gold(III) chloroform hemisolvate, [(C9H5N)(CH3)][(C9H6N)(CH3)]AuCl3 • 0.5CHCl3 and of tribromo(3,3′)-trimethylene-2,2′-biquinoline)gold(III) chloroform hemisolvate, [(C9H5N)(CH3)][(C9H6N)(CH3)]AuBr3 • 0.5CHCl3</t>
  </si>
  <si>
    <t>C21.5H16.5AuCl4.5N2, monoclinic, P12(1)/n1 (No. 14), a = 9.777(2) Angstrom, b = 18.734(4) Angstrom, c = 12.339(2) Angstrom, beta = 101.87(3)degrees, V = 2211.7 Angstrom(3), Z = 4, R-gt(F) = 0.034, wR(F) = 0.031, T = 293 K. C21.5H16.5AuBr3Cl1.5N2, monoclinic, P12(1)/n1 (No. 14), a = 9.775(2) Angstrom, b = 19.063(4) Angstrom, c = 12.621(3) Angstrom, beta = 103.07(3)degrees, V= 2290.9 Angstrom(3), Z = 4, R-gt(F) = 0.056, wR(F) = 0.044, T = 293 K.</t>
  </si>
  <si>
    <t>WOS:000088244800053</t>
  </si>
  <si>
    <t>Antonova, EE; Kirpichev, I; Stepanova, M</t>
  </si>
  <si>
    <t>Antonova, E. E.; Kirpichev, I.; Stepanova, M.</t>
  </si>
  <si>
    <t>Hall Scale in the Earth's Magnetosphere and Magnetospheric Substorm</t>
  </si>
  <si>
    <t>GEOPHYSICAL RESEARCH LETTERS</t>
  </si>
  <si>
    <t>We investigate the contribution of the Hall term on the generalized Ohm's law in magnetospheric plasmas. In particular, we focus on its role in processes that lead to the formation of substorm perturbations deep inside the magnetosphere. Using data from the THEMIS mission, we calculate the average Hall length L-Hall and its spatial distribution near the equatorial plane. Our findings reveal that L-Hall significantly exceeds the ion inertial length, which suggests that the Hall term's contribution to generalized Ohm's law is significantly greater than the convective term. In this case, the magnetic field lines are able to slip through the plasma, something that conventional magnetohydrodynamic models cannot adequately describe. We explore how such slippage facilitates the development of substorm perturbations that do not require changes in magnetic field topology. These perturbations include dipolarization of magnetic field lines, particle acceleration, electrojet formation, and other phenomena typically associated with substorms.</t>
  </si>
  <si>
    <t>Antonova, Elizaveta/0000-0001-6980-3993</t>
  </si>
  <si>
    <t>0094-8276</t>
  </si>
  <si>
    <t>1944-8007</t>
  </si>
  <si>
    <t>MAR 16</t>
  </si>
  <si>
    <t>e2024GL114315</t>
  </si>
  <si>
    <t>10.1029/2024GL114315</t>
  </si>
  <si>
    <t>WOS:001434794200001</t>
  </si>
  <si>
    <t>Rojas-Andrade, R; Leiva, VL; Varela, JJ; García, PS; Alvarez, JP; Ramirez, MT</t>
  </si>
  <si>
    <t>Rojas-Andrade, Rodrigo; Leiva, Veronica Lopez; Varela, Jorge J.; Garcia, Pamela Soto; Alvarez, Juan Pablo; Ramirez, Maria Teresa</t>
  </si>
  <si>
    <t>Feasibility, acceptability, and appropriability of a national whole-school program for reducing school violence and improving school coexistence</t>
  </si>
  <si>
    <t>Introduction The increase in school violence following the COVID-19 pandemic underscores the need for schools to adopt a multilevel whole-school approach. This study examines a national program designed by the Chilean Ministry of Education, in collaboration with universities, as part of the Ministry's Educational Reactivation Plan, aimed at improving school climate management across Chile.Methods The Learning to Live Together Program (LLT) was implemented across all 16 regions of Chile, focusing on establishing school climate networks, providing direct intensive university technical assistance, and enhancing professional development and training. The feasibility, acceptability, and appropriability of the LLT program were assessed through a survey distributed to 1,561 staff members from 783 schools. Participants responded to a comprehensive set of instruments measuring acceptability, appropriability, feasibility, attitudes toward implementation, fidelity, and initial perceived results.Results The results indicate high initial adoption rates and significant improvements in the assessed dimensions. The enhancement of school climate practices and strengthening school collaboration networks were of considerable relevance.Discussion These findings support the efficacy of the multilevel whole-school approach as a viable strategy for Latin American countries, providing critical data for educational and governmental decision-making. Furthermore, this study provides evidence that these outcomes may be applicable to the implementation of similar policies in different contexts and countries.</t>
  </si>
  <si>
    <t>10.3389/fpsyg.2024.1395990</t>
  </si>
  <si>
    <t>WOS:001263997600001</t>
  </si>
  <si>
    <t>Orellana, C; González-Fuentes, C; Abellan, M; Segura, R; Oyazrún, S; Acevedo, C; Romero, C</t>
  </si>
  <si>
    <t>Orellana, Christian; Gonzalez-Fuentes, Claudio; Abellan, Maria; Segura, Rodrigo; Oyazrun, Simon; Acevedo, Cristian; Romero, Christian</t>
  </si>
  <si>
    <t>Spontaneous self-assembly of magnetic nanoparticle chains, at the first stage of a gas aggregation source</t>
  </si>
  <si>
    <t>PLASMA PROCESSES AND POLYMERS</t>
  </si>
  <si>
    <t>There is an increasing interest in magnetic nanoparticles (MNPs) and self-assembled MNP chains for applications in biomedicine, catalysis, and other technologically relevant applications. In this work, we report the spontaneous self-assembly of MNPs at the top surface of the shield of a magnetron sputter head. The resulting nanostructures consisted of clustered nanoscale chains arranged in highly oriented microfibers, with lengths of micrometer order and diameters ranging from 20 to 600 nm. The intense magnetic field gradient around the sputter magnetron's head is the driving force of the self-assembly process, also trapping species that would otherwise be lost in the carrier gas flow. We show the spontaneous self-assembly of magnetic nanoparticles into chains and microfibers. They are formed at the top surface of the shield of a magnetron sputter head. image</t>
  </si>
  <si>
    <t>Gonzalez-Fuentes, Claudio/A-6312-2014; Acevedo, Cristian/D-5133-2011; Segura, Rodrigo/J-6696-2016; Oyarzún, Simón/M-1769-2014; Segura, Rodrigo/P-2005-2016</t>
  </si>
  <si>
    <t>Segura, Rodrigo/0000-0003-0928-0021; Gonzalez-Fuentes, Claudio/0000-0002-1830-0285</t>
  </si>
  <si>
    <t>1612-8850</t>
  </si>
  <si>
    <t>1612-8869</t>
  </si>
  <si>
    <t>10.1002/ppap.202400002</t>
  </si>
  <si>
    <t>WOS:001216060700001</t>
  </si>
  <si>
    <t>Angarita, JEV; Insuasty, D; Rodríguez, MJD; Castro, JI; Valencia-Llano, CH; Zapata, PA; Delgado-Ospina, J; Navia-Porras, DP; Albis, A; Grande-Tovar, CD</t>
  </si>
  <si>
    <t>Angarita, Jorge Eliecer Viloria; Insuasty, Daniel; Rodriguez, M. Juan David; Castro, Jorge Ivan; Valencia-Llano, Carlos Humberto; Zapata, Paula A.; Delgado-Ospina, Johannes; Navia-Porras, Diana Paola; Albis, Alberto; Grande-Tovar, Carlos David</t>
  </si>
  <si>
    <t>Biological activity of lyophilized chitosan scaffolds with inclusion of chitosan and zinc oxide nanoparticles</t>
  </si>
  <si>
    <t>The constant demand for biocompatible and non-invasive materials for regenerative medicine in accidents and various diseases has driven the development of innovative biomaterials that promote biomedical applications. In this context, using sol-gel and ionotropic gelation methods, zinc oxide nanoparticles (NPs-ZnO) and chitosan nanoparticles (NPs-CS) were synthesized with sizes of 20.0 nm and 11.98 nm, respectively. These nanoparticles were incorporated into chitosan scaffolds through the freeze-drying method, generating a porous morphology with small (&lt;100 mu m), medium (100-200 mu m), and large (200-450 mu m) pore sizes. Moreover, the four formulations showed preliminary bioactivity after hydrolytic degradation, facilitating the formation of a hydroxyapatite (HA) layer on the scaffold surface, as evidenced by the presence of Ca (4%) and P (5.1%) during hydrolytic degradation. The scaffolds exhibited average antibacterial activity of F1 = 92.93%, F2 = 99.90%, F3 = 74.10%, and F4 = 88.72% against four bacterial strains: K. pneumoniae, E. cloacae, S. enterica, and S. aureus. In vivo, evaluation confirmed the biocompatibility of the functionalized scaffolds, where F2 showed accelerated resorption attributed to the NPs-ZnO. At the same time, F3 exhibited controlled degradation with NPs-CS acting as initiation points for degradation. On the other hand, F4 combined NPs-CS and NPs-ZnO, resulting in progressive degradation, reduced inflammation, and an organized extracellular matrix. All the results presented expand the boundaries in tissue engineering and regenerative medicine by highlighting the crucial role of nanoparticles in optimizing scaffold properties.</t>
  </si>
  <si>
    <t>Delgado, Johannes/ADH-0147-2022; Tovar, Carlos/J-9638-2019; Valencia Llano, Carlos Humberto/KZU-6023-2024</t>
  </si>
  <si>
    <t>Zapata, Paula Andrea/0000-0003-3361-6226; Valencia Llano, Carlos Humberto/0000-0003-4892-9786; Grande Tovar, Carlos David/0000-0002-6243-4571</t>
  </si>
  <si>
    <t>10.1039/d4ra00371c</t>
  </si>
  <si>
    <t>WOS:001208006500001</t>
  </si>
  <si>
    <t>Campos, Z; Yanine, F; Chandia, CN; Ibarra, CO</t>
  </si>
  <si>
    <t>Campos, Zocimo; Yanine, Fernando; Chandia, Christopher Nikulin; Ibarra, Claudia Oyarce</t>
  </si>
  <si>
    <t>PROFILING AND CHARACTERIZATION OF PLANT-BASED PRODUCTS CONSUMERS IN CHILE</t>
  </si>
  <si>
    <t>BARATARIA-REVISTA CASTELLANO-MANCHEGA DE CIENCIAS SOCIALES</t>
  </si>
  <si>
    <t>The consumption trend of plant-based products has increased worldwide due to different reasons, and Chile has been a good example of this trend. Although sustainability, health, nutrition and taste may all seem to be main drivers for flexitarians seeking plant-based food and beverages, to date there is no research that allows characterizing and profiling Chilean consumers of plant-based products. Hence, this work seeks to close this gap. To address this problem, we conducted an online survey of 512 people, mainly focused on the Metropolitan Region and Valparaiso. Using Ward's method, we identified 3 welfare, care for the environment and concern for health are prioritized.</t>
  </si>
  <si>
    <t>1575-0825</t>
  </si>
  <si>
    <t>2172-3184</t>
  </si>
  <si>
    <t>10.20932/barataria.v0i36.704</t>
  </si>
  <si>
    <t>WOS:001390362700001</t>
  </si>
  <si>
    <t>Duarte, L; Villanueva, V; Barroux, R; Orellana, JF; Poblete-Aro, C; Gotteland, M; Castro, M; Magne, F; Garcia-Diaz, DF</t>
  </si>
  <si>
    <t>Duarte, Lissette; Villanueva, Vanessa; Barroux, Robert; Orellana, Juan Francisco; Poblete-Aro, Carlos; Gotteland, Martin; Castro, Mauricio; Magne, Fabien; Garcia-Diaz, Diego F.</t>
  </si>
  <si>
    <t>Acute Administration of Calafate (Berberis microphylla) Extract Induces the Expression of Thermogenic Markers and Modulates Gut Microbiota in Mice Fed a High-Fat Chow Diet</t>
  </si>
  <si>
    <t>LIFESTYLE GENOMICS</t>
  </si>
  <si>
    <t>Introduction: Obesity, characterized by excess adipose tissue, is a major public health problem worldwide. Brown adipose tissue (BAT) and beige adipose tissue participate in thermogenesis through uncoupling protein 1 (UCP1). Polyphenols including those from Calafate (a native polyphenol-rich Patagonian berry), are considered as potential anti-obesity compounds due to their pro-thermogenic characteristics. However, polyphenols are mainly metabolized by the gut microbiota (GM) that may influence their bioactivity and bioavailability. The aim of this study was to determine the impact of dietary administration with a Calafate polyphenol-rich extract on thermogenic activity of BAT and beige adipose tissue and GM composition. Methods: Eight-week-old C57BL6 mice (n = 30) were divided into 4 groups to receive for 24 weeks a control diet (C), a high-fat diet alone (HF), or high-fat diet supplemented with Calafate extract (HFC) or the same high-fat diet supplemented with Calafate extract but treated with antibiotics (HFCAB) from week 19-20. Administration with Calafate extract (50 mg/kg per day) was carried out for 3 weeks from week 21-23 in the HFC and HFCAB groups. After euthanasia, gene expression of thermogenic markers was analyzed in BAT and inguinal white adipose tissue (iWAT). Transmission electron microscopy was performed to assess mitochondrial morphology and cristae density in BAT. GM diversity and composition were characterized by deep sequencing with the MiSeq Illumina platform. Results: Calafate extract administration had no effect on weight gain in mice fed a high-fat diet. However, it prevented alterations in mitochondrial cristae induced by HFD and increased Dio2 expression in BAT and iWAT. The intervention also influenced the GM composition, preventing changes in specific bacterial taxa induced by the high-fat diet. However, the antibiotic treatment prevented in part these effects, suggesting the implications of GM. Conclusion: These results suggest that the acute administration of a Calafate extract modulates the expression of thermogenic markers, prevents alterations in mitochondrial cristae and intestinal microbiota in preclinical models. The study highlights the complex interaction between polyphenols, thermogenesis, and the GM, providing valuable insights into their potential roles in the treatment of obesity-related metabolic diseases. (c) 2024 The Author(s). Published by S. Karger AG, Basel</t>
  </si>
  <si>
    <t>Duarte, Lissette/AAW-9831-2020; Poblete, Carlos/HOF-8260-2023; Gotteland, Martin/AAT-5962-2021; Magne, Fabien/F-1393-2014</t>
  </si>
  <si>
    <t>2504-3161</t>
  </si>
  <si>
    <t>2504-3188</t>
  </si>
  <si>
    <t>10.1159/000539881</t>
  </si>
  <si>
    <t>WOS:001316240500001</t>
  </si>
  <si>
    <t>Causa, L; Tapia, JE; Valenzuela, A; Benalcazar, D; Droguett, EL; Busch, C</t>
  </si>
  <si>
    <t>Causa, Leonardo; Tapia, Juan E.; Valenzuela, Andres; Benalcazar, Daniel; Droguett, Enrique Lopez; Busch, Christoph</t>
  </si>
  <si>
    <t>Analysis of behavioural curves to classify iris images under the influence of alcohol, drugs, and sleepiness conditions</t>
  </si>
  <si>
    <t>EXPERT SYSTEMS WITH APPLICATIONS</t>
  </si>
  <si>
    <t>This paper proposes a new method to estimate behavioural curves from Near-Infra-Red (NIR) iris images for classifying Fitness for Duty using a biometric capture device. Fitness for Duty (FFD) techniques detect whether a subject is Fit to safely perform a given task, which means no reduced alertness condition and security, or the subject is unfit, that could impact a reduced alertness condition by sleepiness or consumption of alcohol and drugs. The analysis showed essential differences in pupil and iris behaviour to classify the workers in Fitor Unfitconditions. The best results can distinguish subjects robustly under alcohol, drug consumption, and sleep conditions. The Multi-Layer-Perceptron and Gradient Boosted Machine reached the best results in all groups with an overall accuracy for Fit and Unfit classes of 74.0% and 75.5%, respectively. These results open a new application for iris capture devices.</t>
  </si>
  <si>
    <t>Busch, Christoph/AAF-8176-2019; Tapia, Juan/KVZ-0330-2024; Valenzuela, Ali/AAU-2245-2021</t>
  </si>
  <si>
    <t>Valenzuela, Andres/0000-0002-8172-1541; Tapia, Juan/0000-0001-9159-4075</t>
  </si>
  <si>
    <t>0957-4174</t>
  </si>
  <si>
    <t>1873-6793</t>
  </si>
  <si>
    <t>10.1016/j.eswa.2023.122808</t>
  </si>
  <si>
    <t>WOS:001135136300001</t>
  </si>
  <si>
    <t>Vicencio, F; Alexander, NA; Flores, EIS</t>
  </si>
  <si>
    <t>Vicencio, Felipe; Alexander, Nicholas A.; Flores, Erick I. . Saavedra</t>
  </si>
  <si>
    <t>A State-of-the-Art review on Structure-Soil-Structure interaction (SSSI) and Site-City interactions (SCI)</t>
  </si>
  <si>
    <t>STRUCTURES</t>
  </si>
  <si>
    <t>Current seismic codes propose designing al l new buildings in isolation from their neighbours. As a result, a l l modified seismic risks associated with interbuilding dynamic interactions through the soi l are typically neglected. Recent population growth in cities (urbanization) and enhanced land costs have produced an increase in city building surface density, i.e., more closely spaced buildings. The difficulty of analysing groups of closely spaced buildings requires detailed geometric and material properties of both the existing and the new structures. Constructing new buildings adjacent to existing ones can increase or reduce the risk of existing structures. This potential risk to existing property owners represents a liability that is currently unquantified within the current seismic code framework. Thus, neglecting the increased seismic risk for some particular cases due to the coupling of adjacent buildings through the underlying soi l is no longer reasonable. This phenomenon is referred to as Structure-Soil-Structure Interaction (SSSI) and can either magni f y or attenuate the seismic response. The pages that follow provide a complete literatu r e review of the leading developments of SSSI and Site-City Interaction effects (SCI). The pros and cons of the different methods are discussed , and it focuses on the theoretical ideal-ization of SSSI by means of low-fidelity models with comparable predictive accuracy. The need for this reduced order modelling strategy to include more complex dynamic interactions among multiple building structures and soi l at large length scales (i.e., city effects) is urgent and requires further investigation . Also, this paper wil l serve as standalone reference material for future research works and wi l l pave the w a y for novel investigations in the context of SSI, SSSI and SCI, and their potential applications for developing next-generation seismic design codes and seismic risk assessments. Finally, recommendations for future research are proposed.</t>
  </si>
  <si>
    <t>Vicencio, Felipe/AAH-6860-2021; alexander, nicholas/D-2741-2011</t>
  </si>
  <si>
    <t>Vicencio, Felipe/0000-0001-6692-8192</t>
  </si>
  <si>
    <t>2352-0124</t>
  </si>
  <si>
    <t>10.1016/j.istruc.2023.105002</t>
  </si>
  <si>
    <t>WOS:001064798700001</t>
  </si>
  <si>
    <t>Rajendran, S; Diaz, M; Devi, VSK; Jena, D; Travieso, JC; Rodriguez, J</t>
  </si>
  <si>
    <t>Rajendran, Saravanakumar; Diaz, Matias; Devi, V. S. Kirthika; Jena, Debashisha; Travieso, Juan Carlos; Rodriguez, Jose</t>
  </si>
  <si>
    <t>Wind Turbine Emulators-A Review</t>
  </si>
  <si>
    <t>PROCESSES</t>
  </si>
  <si>
    <t>Renewable energy sources have become a significant alternative energy source due to the continuing depletion of conventional energy sources and fluctuation in fuel costs. Currently, wind energy is the foremost among all other renewable energy sources. However, modeling and analyzing industrial wind turbines is complex as the wind turbine power ratio and size have steadily increased. Undoubtedly, industrial wind turbines are huge and challenging to keep in research labs; simultaneously, exploring the controller/power converter performance is practically impossible. Therefore, to overcome the above drawbacks, wind turbine emulators have been developed to achieve the static and dynamic characteristics of wind energy conversion systems. This paper aims to present a comprehensive review of the different wind turbine emulators available in the literature. In addition, the implementation of real-time emulators is classified according to the structure and approaches. Furthermore, an extensive analysis of the emulators was presented based on the significant parameters utilized for the real-time wind turbine emulators. Finally, this review analyzes the different emulator topologies according to cost, accuracy, complexity, and hardware implementation.</t>
  </si>
  <si>
    <t>Rajendran, SaravanaKumar/ABI-6522-2020; Rodriguez-Perez, Jose/A-2534-2013; Jena, Debashisha/AAU-6450-2021; Diaz, Matias/R-7570-2018; Travieso Torres, Juan carlos/N-6437-2019</t>
  </si>
  <si>
    <t>Diaz, Matias/0000-0003-4489-9532; Travieso Torres, Juan carlos/0000-0002-9246-4827</t>
  </si>
  <si>
    <t>2227-9717</t>
  </si>
  <si>
    <t>10.3390/pr11030747</t>
  </si>
  <si>
    <t>WOS:000960254600001</t>
  </si>
  <si>
    <t>Alegria, C; Dallant, J; Perez-Lantero, P; Seara, C</t>
  </si>
  <si>
    <t>Fernau, H; Jansen, K</t>
  </si>
  <si>
    <t>Alegria, Carlos; Dallant, Justin; Perez-Lantero, Pablo; Seara, Carlos</t>
  </si>
  <si>
    <t>The Rectilinear Convex Hull of Line Segments</t>
  </si>
  <si>
    <t>FUNDAMENTALS OF COMPUTATION THEORY, FCT 2023</t>
  </si>
  <si>
    <t>24th International Symposium on Fundamentals of Computation Theory (FCT)</t>
  </si>
  <si>
    <t>SEP 18-21, 2023</t>
  </si>
  <si>
    <t>Univ Trier, Trier, GERMANY</t>
  </si>
  <si>
    <t>Springer,MDPI</t>
  </si>
  <si>
    <t>Univ Trier</t>
  </si>
  <si>
    <t>We explore an extension to rectilinear convexity of the classic problem of computing the convex hull of a collection of line segments. Namely, we solve the problem of computing and maintaining the rectilinear convex hull of a set of n line segments, while we simultaneously rotate the coordinate axes by an angle that goes from 0 to 2 pi. We describe an algorithm that runs in optimal Theta(n log n) time and Theta(n alpha(n)) space for segments that are non-necessarily disjoint, where alpha(n) is the inverse of the Ackermann's function. If instead the line segments form a simple polygonal chain, the algorithm can be adapted so as to improve the time and space complexities to Theta(n).</t>
  </si>
  <si>
    <t>Seara, Carlos/Z-3370-2019</t>
  </si>
  <si>
    <t>978-3-031-43586-7; 978-3-031-43587-4</t>
  </si>
  <si>
    <t>10.1007/978-3-031-43587-4_3</t>
  </si>
  <si>
    <t>WOS:001162288800003</t>
  </si>
  <si>
    <t>Senthilkumar, R; Divya, M; Roy, SD; Bahurudeen, A; Avudaiappan, S; Tsavdaridis, KD</t>
  </si>
  <si>
    <t>Senthilkumar, R.; Divya, M.; Roy, S. Divya; Bahurudeen, A.; Avudaiappan, Siva; Tsavdaridis, Konstantinos Daniel</t>
  </si>
  <si>
    <t>Behaviour of cold-formed steel-concrete composite columns under axial compression: Experimental and numerical study</t>
  </si>
  <si>
    <t>Concrete filled cold-formed steel-concrete composite columns exhibit improved strength and ductility characteristics due to its ability to resist inward buckling as well as delay the outward buckling. Though concrete infill prevents inward buckling, outward buckling still limits the steel section from reaching its yield strength. From the past studies, it is observed that the introducing of web stiffeners in cross-section of steel section may improve its buckling resistance. The present study focuses on assessing the effect of longitudinal stiffeners on the behaviour of square cold-formed steel-concrete composite columns for the various slenderness range (0.01 to 0.4) through experimental and numerical studies. Conventionally, the integrity of hollow tube cross sections is ensured by welding or by rolling process during the manufacturing. Welding process cannot be adopted in thin-walled cold formed sections since it may lead to higher degree of imperfection. In this study, the desired square cross sections were formed from flat steel sheet and overlapped using self-tapping screws. An intensive numerical analysis was carried out by varying stiffener angle as 90 degrees, 120 degrees, and 141 degrees and the buckling curves for plain and profiled sections were presented. It is concluded that the axial compressive strength of plain and stiffened composite sections is almost equal, attributed to the inability of concrete to reach its maximum stress due to stress concentration at the stiffeners' edges. The buckling reduction factor of stiffened composite columns showed higher values in the higher slenderness range, indicating the positive effect of the stiffeners.</t>
  </si>
  <si>
    <t>R, Senthilkumar/AAW-5493-2020; Avudaiappan, Siva/AAV-7579-2021; Tsavdaridis, Konstantinos/N-4051-2019; Mohanraj, Divya/HTQ-3404-2023; Tsavdaridis, Konstantinos Daniel/I-3412-2014</t>
  </si>
  <si>
    <t>Tsavdaridis, Konstantinos Daniel/0000-0001-8349-3979; Mohanraj, Divya/0000-0003-1172-6440</t>
  </si>
  <si>
    <t>10.1016/j.istruc.2022.07.086</t>
  </si>
  <si>
    <t>AUG 2022</t>
  </si>
  <si>
    <t>WOS:000848550200003</t>
  </si>
  <si>
    <t>Alves, C; Bonizzi, B; Kaltenbrunner, A; Palma, JG</t>
  </si>
  <si>
    <t>Alves, Carolina; Bonizzi, Bruno; Kaltenbrunner, Annina; Palma, Jose Gabriel</t>
  </si>
  <si>
    <t>Conceptualising financialisation in developing and emerging economies: systemic and global perspectives</t>
  </si>
  <si>
    <t>CAMBRIDGE JOURNAL OF ECONOMICS</t>
  </si>
  <si>
    <t>Alves, Carolina/ABZ-1160-2022</t>
  </si>
  <si>
    <t>0309-166X</t>
  </si>
  <si>
    <t>1464-3545</t>
  </si>
  <si>
    <t>10.1093/cje/beac032</t>
  </si>
  <si>
    <t>WOS:000821865000001</t>
  </si>
  <si>
    <t>Villarroel, E; Merlet, G; Olea, F; Araya-López, C; Brouwer, T; Cabezas, R; Romero, J; Schuur, B; Quijada-Maldonado, E</t>
  </si>
  <si>
    <t>Villarroel, E.; Merlet, G.; Olea, F.; Araya-Lopez, C.; Brouwer, T.; Cabezas, R.; Romero, J.; Schuur, B.; Quijada-Maldonado, E.</t>
  </si>
  <si>
    <t>Ionic liquid screening of Octachlorodibenzo-p-dioxin captured from water samples by σ-profile analysis for microextraction applications</t>
  </si>
  <si>
    <t>JOURNAL OF IONIC LIQUIDS</t>
  </si>
  <si>
    <t>The extraction of octachlorodibenzo-p-dioxin (OCDD) is very challenging due to its highly non-polar nature, demanding the use of large amounts of toxic solvents. Ionic Liquids (ILs) for OCDD extraction were screened to replace traditional solvents using the Conductor-like Screening MOdel for Real Solvents (COSMO-RS). The analysis was performed by studying the sigma-profile of a variety of commercially available cations and anions employed in the literature. The effects of different alkyl chain lengths and configurations were studied in cations. In the case of anions, different reported structures, including fluorine-or oxygen-bearing structures, were assessed. Results indicate that the alkyl chain, symmetry, and nature of the central atom in the cations are critical factors to achieve high affinity to OCDD. The polarity of anions was found to be modified by adding highly electronegative atoms, a steric hindrance to the central atom and the use of planar geometries with symmetrical groups. The performance of ILs for extracting OCDD was compared with that of conventional solvent extractants used for quantifying dioxins in the US EPA-1613 method. Finally, three cations and anions are proposed as candidates for dioxin extraction.</t>
  </si>
  <si>
    <t>olea, felipe/IAN-5687-2023</t>
  </si>
  <si>
    <t>Olea Chandia, Felipe/0000-0002-6349-6184</t>
  </si>
  <si>
    <t>2772-4220</t>
  </si>
  <si>
    <t>10.1016/j.jil.2022.100017</t>
  </si>
  <si>
    <t>WOS:001468639000007</t>
  </si>
  <si>
    <t>Roomi, MA; Saiz-Alvarez, JM; Coduras, A</t>
  </si>
  <si>
    <t>Roomi, Muhammad Azam; Manuel Saiz-Alvarez, Jose; Coduras, Alicia</t>
  </si>
  <si>
    <t>Measuring Sustainable Entrepreneurship and Eco-Innovation: A Methodological Proposal for the Global Entrepreneurship Monitor (GEM)</t>
  </si>
  <si>
    <t>After the UN's adoption of 17 Sustainable Development Goals in 2015, it became clear that the relationship between sustainability and entrepreneurship was an area for re-examination. Traditional measures of entrepreneurial success rested largely on economic indicators; observatories like the Global Entrepreneurship Monitor (GEM) extended them, including cultural and social indicators. There is now a real need to measure and analyze the relationship between sustainable entrepreneurship and eco-innovation and drive positive economic activity outcomes, sustainable development, and social welfare. For GEM's consideration, this paper proposes a reimagined tool by which to measure sustainable entrepreneurship and eco-innovation in businesses and assess their level of alignment with UN SDGs. Specifically, it presents a new measurement method, incorporating, but simplifying, a complex range of variables, which can be crystallized into a set of items (questions) to determine businesses' commitment to entrepreneurship sustainability-social, economic, and environmental. The results can be cross-referenced with other relevant variables, and indicators proposed by the UN, to determine what causal or explanatory relationships might or might not exist. The proposal represents a valuable extension to existing data gathering tools, and will be of use to researchers and practitioners in the field of entrepreneurship-especially as its sustainability credentials and environmental impact are in the spotlight.</t>
  </si>
  <si>
    <t>Coduras, Alicia/JCO-1493-2023; Roomi, Muhammad Azam/G-6044-2014; SAIZ-ALVAREZ, Jose Manuel/D-7200-2013</t>
  </si>
  <si>
    <t>Coduras, Alicia/0000-0003-3271-3673; Roomi, Muhammad Azam/0000-0001-6633-2313; SAIZ-ALVAREZ, Jose Manuel/0000-0001-6435-9600</t>
  </si>
  <si>
    <t>10.3390/su13074056</t>
  </si>
  <si>
    <t>WOS:000638884800001</t>
  </si>
  <si>
    <t>Rossit, DA; Vásquez, OC; Tohmé, F; Frutos, M; Safe, MD</t>
  </si>
  <si>
    <t>Rossit, Daniel A.; Vasquez, Oscar C.; Tohme, Fernando; Frutos, Mariano; Safe, Martin D.</t>
  </si>
  <si>
    <t>A combinatorial analysis of the permutation and non-permutation flow shop scheduling problems</t>
  </si>
  <si>
    <t>EUROPEAN JOURNAL OF OPERATIONAL RESEARCH</t>
  </si>
  <si>
    <t>Joint EURO/ALIO International Conference on New Trends in Applied Combinatorial Optimization</t>
  </si>
  <si>
    <t>JUN 25-27, 2018</t>
  </si>
  <si>
    <t>Bologna, ITALY</t>
  </si>
  <si>
    <t>Assoc European Operat Res Soc,Assoc Latin Iberoamerican Operat Res Soc</t>
  </si>
  <si>
    <t>In this paper we introduce a novel approach to the combinatorial analysis of flow shop scheduling problems for the case of two jobs, assuming that processing times are unknown. The goal is to determine the dominance properties between permutation flow shop (PFS) and non-permutation flow shop (NPFS) schedules. In order to address this issue we develop a graph-theoretical approach to describe the sets of operations that define the makespan of feasible PFS and NPFS schedules (critical paths). The cardinality of these sets is related to the number of switching machines at which the sequence of the previous operations of the two jobs becomes reversed. This, in turn, allows us to uncover structural and dominance properties between the PFS and NPFS versions of the scheduling problem. We also study the case in which the ratio between the shortest and longest processing times, denoted rho, is the only information known about those processing times. A combinatorial argument based on rho leads to the identification of the NPFS schedules that are dominated by PFS ones, restricting the space of feasible solutions to the NPFS problem. We also extend our analysis to the comparison of NPFS schedules (with different number of switching machines). Again, based on the value of rho, we are able to identify NPFS schedules dominated by other NPFS schedules. (C) 2019 Elsevier B.V. All rights reserved.</t>
  </si>
  <si>
    <t>Rossit, Daniel/AAV-7371-2021; Frutos, Mariano/V-7549-2019; Tohme, Fernando/O-5646-2019; Safe, Martín/AAG-4227-2020</t>
  </si>
  <si>
    <t>Frutos, Mariano/0000-0003-2585-4195; Rossit, Daniel/0000-0002-2381-4352; Safe, Martin Dario/0000-0002-5405-7331; Vasquez, Oscar C./0000-0002-1393-4692</t>
  </si>
  <si>
    <t>0377-2217</t>
  </si>
  <si>
    <t>1872-6860</t>
  </si>
  <si>
    <t>10.1016/j.ejor.2019.07.055</t>
  </si>
  <si>
    <t>WOS:000596436100004</t>
  </si>
  <si>
    <t>da Silva, ACC; de Almeida, RR; Sousa, ACD; Martínez, FNA; Denardin, JC; de Morais, SM; Ricardo, NMPS</t>
  </si>
  <si>
    <t>Carra da Silva, Aierta Cristina; de Almeida, Raimundo Rafael; da Cruz Sousa, Alexandre Carreira; Araneda Martinez, Fabian Nicolas; Denardin, Juliano Casagrande; de Morais, Selene Maia; Pontes Silva Ricardo, Nagila Maria</t>
  </si>
  <si>
    <t>Xyloglucan-based hybrid nanocomposite with potential for biomedical applications</t>
  </si>
  <si>
    <t>Natural polymer-based hybrid nanocomposites have been proposed as one of the most promising tools for biomedical applications, including disease treatment and diagnosis procedures. Xyloglucan nanocapsules can simultaneously load magnetic iron oxide nanoparticles and bioactive for a specific tissue, reducing the processes of degradation and metabolic inactivation of molecules with biological activity. In this work, magnetic nanocapsules of xyloglucan loaded with hydrophilic sulfated quercetin (MNXQ_SO3) were successfully synthesized by inverse miniemulsion process through interfacial polymerization. The polymeric shell formation of nanocapsules was evidenced by Fourier Transform Infrared spectroscopy and Transmission Electron Microscopy. The ferrofluid (Fe3O4@PAAS) incorporated into the xyloglucan nanocapsules was synthesized by hydrothermal method, using polyacrylic acid sodium salt as coating. Dynamic Light Scattering technique confirmed the nanomeric dimensions (202.3 nm) and the good colloidal stability (-40.2 mV) of MNXQ_SO3. The saturation magnetization analyses pointed out the superparamagnetic behavior of Fe3O4@PAAS (48 emu/g) and MNXQ_SO3 (4.2 emu/g). MNXQ_SO3 was able to modify the release profile of sulfated quercetin (67%) when compared to the free bioactive (100%), exhibiting a release profile compatible with the zero-order kinetic model. The results showed that the development of MNXQ_SO3 presents a new perspective for biomedical applications, including studies of targeted drug delivery. (C) 2020 Elsevier B.V. All rights reserved.</t>
  </si>
  <si>
    <t>Carreira da Cruz Sousa, Alexandre/HLQ-1316-2023; Denardin, Juliano/S-6407-2019; Ricardo, Nágila/C-3630-2015</t>
  </si>
  <si>
    <t>Carreira da Cruz Sousa, Alexandre/0000-0002-5455-7256</t>
  </si>
  <si>
    <t>10.1016/j.ijbiomac.2020.11.128</t>
  </si>
  <si>
    <t>WOS:000608018200070</t>
  </si>
  <si>
    <t>Montalvo, S; Huiliñir, C; Borja, R; Sánchez, E; Herrmann, C</t>
  </si>
  <si>
    <t>Montalvo, S.; Huilinir, C.; Borja, R.; Sanchez, E.; Herrmann, C.</t>
  </si>
  <si>
    <t>Application of zeolites for biological treatment processes of solid wastes and wastewaters - A review</t>
  </si>
  <si>
    <t>This review reports the use of zeolites in biological processes such as anaerobic digestion, nitrification, denitrification and composting, review that has not been proposed yet. It was found that aerobic processes (activated sludge, nitrification, Anammox) use zeolites as ion-exchanger and biomass carriers in order to improve the seattlebility, the biomass growth on zeolite surface and the phosphorous removal. In the case of anaerobic digestion and composting, zeolites are mainly used with the aim of retaining inhibitors such as ammonia and heavy metals through ion-exchange. The inclusion of zeolite effect on mathematical models applied in biological processes is still an area that should be improved, including also the life cycle analysis of the processes that include zeolites. At the same time, the application of zeolites at industrial or full-scale is still very scarce in anaerobic digestion, being more common in nitrogen removal processes.</t>
  </si>
  <si>
    <t>10.1016/j.biortech.2020.122808</t>
  </si>
  <si>
    <t>WOS:000509989500007</t>
  </si>
  <si>
    <t>Stockton, D; Kellett, S; Berrios, R; Sirois, F; Wilkinson, N; Miles, G</t>
  </si>
  <si>
    <t>Stockton, Daniel; Kellett, Stephen; Berrios, Raul; Sirois, Fuschia; Wilkinson, Nicolas; Miles, Georgina</t>
  </si>
  <si>
    <t>Identifying the Underlying Mechanisms of Change During Acceptance and Commitment Therapy (ACT): A Systematic Review of Contemporary Mediation Studies</t>
  </si>
  <si>
    <t>BEHAVIOURAL AND COGNITIVE PSYCHOTHERAPY</t>
  </si>
  <si>
    <t>Background: Mediation studies test the mechanisms by which interventions produce clinical outcomes. Consistent positive mediation results have previously been evidenced (Hayes et al., 2006) for the putative processes that compromise the psychological flexibility model of acceptance and commitment therapy (ACT). Aims: The present review aimed to update and extend the ACT mediation evidence base by reviewing mediation studies published since the review of Hayes et al. (2006). Method: ACT mediation studies published between 2006 and 2015 were systematically collated, synthesized and quality assessed. Results: Twelve studies met inclusion criteria and findings were synthesized by (a) the putative processes under investigation, and (b) the outcomes on which processes were tested for mediation. Mediation results were found to be generally consistent with the psychological flexibility model of ACT. However, studies were limited in methodological quality and were overly focused on a small number of putative processes. Conclusions: Further research is required that addresses the identified methodological limitations and also examines currently under-researched putative processes.</t>
  </si>
  <si>
    <t>Sirois, Fuschia/H-7079-2019; Berrios, Raul/G-5167-2019</t>
  </si>
  <si>
    <t>Sirois, Fuschia/0000-0002-0927-277X; Berrios, Raul/0000-0003-1826-7822</t>
  </si>
  <si>
    <t>1352-4658</t>
  </si>
  <si>
    <t>1469-1833</t>
  </si>
  <si>
    <t>10.1017/S1352465818000553</t>
  </si>
  <si>
    <t>WOS:000461666200006</t>
  </si>
  <si>
    <t>Salinas, P; Salinas, C; Contreras, RA; Zuñiga, GE; Dupree, P; Cardemil, L</t>
  </si>
  <si>
    <t>Salinas, Pamela; Salinas, Carlos; Contreras, Rodrigo A.; Zuniga, Gustavo E.; Dupree, Paul; Cardemil, Liliana</t>
  </si>
  <si>
    <t>Water deficit and abscisic acid treatments increase the expression of a glucomannan mannosyltransferase gene (GMMT) in Aloe vera Burm. F.</t>
  </si>
  <si>
    <t>The main polysaccharide of the gel present in the leaves of or Aloe vera Burm.F., (Aloe barbadensis Miller) a xerophytic crassulacean acid metabolism (CAM) plant, is an acetylated glucomannan named acemannan. This polysaccharide is responsible for the succulence of the plant, helping it to retain water. In this study we determined using polysaccharide analysis by carbohydrate gel electrophoresis (PACE) that the acemannan is a glucomannan without galactose side branches. We also investigated the expression of the gene responsible for acemannan backbone synthesis, encoding a glucomannan mannosyltransferase (GMMT, EC 2.4.1.32), since there are no previous reports on GMMT expression under water stress in general and specifically in Aloe vera. It was found by in silico analyses that the GMMT gene belongs to the cellulose synthase-like A type-9 (CSLA9) subfamily. Using RT-qPCR it was found that the expression of GMMT increased significantly in Aloe vera plants subjected to water stress. This expression correlates with an increase of endogenous ABA levels, suggesting that the gene expression could be regulated by ABA. To corroborate this hypothesis, exogenous ABA was applied to non-water-stressed plants, resulting in a significant increase of GMMT expression after 48 h of ABA treatment.</t>
  </si>
  <si>
    <t>Salinas, Carlos/HSA-8329-2023; Contreras, Rodrigo/I-1871-2013; Zuñiga, Gustavo/P-8306-2015; Dupree, Paul/T-2568-2018</t>
  </si>
  <si>
    <t>Contreras, Rodrigo/0000-0001-9970-3125; Dupree, Paul/0000-0001-9270-6286; Zuniga, Gustavo/0000-0002-8286-9468</t>
  </si>
  <si>
    <t>10.1016/j.phytochem.2018.12.009</t>
  </si>
  <si>
    <t>WOS:000458710000010</t>
  </si>
  <si>
    <t>Castañeda, CP; González, A; Nachar, R; Gallardo, C; Díaz, C; Undurraga, J; Mena, C</t>
  </si>
  <si>
    <t>Paz Castaneda, Carmen; Gonzalez, Alfonso; Nachar, Ruben; Gallardo, Carlos; Diaz, Camila; Undurraga, Juan; Mena, Cristian</t>
  </si>
  <si>
    <t>Ups and Downs of Physical Health Interventions for Young People Experiencing First Episode Psychosis: Implementation and Challenges for the Chilean Public Health System</t>
  </si>
  <si>
    <t>EARLY INTERVENTION IN PSYCHIATRY</t>
  </si>
  <si>
    <t>Undurraga, Juan/F-3438-2012</t>
  </si>
  <si>
    <t>Undurraga, Juan/0000-0001-6958-2369</t>
  </si>
  <si>
    <t>1751-7885</t>
  </si>
  <si>
    <t>1751-7893</t>
  </si>
  <si>
    <t>C102</t>
  </si>
  <si>
    <t>WOS:000444798900633</t>
  </si>
  <si>
    <t>Gallardo, C; Monrás, JP; Plaza, DO; Collao, B; Saona, LA; Durán-Toro, V; Venegas, FA; Soto, C; Ulloa, G; Vásquez, CC; Bravo, D; Pérez-Donoso, JM</t>
  </si>
  <si>
    <t>Gallardo, C.; Monras, J. P.; Plaza, D. O.; Collao, B.; Saona, L. A.; Duran-Toro, V.; Venegas, F. A.; Soto, C.; Ulloa, G.; Vasquez, C. C.; Bravo, D.; Perez-Donoso, J. M.</t>
  </si>
  <si>
    <t>Low-temperature biosynthesis of fluorescent semiconductor nanoparticles (CdS) by oxidative stress resistant Antarctic bacteria</t>
  </si>
  <si>
    <t>Bacterial biosynthesis of nanoparticles represents a green alternative for the production of nano structures with novel properties. Recently, the importance of antioxidant molecules on the biosynthesis of semiconductor fluorescent nanoparticles (quantum dots, QDs) by mesophilic bacteria was reported. The objective of this work was the isolation of psychrotolerant, oxidative stress-resistant bacteria from Antarctica to determine their ability for biosynthesizing CdS QDs at low temperatures. QDs biosynthesis at 15 degrees C was evaluated by determining their spectroscopic properties after exposing oxidative-stress resistant isolates identified as Pseudomonas spp. to Cd2+ salts. To characterize the QDs biosynthetic process, the effect of metal exposure on bacterial fluorescence was determined at different times. Time-dependent changes in fluorescence color (green to red), characteristic of QDs, were observed. Electron microscopy analysis of fluorescent cells revealed that biosynthesized nanometric structures localize at the cell periphery. QDs were purified from the bacterial isolates and their fluorescence properties were characterized. Emission spectra displayed classical CdS peaks when excited with UV light. Thiol content, peroxidase activity, lipopolysaccharide synthesis, metabolic profiles and sulfide generation were determined in QDs-producing isolates. No relationship between QDs production and cellular thiol content or peroxidase activity was found. However, sulfide production enhanced CdS QDs biosynthesis. In this work, the use of Antarctic psychrotolerant Pseudomonas spp. for QDs biosynthesis at low temperature is reported for the first time. (C) 2014 Elsevier B.V. All rights reserved.</t>
  </si>
  <si>
    <t>Collao, Bernardo/I-8301-2014; Saona, Luis A./AFY-6283-2022; Perez-Donoso, Jose/G-3668-2013</t>
  </si>
  <si>
    <t>Saona, Luis Alberto/0000-0002-7739-8614; Gallardo Benavente, Carla/0000-0001-7293-517X; Perez-Donoso, Jose/0000-0002-9506-1716</t>
  </si>
  <si>
    <t>10.1016/j.jbiotec.2014.07.017</t>
  </si>
  <si>
    <t>WOS:000343837000015</t>
  </si>
  <si>
    <t>Fuentealba, P; Serón, L; Sánchez, C; Manzur, J; Paredes-Garcia, V; Pizarro, N; Cepeda, M; Venegas-Yazigi, D; Spodine, E</t>
  </si>
  <si>
    <t>Fuentealba, Pablo; Seron, Lorenzo; Sanchez, Camila; Manzur, Jorge; Paredes-Garcia, Veronica; Pizarro, Nancy; Cepeda, Marjorie; Venegas-Yazigi, Diego; Spodine, Evgenia</t>
  </si>
  <si>
    <t>Macrocyclic ZnII and CuII complexes as guests of the hybrid composites based on the layered MnPS3 phase. Comparison of spectroscopic properties</t>
  </si>
  <si>
    <t>A family of macrocyclic complexes [(M2LCl2)-Cl-n] have been synthesized and characterized (M: Cu-II or Zn-II; L-n: macrocyclic ligand derived from 2-hydroxy-5-methyl-1,3-benzenedicarbaldehyde and different aliphatic diamines and o-phenylenediamine). The influence of the aromaticity of the ligand and the metal center on the spectroscopic properties of the complexes (absorption and emission) has been studied. Making use of the weak interactions between hydrated potassium ions and the layers of the K0.4Mn0.8PS3 precursor, the obtained macrocyclic complexes have been intercalated in the interlamellar space by a microwave assisted cationic exchange reaction. The optical properties of the obtained hybrid materials are reported. The absorption edge, recorded by solid state reflectance spectroscopy for Cu-II and the Zn-II macrocycle-based composites, is 1.67-1.76eV, both shifted to lower energy compared with that of the pristine MnPS3.</t>
  </si>
  <si>
    <t>Pizarro, Nancy/E-1131-2015; Cepeda Plaza, Marjorie/KDN-5729-2024; Manzur, Jorge/H-3824-2013; Paredes-Garcia, Veronica/C-4415-2011; Venegas-Yazigi, Diego/C-5022-2009</t>
  </si>
  <si>
    <t>Pizarro, Nancy/0000-0002-4688-0889; Fuentealba, Pablo/0000-0003-0581-1243; Venegas-Yazigi, Diego/0000-0001-7816-2841; Cepeda, Marjorie/0000-0002-2702-8981</t>
  </si>
  <si>
    <t>23-24</t>
  </si>
  <si>
    <t>10.1080/00958972.2014.968145</t>
  </si>
  <si>
    <t>WOS:000345454600012</t>
  </si>
  <si>
    <t>Silva, JR; Ortiz, M; Quiñones, A; Vera-Villarroel, P; Slachevsky, A</t>
  </si>
  <si>
    <t>Silva, J. R.; Ortiz, M.; Quinones, A.; Vera-Villarroel, P.; Slachevsky, A.</t>
  </si>
  <si>
    <t>Affective style and eating disorders: A field study</t>
  </si>
  <si>
    <t>EATING AND WEIGHT DISORDERS-STUDIES ON ANOREXIA BULIMIA AND OBESITY</t>
  </si>
  <si>
    <t>Eating disorders (ED) are a heterogeneous group of problems related to restraint and/or overeating. It is proposed that individual differences in affective reactivity and moods (affective style) might be related to these behaviours. Variations in affective style are expressed by differing levels of sensitivity to the motivation systems of approach and avoidance. The present study tested whether a relation exists between ED and variations in the sensitivity of motivational systems as well as mood dispositions. A total of 2020 undergraduate students completed the Eating Disorder Diagnostic Scale (EDDS), the Behavioural Inhibition System and Behavioural Activation System Scales (BIS/BAS), and the Positive and Negative Affect Schedule (PANAS). The results showed a significant within-subject interaction of Alimentary group x Motivation (F=4.056; p&lt;0.007). It was also observed that the Overeating group had lower levels of motivation asymmetry than the Normal (p&lt;0.01) and Restrictive (p&lt;0.005) groups and marginally lower levels than the Purgative group (p&lt;0.07). The study results suggest mainly that the avoidance/inhibition motivational system is related to eating problems connected with overeating, including chronic alimentary restraint (chronic dieters). The theoretical and clinical implications of these findings are discussed. (Eating Weight Disord. 16: e73-e80, 2011). (C)2011, Editrice Kurtis</t>
  </si>
  <si>
    <t>Silva, Jaime/D-8200-2017; Quinones Bergeret, Alvaro/I-8591-2016; Vera-Villarroel, Pablo/A-1134-2011; Slachevsky, Andrea/P-4039-2014; Ortiz, Manuel/G-1044-2019</t>
  </si>
  <si>
    <t>Quinones Bergeret, Alvaro/0000-0002-6993-0324; Vera-Villarroel, Pablo/0000-0001-9187-8414; Slachevsky, Andrea/0000-0001-6285-3189; Ortiz, Manuel/0000-0002-7749-0699</t>
  </si>
  <si>
    <t>1124-4909</t>
  </si>
  <si>
    <t>1590-1262</t>
  </si>
  <si>
    <t>E73</t>
  </si>
  <si>
    <t>E80</t>
  </si>
  <si>
    <t>10.3275/7310</t>
  </si>
  <si>
    <t>WOS:000208653100001</t>
  </si>
  <si>
    <t>Figueroa, JA; Teillier, S; Castro, SA</t>
  </si>
  <si>
    <t>Figueroa, Javier A.; Teillier, Sebastian; Castro, Sergio A.</t>
  </si>
  <si>
    <t>Diversity patterns and composition of native and exotic floras in central Chile</t>
  </si>
  <si>
    <t>ACTA OECOLOGICA-INTERNATIONAL JOURNAL OF ECOLOGY</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</si>
  <si>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</si>
  <si>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1146-609X</t>
  </si>
  <si>
    <t>1873-6238</t>
  </si>
  <si>
    <t>10.1016/j.actao.2011.01.002</t>
  </si>
  <si>
    <t>WOS:000288767800009</t>
  </si>
  <si>
    <t>Wong, W; Barba, P; Alvarez, C; Castro, A; Acuña, M; Zamora, P; Rosales, M; Dell'Orto, P; Moynihan, MR; Scorza, R; Prieto, H</t>
  </si>
  <si>
    <t>Wong, Wendy; Barba, Paola; Alvarez, Catalina; Castro, Alvaro; Acuna, Manuel; Zamora, Pablo; Rosales, Marlene; Dell'Orto, Paola; Moynihan, Michael R.; Scorza, Ralph; Prieto, Humberto</t>
  </si>
  <si>
    <t>EVALUATION OF THE RESISTANCE OF TRANSGENIC C5 PLUM (Prunus domestica L.) AGAINST FOUR CHILEAN PLUM POX VIRUS ISOLATES THROUGH MICRO-GRAFTING</t>
  </si>
  <si>
    <t>The transgenic plum (Prunus domestica L.) C5, in which the coat protein (CP) gene of the Plum pox virus (PPV) is inserted, represents a unique example of the use of genetic engineering for fruit crop improvement in Prunus spp. Field trials in Poland, Romania, and Spain have demonstrated resistance of C5 to several D and M strain PPV isolates. In Chile, the quarantine regulations for PPV and for genetically modified (GM) plants require that the testing of C5 for resistance to Chilean PPV isolates be done under controlled isolated conditions. To carry out these tests C5 shoots were multiplied in vitro and micro-grafted onto four Adesoto101 (Prunus insititia L.) rootstock populations that had been previously infected each with one of four Chilean PPV-Ds. Tests were carried out under controlled conditions in a biosafety greenhouse. Symptoms appearance, virus detection, and viral mRNA levels for the cylindrical inclusion (CI) and CP genes were determined during three consecutive growing seasons. Complete resistance to all PPV isolates was demonstrated during the first 2 yr in all of the C5 plants. In the third season, four of 10 C5 plants showed mild symptoms on leaves close to the graft union and low but detectable CI mRNA levels in the C5 scions. These results support the effectiveness of using of micro-grafting on P. insititia for PPV resistance studies, especially in the limited space of a quarantine facility; whereas resistance levels in C5 after 3 yr indicate the importance of long term and field scale evaluations.</t>
  </si>
  <si>
    <t>Zamora, Pablo/D-1612-2012; Prieto, H./B-4400-2008; Rosales Villavicencio, Ines-Marlene/M-8128-2017</t>
  </si>
  <si>
    <t>Barba, Paola/0000-0001-9485-4733; Prieto, Humberto/0000-0002-9013-1906; Rosales Villavicencio, Ines-Marlene/0000-0001-7898-4319</t>
  </si>
  <si>
    <t>JUL-SEP</t>
  </si>
  <si>
    <t>WOS:000283710800004</t>
  </si>
  <si>
    <t>Pitzschel, K; Moreno, JMM; Escrig, J; Albrecht, O; Nielsch, K; Bachmann, J</t>
  </si>
  <si>
    <t>Pitzschel, Kristina; Montero Moreno, Josep M.; Escrig, Juan; Albrecht, Ole; Nielsch, Kornelius; Bachmann, Julien</t>
  </si>
  <si>
    <t>Controlled Introduction of Diameter Modulations in Arrayed Magnetic Iron Oxide Nanotubes</t>
  </si>
  <si>
    <t>ACS NANO</t>
  </si>
  <si>
    <t>To date, no large-scale preparative method for arrays of nanotube enables the experimentalist to arbitrarily define changes in the tubes' diameter along their length. To this goal, we start with anodic alumina substrates displaying controlled modulations in pore diameter obtained by alternating mild and hard electrochemical etching conditions. We then utilize atomic layer deposition (ALD) to coat the internal pore walls with conformal layers of an oxide. Ferromagnetic Fe3O4 tubes of 10 nm wall thickness and 10-30 mu m in length are thus prepared, which replicate the modulated silhouette of the template. Their magnetic properties strongly depend on the presence of diameter modulations. Introducing one or several very short segments of large diameter (150 nm) into an otherwise thin tube (70 nm diameter) brings its initially large coercive field down to a value close to the case of a homogeneously thick tube. Theoretical modeling emphasizes the major influence of the magnetostatic interactions between neighboring tubes. They are enhanced locally at the sites of diameter modulations, which directly translates into a reduction in coercive field.</t>
  </si>
  <si>
    <t>Nielsch, Kornelius/S-3196-2016; Moreno, Josep/E-4920-2010; Escrig, Juan/N-4304-2015; Bachmann, Julien/G-4381-2011</t>
  </si>
  <si>
    <t>Escrig, Juan/0000-0002-3958-8185; Nielsch, Kornelius/0000-0003-2271-7726; Bachmann, Julien/0000-0001-6480-6212</t>
  </si>
  <si>
    <t>1936-0851</t>
  </si>
  <si>
    <t>1936-086X</t>
  </si>
  <si>
    <t>10.1021/nn900909q</t>
  </si>
  <si>
    <t>WOS:000271951200018</t>
  </si>
  <si>
    <t>Lorca, S; Ruf, B; Ubilla, P</t>
  </si>
  <si>
    <t>Lorca, Sebastian; Ruf, Bernhard; Ubilla, Pedro</t>
  </si>
  <si>
    <t>A priori bounds for superlinear problems involving the N-Laplacian</t>
  </si>
  <si>
    <t>In this paper we establish a priori bounds for positive solutions of the equation -Delta(N)u=f(u). u is an element of H-0(1)(Omega). where Omega is a bounded smooth domain in R-N, and the nonlinearity f has at most exponential growth. The techniques used in the proofs are a generalization of the methods of Brezis and Merle to the N-Laplacian, in combination with the Trudinger-Moser inequality, the Moving Planes method and a Comparison Principle for the N-Laplacian. (c) 2008 Elsevier Inc. All rights reserved.</t>
  </si>
  <si>
    <t>Ruf, Bernhard/0000-0002-3481-4948</t>
  </si>
  <si>
    <t>10.1016/j.jde.2008.10.002</t>
  </si>
  <si>
    <t>WOS:000263759500014</t>
  </si>
  <si>
    <t>Valdés, JE; Agurto, C; Ortega, F; Vargas, P; Labbé, R; Arista, NR</t>
  </si>
  <si>
    <t>Energy loss of protons at low velocities in Pd and Au polycrystalline thin films</t>
  </si>
  <si>
    <t>NUCLEAR INSTRUMENTS &amp; METHODS IN PHYSICS RESEARCH SECTION B-BEAM INTERACTIONS WITH MATERIALS AND ATOMS</t>
  </si>
  <si>
    <t>18th International Conference on Atomic Collisions in Solids (ICACS-18)</t>
  </si>
  <si>
    <t>AUG 03-08, 1999</t>
  </si>
  <si>
    <t>ODENSE, DENMARK</t>
  </si>
  <si>
    <t>Experimental results on proton energy loss distributions obtained by ion transmission measurements in Pd polycrystalline thin films are reported. Deviations from the proportionality behavior of the energy loss as a function of the ion velocity is observed. These results are compared with similar measurements in Au. A theoretical model previously developed is used to explain the observed velocity dependence. General trends on the relationship between the electronic density of states of these metals and the non-proportionality of the energy loss with ion velocity are discussed. (C) 2000 Elsevier Science B.V. All rights reserved.</t>
  </si>
  <si>
    <t>Vargas, Patricio/AAL-2633-2020; Valdes, Jorge/IYJ-2578-2023; Labbe, Raul/C-4581-2008</t>
  </si>
  <si>
    <t>vargas, patricio/0000-0001-9235-9747; Valdes Leyton, Jorge Eduardo/0000-0001-5465-7567; Labbe, Raul/0000-0003-4233-8387</t>
  </si>
  <si>
    <t>0168-583X</t>
  </si>
  <si>
    <t>10.1016/S0168-583X(99)01090-3</t>
  </si>
  <si>
    <t>WOS:000087022500030</t>
  </si>
  <si>
    <t>Forero-Correa, N; Aliaga, C; Spodine, E; Cortes, C; Gómez, T; Cabezas, J; Muñoz, F; Cárdenas, C</t>
  </si>
  <si>
    <t>Forero-Correa, Nicolas; Aliaga, Carolina; Spodine, Evgenia; Cortes, Catalina; Gomez, Tatiana; Cabezas, Javiera; Munoz, Francisco; Cardenas, Carlos</t>
  </si>
  <si>
    <t>A computational survey of layered mixed phases Mn1-xNixPS3 for water splitting: Modulation of the band gap and the oxygen evolution reaction</t>
  </si>
  <si>
    <t>In pursuing sustainable energy solutions, developing efficient (photo)catalysts for water splitting utilizing low-cost and abundant materials is essential for advancing green hydrogen production technologies. This computational study investigates the potential of lamellar (2D) thiophosphate mixed phases Mn1-xNixPS3 as a catalyst for the oxygen evolution reaction (OER) in water splitting processes. Employing density functional theory simulations that account for spin-orbit coupling, we demonstrate that incorporating Ni cations significantly reduces the bandgap by approximately 0.7 eV while optimizing the valence band for effective water photo-oxidation. By analyzing free energy pathways for the adsorption of intermediate species during the OER, we identify the formation of * OOH as the crucial step influencing the overpotential in these materials. Notably, the incorporation of Ni cations reduces the overpotential from 1.41 eV in MnPS3 to 1.12 eV in the Mn 1/6 Ni 5/6 PS 3 mixed phase. Furthermore, when Ni cations are introduced as adatoms on the surface of MnPS3, the overpotential decreases to an impressive 0.29 eV, which is comparable with stateof-the-art catalysts like IrO2. Overall, this study provides valuable computational insights into the potential of 2D Mn1-xNixPS3 materials as promising alternative catalysts for the OER.</t>
  </si>
  <si>
    <t>Munoz, Francisco/C-1140-2011; Gómez, Tatiana/X-9734-2019; Cárdenas, Carlos/IZP-8908-2023; Forero-Correa, Nicolás/LTC-6076-2024; Cardenas, Carlos/F-1946-2010</t>
  </si>
  <si>
    <t>Gomez, Tatiana/0000-0001-6127-330X; Forero Correa, Nicolas/0009-0009-0805-8518; Cardenas, Carlos/0000-0002-0648-6502; Cortes Rubio, Catalina/0000-0002-2929-4802; Cabezas-Escares, Javiera/0009-0002-5915-4461; Munoz, Francisco/0000-0002-4324-8650</t>
  </si>
  <si>
    <t>1879-3487</t>
  </si>
  <si>
    <t>10.1016/j.ijhydene.2024.11.364</t>
  </si>
  <si>
    <t>WOS:001400324800001</t>
  </si>
  <si>
    <t>Ramírez, D; Rojas, R; Fierro, H; Nova, DA; Renard, GM; Ampuero, E; Fuentealba, J; Martínez, A; Gil, C; Reyes-Parada, M</t>
  </si>
  <si>
    <t>Ramirez, David; Rojas, Romina; Fierro, Humberto; Nova, Daniela Alejandra; Renard, Georgina M.; Ampuero, Estibaliz; Fuentealba, Jorge; Martinez, Ana; Gil, Carmen; Reyes-Parada, Miguel</t>
  </si>
  <si>
    <t>Phase IIa randomized placebo-controlled clinical trial to evaluate the efficacy of bromhexine in combination with standard therapy in the early treatment of COVID-19 in primary care patients</t>
  </si>
  <si>
    <t>The continuous appearance of SARS-CoV-2 variants with both increased transmission and immune evading potential, in addition to the reluctance of some populations to be vaccinated, supports the search for alternative treatments to protect against the viral infection consequences. Bromhexine is a well-known, over-the counter, expectorant which have garnered interest for the potential prevention and treatment of COVID-19. Aim: To evaluate the efficacy of oral bromhexine in patients with mild to moderate symptomatic active SARS-CoV-2 infection. Methods: A randomized, placebo-controlled clinical trial assessing the effectiveness of oral bromhexine in outpatients with active SARS-CoV-2 infection. Adult patients diagnosed with active SARS-CoV-2 infection (n= 36) were randomly assigned (1:1) to receive bromhexine or placebo, with both groups also receiving standard care. The primary efficacy endpoint was viral load reduction (day 4 vs. baseline), while reductions of a series of COVID-19 clinical symptoms were considered as secondary endpoints. Results: No differences in the viral load at different times after the initiation of treatment were observed. In addition, no differences between groups were detected in most of the clinical symptoms evaluated. Remarkably, a significant decrease in the percentage of patients with cough was observed at days 5-7 in the bromhexine group, an effect that was not apparent in the group receiving a placebo. Conclusions: Since coughing is one of the primary forms of transmission for SARS-CoV-2, the observed reduction of coughing might be highly beneficial, particularly for patients living in crowded, poorly ventilated, or confined environments.</t>
  </si>
  <si>
    <t>Panes Fernandez, Jessica/KLC-4982-2024</t>
  </si>
  <si>
    <t>10.4067/s0034-988720240</t>
  </si>
  <si>
    <t>WOS:001465582600002</t>
  </si>
  <si>
    <t>Qiu, XY; Kumar, S; Cárdenas-López, FA; Barrios, GA; Solano, E; Albarrán-Arriagada, F</t>
  </si>
  <si>
    <t>Qiu, Xinyu; Kumar, Shubham; Cardenas-Lopez, Francisco A.; Alvarado Barrios, Gabriel; Solano, Enrique; Albarran-Arriagada, Francisco</t>
  </si>
  <si>
    <t>Microwave quantum memcapacitor effect</t>
  </si>
  <si>
    <t>COMMUNICATIONS MATERIALS</t>
  </si>
  <si>
    <t>Developing the field of neuromorphic quantum computing necessitates designing scalable quantum memory devices. Here, we propose a superconducting quantum memory device in the microwave regime, termed a microwave quantum memcapacitor. It comprises two linked resonators, the primary one is coupled to a Superconducting Quantum Interference Device, which allows for the modulation of the resonator properties through external magnetic flux. The auxiliary resonator, operated through weak measurements, provides feedback to the primary resonator, ensuring stable memory behavior. This device operates with a classical input in one cavity while reading the response in the other, serving as a fundamental building block toward arrays of microwave quantum memcapacitors. We observe that a bipartite setup can retain its memory behavior and gains entanglement and quantum correlations. Our findings pave the way for the experimental implementation of memcapacitive superconducting quantum devices and memory device arrays for neuromorphic quantum computing. Nonlinear memory devices such as memristors, memcapacitors, and meminductors, are the building blocks of energy-efficient neuromorphic computing. Here, the authors propose a superconducting circuit design acting as a microwave quantum memcapacitor, which could be implemented in neuromorphic quantum computing architectures.</t>
  </si>
  <si>
    <t>Alvarado, Gabriel/GLS-6513-2022; Solano, Enrique/C-2895-2017; Cárdenas López, Francisco/IXN-4622-2023</t>
  </si>
  <si>
    <t>Kumar, Shubham/0000-0003-2891-1669; Albarran-Arriagada, Francisco/0000-0001-8899-3673; SOLANO VILLANUEVA, ENRIQUE LEONIDAS/0000-0002-8602-1181; Cardenas, Francisco/0000-0002-2916-2826</t>
  </si>
  <si>
    <t>2662-4443</t>
  </si>
  <si>
    <t>MAY 7</t>
  </si>
  <si>
    <t>10.1038/s43246-024-00505-4</t>
  </si>
  <si>
    <t>WOS:001233885100002</t>
  </si>
  <si>
    <t>Olea, F; Estay, H; Jofré-Ulloa, PP; Cabezas, R; Merlet, G; Araya, A; Romero, J; Quijada-Maldonado, E</t>
  </si>
  <si>
    <t>Olea, Felipe; Estay, Humberto; Jofre-Ulloa, Pedro P.; Cabezas, Rene; Merlet, Gaston; Araya, Alejandro; Romero, Julio; Quijada-Maldonado, Esteban</t>
  </si>
  <si>
    <t>A review towards selective cobalt recovery in solvent extraction: Potential of ionic liquids as diluents and extractants</t>
  </si>
  <si>
    <t>Cobalt (Co) stands out as one of the most critical metals in contemporary use, particularly due to its increasing demand in technological products and especially in electromobility. Over the years, ionic liquids (ILs) have provided a green alternative to volatile organic solvents in hydrometallurgy due to their outstanding properties, such as the negligible vapor pressure and their increased selectivity provided in separation processes, which opens the possibility to ramp up the Co -production while maintaining sustainable mining processes. Thus, this review offers a complete comprehensive and critical summary of published works on the use of ILs in the hydrometallurgy of Co, starting from the leaching from a primary source by conventional methods and then, from the pregnant leach solution (PLS) focuses on the advantages and disadvantages of solvent extraction (SX) in different aqueous media (chlorinated, nitrated, and sulfated) in which ILs are used to separate selectively Co from a multi -metal mixture. In the following section, its recovery from the loaded organic phase by acid stripping is discussed. Finally, this review provides the challenges that ILs should overcome to be viable for large-scale industrial applications and the opportunities that exhibit for selective recovery of Co from PLS capitalizing.</t>
  </si>
  <si>
    <t>Jofré-Ulloa, Pedro/ABC-3710-2021; Olea, Felipe/AAK-5089-2021; Romero, Julio/I-6705-2013; Cabezas, Rene/HAR-6189-2022; Merlet Venturelli, Gaston/B-4109-2019; Estay, Humberto/I-3499-2017</t>
  </si>
  <si>
    <t>Jofre Ulloa, Pedro Pablo/0000-0003-3257-2620; Romero, Julio/0000-0002-1229-1592; Merlet Venturelli, Gaston/0000-0003-2602-6471; Quijada-Maldonado, Esteban/0000-0003-1411-4327; Olea Chandia, Felipe/0000-0002-6349-6184; Cabezas, Rene/0000-0002-4162-3429; Araya, Alejandro/0000-0002-5584-8901; Estay, Humberto/0000-0001-8518-7131</t>
  </si>
  <si>
    <t>10.1016/j.seppur.2024.127758</t>
  </si>
  <si>
    <t>WOS:001238904000001</t>
  </si>
  <si>
    <t>Duch, RM; Laroze, D; Reinprecht, C; Robinson, TS</t>
  </si>
  <si>
    <t>Duch, Raymond M.; Laroze, Denise; Reinprecht, Constantin; Robinson, Thomas S.</t>
  </si>
  <si>
    <t>Nativist policy: the comparative effects of Trumpian politics on migration decisions</t>
  </si>
  <si>
    <t>POLITICAL SCIENCE RESEARCH AND METHODS</t>
  </si>
  <si>
    <t>Firms in the USA rely on highly skilled immigrants, particularly in the science and engineering sectors. Yet, the recent politics of immigration marks a substantial change to US immigration policy. We implement a conjoint experiment that isolates the causal effect of nativist, anti-immigrant, pronouncements on where skilled potential-migrants choose to immigrate to. While these policies have a significantly negative effect on the destination choices of Chilean and UK student subjects, they have little effect on the choices of Indian and Chinese student subjects. These results are confirmed through an unobtrusive test of subjects' general immigration destination preferences. Moreover, there is some evidence that the negative effect of these nativist policies are particularly salient for those who self-identify with the Left.</t>
  </si>
  <si>
    <t>Robinson, Thomas/AAI-8344-2021</t>
  </si>
  <si>
    <t>Duch, Raymond/0000-0002-1166-7674; Robinson, Thomas S./0000-0001-7097-1599</t>
  </si>
  <si>
    <t>2049-8470</t>
  </si>
  <si>
    <t>2049-8489</t>
  </si>
  <si>
    <t>10.1017/psrm.2020.33</t>
  </si>
  <si>
    <t>WOS:000731566900013</t>
  </si>
  <si>
    <t>Architectures for Microgrids Interconnection</t>
  </si>
  <si>
    <t>Progress requires greater global energy interconnection. This paper presents an overview of the topologies and control techniques applied to microgrids, by means of an updated bibliographic research and the most relevant articles on the use of power electronics in microgrids interconnection. The topologies and control techniques investigated in this paper expose a reality that leads to commercial solutions applied to microgrids, giving new tools to the energy market.</t>
  </si>
  <si>
    <t>Rivera, Marco/E-9124-2012</t>
  </si>
  <si>
    <t>10.1109/ICIT45562.2020.9067130</t>
  </si>
  <si>
    <t>WOS:000560681600169</t>
  </si>
  <si>
    <t>Heredero, RH; Euler, M; Euler, N; Reyes, EG</t>
  </si>
  <si>
    <t>Hernandez Heredero, Rafael; Euler, Marianna; Euler, Norbert; Reyes, Enrique G.</t>
  </si>
  <si>
    <t>COMPACTON EQUATIONS AND INTEGRABILITY: THE ROSENAU-HYMAN AND COOPER-SHEPARD-SODANO EQUATIONS</t>
  </si>
  <si>
    <t>We study integrability -in the sense of admitting recursion operators- of two nonlinear equations which are known to possess compacton solutions: the K(m, n) equation introduced by Rosenau and Hyman D-t(u) + D-x(u(m)) + D-x(3)(u(n)) = 0, and the CSS equation introduced by Coooper, Shepard, and Sodano, D-t(u) + u(l-2 )D(x)(u) + alpha pD(x)(u(p-1)u(x)(2)) + 2 alpha D-x(2)(u(p)u(x)) = 0. We obtain a full classification of integrable K(m,n) and CSS equations; we present their recursion operators, and we prove that all of them are related (via nonlocal transformations) to the Korteweg-de Vries equation. As an application, we construct isochronous hierarchies of equations associated to the integrable cases of CSS.</t>
  </si>
  <si>
    <t>Heredero, Rafael/H-4798-2015; Euler, Marianna/AAS-1049-2021; Reyes, Enrique/AAD-1308-2019; Euler, Norbert/AAS-1051-2021</t>
  </si>
  <si>
    <t>Reyes, Enrique G./0000-0001-8460-444X</t>
  </si>
  <si>
    <t>10.3934/dcds.2020021</t>
  </si>
  <si>
    <t>WOS:000496748500021</t>
  </si>
  <si>
    <t>Lapier, M; Ballesteros-Garrido, R; Guzman-Rivera, D; González-Herrera, F; Aguilera-Venegas, B; Moncada-Basualto, M; Ballesteros, R; Abarca, B; Pesce, B; Kemmerling, U; Olea-Azar, C; Maya, JD</t>
  </si>
  <si>
    <t>Lapier, Michel; Ballesteros-Garrido, Rafael; Guzman-Rivera, Daniela; Gonzalez-Herrera, Fabiola; Aguilera-Venegas, Benjamin; Moncada-Basualto, Mauricio; Ballesteros, Rafael; Abarca, Belen; Pesce, Barbara; Kemmerling, Ulrike; Olea-Azar, Claudio; Maya, Juan D.</t>
  </si>
  <si>
    <t>Novel [1,2,3] triazolo[1,5-a]pyridine derivatives are trypanocidal by sterol biosynthesis pathway alteration</t>
  </si>
  <si>
    <t>FUTURE MEDICINAL CHEMISTRY</t>
  </si>
  <si>
    <t>Aim: To study a new series of [1,2,3] triazolo[1,5-alpha] pyridine derivatives as trypanocidal agents because current antichagasic pharmacologic therapy is only partially effective. Materials &amp; methods: The effect of the series upon Trypanosoma cruzi epimastigotes and murine macrophages viability, cell cycle, cell death and on the metabolites of the sterol biosynthesis pathway was measured; also, docking in 14 alpha-demethylase was analyzed. Results: Compound 16 inhibits 14 alpha-demethylase producing an imbalance in the cholesterol/ergosterol synthesis pathway, as suggested by a metabolic control and theoretical docking analysis. Consequently, it prevented cell proliferation, stopping the cellular cycle at the G2/M phase, inducing cell death. Conclusion: Although the exact cell death mechanism remained elusive, this series can be used for the further rational design of novel antiparasitic molecules.</t>
  </si>
  <si>
    <t>Ballesteros, Rafael/ABC-4300-2021; moncada, mauricio/HHN-6394-2022; Kemmerling, Ulrike/H-8783-2013; Maya, Juan/H-9561-2013; OLEA AZAR, CLAUDIO/I-1605-2013; Ballesteros-Garrido, Rafael/A-1710-2018</t>
  </si>
  <si>
    <t>Aguilera-Venegas, Benjamin/0000-0002-2113-3051; OLEA AZAR, CLAUDIO/0000-0001-5805-0746; Ballesteros-Garrido, Rafael/0000-0002-8364-114X; Lapier Quezada, Michel Andres/0000-0002-1327-1964; moncada, mauricio/0000-0003-1733-9126</t>
  </si>
  <si>
    <t>1756-8919</t>
  </si>
  <si>
    <t>1756-8927</t>
  </si>
  <si>
    <t>10.4155/fmc-2018-0242</t>
  </si>
  <si>
    <t>WOS:000478848800005</t>
  </si>
  <si>
    <t>Saldanha, DR; Dugato, DA; Mori, TJA; Daudt, NF; Dorneles, LS; Denardin, JC</t>
  </si>
  <si>
    <t>Saldanha, D. R.; Dugato, D. A.; Mori, T. J. A.; Daudt, N. F.; Dorneles, L. S.; Denardin, J. C.</t>
  </si>
  <si>
    <t>Tailoring the magnetic and magneto-transport properties of Pd/Co multilayers and pseudo-spin valve antidots</t>
  </si>
  <si>
    <t>Magnetic multilayers and pseudo-spin valves (PSVs) based on Pd/Co were tailored to present well-defined antiparallel magnetization states while maintaining a high perpendicular magnetic anisotropy (PMA). The magneto-electrical properties were measured as a function of intermediate Cu spacers to determine the values that optimize magnetoresistance and the Hall effect. Magnetic multilayers were also deposited on flat porous alumina membranes, forming antidots. The flat antidots shows good PMA and PSVs were studied in these systems for the first time, showing improved magnetoresistance and the extraordinary Hall effect (ERIE). Anomalous peaks were obtained in the EHE curves of the PSVs on both continuous films and 40nm antidots, with four well-defined remnant Hall resistance states.</t>
  </si>
  <si>
    <t>Dorneles, Lucio/A-2376-2008; Denardin, Juliano/S-6407-2019; Daudt, Natalia/A-9900-2016; Mori, Thiago/G-9210-2014; Strazzabosco Dorneles, Lucio/E-5674-2010</t>
  </si>
  <si>
    <t>Daudt, Natalia/0000-0001-8028-9112; Denardin, Juliano/0000-0002-1373-6207; Mori, Thiago/0000-0001-5340-3282; Dugato, Danian/0000-0003-3732-1097; Strazzabosco Dorneles, Lucio/0000-0001-5833-1775</t>
  </si>
  <si>
    <t>10.1088/1361-6463/aad7ad</t>
  </si>
  <si>
    <t>WOS:000442435100001</t>
  </si>
  <si>
    <t>Thandapani, P; Viswanathan, MR; Denardin, JC</t>
  </si>
  <si>
    <t>Thandapani, Prabhakaran; Viswanathan, Mangalaraja Ramalinga; Denardin, Juliano C.</t>
  </si>
  <si>
    <t>Magnetocaloric Effect and Universal Curve Behavior in Superparamagnetic Zinc Ferrite Nanoparticles Synthesized via Microwave Assisted Co-Precipitation Method</t>
  </si>
  <si>
    <t>PHYSICA STATUS SOLIDI A-APPLICATIONS AND MATERIALS SCIENCE</t>
  </si>
  <si>
    <t>Single domain superparamagnetic zinc ferrite nanoparticles are synthesized through microwave assisted co-precipitation method. Single phase and cubic spinel zinc ferrite nanoparticles shows the narrow particle size distribution with an average particle size of 5.07nm. They exhibits superparamagnetic nature at 290K and ferromagnetism at 5K with a blocking temperature of around 25K. The magnetic entropy change calculated from the set of isothermal magnetization curves shows the maximum entropy change of -0.652Jkg(-1)K(-1) at 135K and large relative cooling power (RCP) of 187Jkg(-1) for the field of 40kOe. The synthesized zinc ferrite nanoparticles exhibits large magnetic anisotropy constant of 12.625x10(6)ergcm(-3) with an appreciable magnetic entropy change. The field dependence of maximum magnetic entropy change and RCP values is discussed by using power law equations. Furthermore, an attempt is made to study the phenomenological curve behavior of magnetic entropy change for the zinc ferrite nanoparticles. Interestingly, the magnetic entropy change at the range of magnetic fields collapses into a single universal phenomenological curve when rescaling the temperature axis with two reference temperatures. The obtained results conveys that the zinc ferrite nanoparticles is prospective magnetic refrigerant for miniaturized devices.</t>
  </si>
  <si>
    <t>Denardin, Juliano/0000-0002-1373-6207; Thandapani, Prabhakaran/0000-0003-0245-8827; Ramalinga Viswanathan, Mangalaraja/0000-0003-1016-9830</t>
  </si>
  <si>
    <t>1862-6300</t>
  </si>
  <si>
    <t>1862-6319</t>
  </si>
  <si>
    <t>10.1002/pssa.201700842</t>
  </si>
  <si>
    <t>WOS:000437294300009</t>
  </si>
  <si>
    <t>Moreira-Arce, D; Ugarte, CS; Zorondo-Rodríguez, F; Simonetti, JA</t>
  </si>
  <si>
    <t>Moreira-Arce, Dario; Ugarte, Carolina S.; Zorondo-Rodriguez, Francisco; Simonetti, Javier A.</t>
  </si>
  <si>
    <t>Management Tools to Reduce Carnivore-Livestock Conflicts: Current Gap and Future Challenges</t>
  </si>
  <si>
    <t>RANGELAND ECOLOGY &amp; MANAGEMENT</t>
  </si>
  <si>
    <t>Predation on domestic animals by carnivores is a persistent problem wherever carnivores and livestock co-occur A wide range of management tools to reduce predation has been invoked However, the evidence of their effectiveness is still limited for a broader range of species and conditions Using a global analysis of domestic animal predation by native carnivores under a before-after/control-impact framework, we assessed the effectiveness of management techniques used to reduce domestic animal predation identifying knowledge gaps and research needs We reviewed 291 predation cases in 149 studies published between 1990 and 2017 involving 47 carnivores Lethal control is the most common method to reduce predation in comparison with nonlethal techniques Yet the effectiveness of both approaches remains poorly evaluated (30 1% of study cases) and largely based on producers' perceptions (70% of cases where effectiveness was evaluated) Lethal control and night confinement of domestic animals would have no effect on reducing predation, whereas the use of livestock-guarding dogs, fencing, or herdsmen may significantly reduce domestic animal losses When the effectiveness of each technique to reduce predation was assessed by large and mesocarnivoi es, fencing significantly reduced predation of domestic animals by the formei Despite little scientifically published material, our findings indicate lethal control would have no effect in reducing animal predation by native carnivores when compared with nonlethal techniques Our study also indicates the effectiveness may vary depending on the type of carnivore involved in the conflict with livestock activity The use of an evidence-based framework to measure and assess the differential effec tivcness of nonlethal techniques and the use of complementary tools at different spatial and temporal scales must be research priorities to prevent livestock predation while promoting the conservation of carnivores in production-oriented lands as encouraged by the Convention of Biological Diversity. (C) 2018 The Society for Range Management. Published by Elsevier Inc. All rights reserved.</t>
  </si>
  <si>
    <t>Ugarte, Carolina Susana/JCE-2765-2023; Zorondo-Rodríguez, Francisco/GWU-8371-2022; Moreira-Arce, Dario/ABG-2898-2021; Zorondo-Rodriguez, Francisco/I-8273-2014; Simonetti, Javier A./A-4658-2008</t>
  </si>
  <si>
    <t>Moreira Arce, Dario/0000-0002-1188-496X; Zorondo-Rodriguez, Francisco/0000-0001-6469-9859; Ugarte, Carolina Susana/0000-0003-3928-8366; Simonetti, Javier A./0000-0002-7238-4133</t>
  </si>
  <si>
    <t>1550-7424</t>
  </si>
  <si>
    <t>1551-5028</t>
  </si>
  <si>
    <t>10.1016/j.rama.2018.02.005</t>
  </si>
  <si>
    <t>WOS:000431787400015</t>
  </si>
  <si>
    <t>Positive solutions of an elliptic Neumann problem with a sublinear indefinite nonlinearity</t>
  </si>
  <si>
    <t>NODEA-NONLINEAR DIFFERENTIAL EQUATIONS AND APPLICATIONS</t>
  </si>
  <si>
    <t>Let Omega subset of R-N (N &gt;= 1) be a bounded and smooth domain and a : Omega -&gt; R be a sign-changing weight satisfying integral(Omega) a &lt; 0. We prove the existence of a positive solution u(q) for the problem (P-a,P-q) {-Delta u = a(x)u(q) in Omega, partial derivative u/partial derivative nu = 0 on partial derivative Omega, if q(0) &lt; q &lt; 1, for some q(0) = q(0)(a) &gt; 0. In doing so, we improve the existence result previously established in Kaufmann et al. (J Differ Equ 263:4481-4502, 2017). In addition, we provide the asymptotic behavior of uq as q -&gt; 1(-). When Omega is a ball and a is radial, we give some explicit conditions on q and a ensuring the existence of a positive solution of (P-a,P-q). We also obtain some properties of the set of q's such that (P-a,P-q) admits a solution which is positive on (Omega) over bar. Finally, we present some results on non-negative solutions having dead cores. Our approach combines bifurcation techniques, a priori bounds and the sub-supersolution method.</t>
  </si>
  <si>
    <t>1021-9722</t>
  </si>
  <si>
    <t>1420-9004</t>
  </si>
  <si>
    <t>10.1007/s00030-018-0502-1</t>
  </si>
  <si>
    <t>WOS:000430329700004</t>
  </si>
  <si>
    <t>Schranz, F; Fernandez, S; Kämpfer, N; Palm, M</t>
  </si>
  <si>
    <t>Schranz, Franziska; Fernandez, Susana; Kaempfer, Niklaus; Palm, Mathias</t>
  </si>
  <si>
    <t>Diurnal variation in middle- atmospheric ozone observed by ground- based microwave radiometry at Ny-Alesund over 1 year</t>
  </si>
  <si>
    <t>We present an analysis of the diurnal ozone cycle from 1 year of continuous ozone measurements from two ground-based microwave radiometers in the Arctic. The instruments GROMOS-C and OZORAM are located at the AWIPEV research base at Ny-Alesund, Svalbard (79 degrees N, 12 degrees E), and gathered a comprehensive time series of middle-atmospheric ozone profiles with a high time resolution. An intercomparison was performed with EOS MLS and ozone sonde measurements and simulations with SD-WACCM. The measured data sets were used to study the photochemically induced diurnal cycle of ozone in the stratosphere and mesosphere. Throughout the year the insolation in the Arctic changes drastically from polar night to polar day. Accordingly, the seasonal variations in the diurnal ozone cycle are large. In the stratosphere we found a diurnal cycle throughout the entire period of polar day with the largest amplitude in April. In the mesosphere a diurnal cycle was detected in spring and fall. SD-WACCM has been proven to capture the diurnal cycle well and was therefore used to analyse the chemical reaction rates of ozone production and loss at equinox and summer solstice. Furthermore GROMOS-C proved capable of measuring the tertiary ozone layer above Ny-Alesund in winter.</t>
  </si>
  <si>
    <t>Fernandez, Susana/IUQ-3116-2023; Palm, Mathias/D-9173-2017</t>
  </si>
  <si>
    <t>Palm, Mathias/0000-0001-7191-6911</t>
  </si>
  <si>
    <t>10.5194/acp-18-4113-2018</t>
  </si>
  <si>
    <t>WOS:000428375100001</t>
  </si>
  <si>
    <t>Alfuraidan, MR; Jorquera, ED; Khamsi, MA</t>
  </si>
  <si>
    <t>Alfuraidan, Monther Rashed; Jorquera, Eduardo Daniel; Khamsi, Mohamed Amine</t>
  </si>
  <si>
    <t>Fixed Point Theorems for Monotone Caristi Inward Mappings</t>
  </si>
  <si>
    <t>NUMERICAL FUNCTIONAL ANALYSIS AND OPTIMIZATION</t>
  </si>
  <si>
    <t>In this paper, we introduce the monotone Caristi inward mappings. As an example, we show that monotone inward contraction mappings are monotone Caristi inward mappings. A general fixed point theorem for such mappings is given. A mutlivalued version of these results is also introduced.</t>
  </si>
  <si>
    <t>Khamsi, Mohamed/M-9313-2016</t>
  </si>
  <si>
    <t>Alfuraidan, Monther/0000-0002-3641-290X</t>
  </si>
  <si>
    <t>0163-0563</t>
  </si>
  <si>
    <t>1532-2467</t>
  </si>
  <si>
    <t>10.1080/01630563.2018.1478426</t>
  </si>
  <si>
    <t>WOS:000444259400007</t>
  </si>
  <si>
    <t>Sepúlveda, R; Castillo, J; Plaza, A; Sánchez, J; Torres, A; Romero, J</t>
  </si>
  <si>
    <t>Sepulveda, Rossana; Castillo, Jonathan; Plaza, Andrea; Sanchez, Jose; Torres, Alejandra; Romero, Julio</t>
  </si>
  <si>
    <t>Improvement of recovery performance in the solvent extraction of Cu(II) using [bmim] [Tf2N] and a β-diketone as extractant and its stripping with supercritical carbon dioxide</t>
  </si>
  <si>
    <t>This study deals with the improvement of the recovery performance in the solvent extraction of Cu(11) using the ionic liquid [bmim] [Tf2N] and the beta-diketone 1,1,1-trifluoro-2,4-pentanedione (TFA) as extractant and its stripping with supercritical carbon dioxide. This work describes a modified procedure, which shows better L-L extraction percentages with a decreasing of the concentration of TFA, the contacting time and the volumetric O/A ratio respect to the previously reported tests. Thus, the extraction was implemented with a concentration of TFA in [bmim] [Tf2N] equal to 60 mol m(-3), a contacting time of 5 min and an O/A ratio equal to 1:7. The stripping of the metal complex from the organic phase was achieved in semi-continuous mode with scCO(2). This configuration allowed obtaining a stripping percentage higher than the obtained with a previously tested procedure in batch mode with a consumption of CO2 4.3 times lower than the observed one in previous work.</t>
  </si>
  <si>
    <t>Castillo, Jonathan/AAB-8092-2019; Romero, Julio/I-6705-2013; Torres, Alejandra/LPQ-5664-2024; Sanchez-Marcano, Jose/E-1445-2012</t>
  </si>
  <si>
    <t>Sanchez-Marcano, Jose/0000-0003-1783-2092; Romero, Julio/0000-0002-1229-1592; Sepulveda Rivera, Rossana Daniela/0000-0003-0288-8130; Castillo, Jonathan/0000-0002-7794-4291; Plaza, Andrea/0000-0001-9475-007X</t>
  </si>
  <si>
    <t>10.1016/j.supflu.2017.05.003</t>
  </si>
  <si>
    <t>WOS:000408287400004</t>
  </si>
  <si>
    <t>Peix, A; Mut, F; Massardo, T; Garcia, EV</t>
  </si>
  <si>
    <t>Peix, Amalia; Mut, Fernando; Massardo, Teresa; Garcia, Ernest V.</t>
  </si>
  <si>
    <t>VII Iberoamerican Congress of Nuclear Cardiology and Cardiac Imaging</t>
  </si>
  <si>
    <t>JOURNAL OF NUCLEAR CARDIOLOGY</t>
  </si>
  <si>
    <t>Massardo, Teresa/R-8520-2019; Mut, Fernando/K-3617-2012</t>
  </si>
  <si>
    <t>1071-3581</t>
  </si>
  <si>
    <t>1532-6551</t>
  </si>
  <si>
    <t>10.1007/s12350-016-0544-x</t>
  </si>
  <si>
    <t>WOS:000388182100035</t>
  </si>
  <si>
    <t>Stepanova, Marina; Antonova, Elizaveta E.</t>
  </si>
  <si>
    <t>Role of turbulent transport in the evolution of the κ distribution functions in the plasma sheet</t>
  </si>
  <si>
    <t>We studied the evolution of ion and electron distribution functions, approximated by kappa distributions, in the plasma sheet with the distance from the Earth using the data of the Time History of Events and Macroscale Interactions during Substorms spacecraft mission. Five events were used to calculate the main parameters of the kappa distribution. For these events at least four spacecraft were aligned along the tail between approximately 7 and 30 R-E. It was found that for the majority of events the values of kappa increase tailward. The observed radial profiles could be related to the inner magnetosphere sources of particle acceleration and to the net tailward transport of particles. This net transport is the result of a balance between the average regular bulk transport toward the Earth and the turbulent transport by eddies in the tailward direction.</t>
  </si>
  <si>
    <t>10.1002/2014JA020684</t>
  </si>
  <si>
    <t>WOS:000357869600031</t>
  </si>
  <si>
    <t>Mery, C; Guerrero, L; Alonso-Gutiérrez, J; Figueroa, M; Lema, JM; Montalvo, S; Borja, R</t>
  </si>
  <si>
    <t>Mery, C.; Guerrero, L.; Alonso-Gutierrez, J.; Figueroa, M.; Lema, J. M.; Montalvo, S.; Borja, R.</t>
  </si>
  <si>
    <t>Evaluation of natural zeolite as microorganism support medium in nitrifying batch reactors: Influence of zeolite particle size</t>
  </si>
  <si>
    <t>An evaluation of natural zeolite as a microorganism carrier in nitrifying reactors operated in batch mode was carried out. Specifically, the influence of zeolite particle sizes of 0.5, 1.0 and 2.0 mm in diameter on microorganism adherence to zeolite, ammonium adsorption capacity and the identification of microbial populations were assessed. The greatest amount of total biomass adhered was observed for a zeolite particle size of 1 mm (0.289 g) which was achieved on the 12th day of operation. The highest ammonium adsorption capacity was observed for a zeolite particle size of 0.5 mm, which was 64% and 31% higher than that observed for particle sizes of 1.0 and 2.0 mm, respectively. The maximum de-sorption values were also found for a zeolite particle size of 0.5 mm, although when equilibrium was reached the ammonium concentrations were similar to those observed for a zeolite particle size of 1.0 mm. It was also found that the experimental data on ammonium adsorption fitted very well to the Freundlich isotherm for the three particle sizes studied. Finally, the nitrifying reactors showed similar microbial populations independently of the particle size used as microorganism carrier. The dominant bacterial community was Gammaproteobacteria making up 80% of the total population found. Betaproteobacteria were also identified and made up 12% approx. of the total population. Ammonium Oxidant Betaproteobacteria and Nitrobacter were also detected.</t>
  </si>
  <si>
    <t>Figueroa, Mónica/B-4613-2013; Lema, Juan/F-6718-2016; Borja, Rafael/P-5314-2016</t>
  </si>
  <si>
    <t>Figueroa, Monica/0000-0002-4263-6299; Lema, Juan/0000-0001-5616-2584; Borja, Rafael/0000-0002-3699-7223</t>
  </si>
  <si>
    <t>10.1080/10934529.2012.646129</t>
  </si>
  <si>
    <t>WOS:000301013000011</t>
  </si>
  <si>
    <t>Moya, SA; Pastene, R; Sartori, R; Schmidt, R; Díaz, C; Santander, E; Aguirre, P; Pardey, AJ; Longo, C; Baricelli, PJ</t>
  </si>
  <si>
    <t>Moya, S. A.; Pastene, R.; Sartori, R.; Schmidt, R.; Diaz, C.; Santander, E.; Aguirre, P.; Pardey, A. J.; Longo, C.; Baricelli, P. J.</t>
  </si>
  <si>
    <t>SYNTHESIS, CHARACTERIZATION AND PRELIMINARY CATALYTIC PROPERTIES OF NEW COPPER (I) COMPLEXE [Cu (pyrazolyl)2]X TYPE</t>
  </si>
  <si>
    <t>The preparation of tetracoordinated copper (I) complexes with the pyrazolyl heterocyclic nitrogen ligand is reported. The new complexes of [Cu(pyrazolyl)(2)] X type with X = chloride, bromine, and iodine were characterized by spectroscopic and electrochemical techniques. The results obtained show that the heterocyclic nitrogen ligand is bonded in a bidentate fashion to form monometallic complexes. Exploratory homogeneous catalysis experiments of the water-gas shift reaction (WGSR) have been accomplished by the use of copper complexes in 80% aqueous 4-picoline solutions. For such systems, formation of H-2 y CO2 was observed in the initial gas samples.</t>
  </si>
  <si>
    <t>PASTENE OLIVARES, RUBEN/0000-0002-7137-0303</t>
  </si>
  <si>
    <t>10.4067/S0717-97072010000400015</t>
  </si>
  <si>
    <t>WOS:000288584300018</t>
  </si>
  <si>
    <t>Ojeda, J; Escalona, N; Palacios, JM; Yates, M; Fierro, JLG; Agudo, AL; Gil-Llambías, FJ</t>
  </si>
  <si>
    <t>Ojeda, J.; Escalona, N.; Palacios, J. M.; Yates, M.; Fierro, J. L. G.; Agudo, A. Lopez; Gil-Llambias, F. J.</t>
  </si>
  <si>
    <t>Promoter effect of Co on the catalytic activity of Re/γ-Al2O3 catalysts for the HDS and HDN of gas oil</t>
  </si>
  <si>
    <t>This work reports the effect of Co content and catalysts preparation on the surface structure of two catalyst series prepared by either co-impregnation or sequential impregnation and their catalytic activity for the simultaneous hydrodesulphurisation (HDS) and hydrodenitrogenation (HDN) of gas oil. Structural characteristics and degree of dispersion of the Co and Re phases in the oxidic catalyst precursors were obtained by X-ray diffraction, energy-dispersive X-ray analysis, UV-vis diffuse reflectance spectroscopy (DRS) and electrophoretic migration (EM), and in the sulphided catalysts by X-ray photoelectron spectroscopy (XPS). The UV-vis diffuse reflectance spectra demonstrated that Co in its oxidic state was in tetrahedral coordination (as surface CoAl2O4) and in octahedral coordination (as surface Co3O4), with a relative Co3O4/CoAl2O4 proportion increasing with Co content, and that Re was present mainly as distorted isolated ReO4- monomeric species on the alumina surface and in small amounts probably as associated ReO4- type Re2O7 in high Co-content catalysts. Consistently, XPS results of sulphided catalysts revealed that in both series the major part (&gt;67%) of the Co remained in oxided state, while the Re phase was fully sulphided. The dispersion of sulphided Re decreased gradually with Co loading for the co-impregnated catalysts, due to the strong Co/alumina interaction, and drastically with Co incorporation for sequentially impregnation catalysts due to a partial dissolution and re-distribution of Re during Co impregnation. Catalytic activity results revealed synergetic effects in HDS and HDN between Co and Re in both series, with an optimum at an atomic ratio of about 0.40 Co/Re. The magnitude of the synergy was greater for HDS than for HDN, especially at low reaction temperature, and slightly higher for the coimpregnated catalysts reflecting the better Re dispersion. The observed CoRe synergy was thought to be related to the formation of a mixed Co-Re-S phase and to hydrogen spillover from separate Co sulphide to Re sulphide, participating to a different extent depending on the reaction temperature. (C) 2008 Elsevier B.V. All rights reserved.</t>
  </si>
  <si>
    <t>Escalona, Nestor/F-3593-2016; Yates, Malcolm/H-5152-2015; Garcia Fierro, Jose Luis/C-4774-2014</t>
  </si>
  <si>
    <t>Ojeda, Juan/0000-0002-9484-5017; Yates, Malcolm/0000-0001-5128-1218; Escalona Burgos, Nestor/0000-0002-2628-4609; Garcia Fierro, Jose Luis/0000-0002-6880-3737</t>
  </si>
  <si>
    <t>NOV 15</t>
  </si>
  <si>
    <t>10.1016/j.apcata.2008.07.013</t>
  </si>
  <si>
    <t>WOS:000260665300002</t>
  </si>
  <si>
    <t>López, CE; Christ, H; Retamal, JC; Solano, E</t>
  </si>
  <si>
    <t>Lopez, C. E.; Christ, H.; Retamal, J. C.; Solano, E.</t>
  </si>
  <si>
    <t>Effective quantum dynamics of interacting systems with inhomogeneous coupling</t>
  </si>
  <si>
    <t>We study the quantum dynamics of a single mode (particle) interacting inhomogeneously with a large number of particles and introduce an effective approach to find the accessible Hilbert space, where the dynamics takes place. Two relevant examples are given: the inhomogeneous Tavis-Cummings model (e.g., N atomic qubits coupled to a single cavity mode, or to a motional mode in trapped ions) and the inhomogeneous coupling of an electron spin to N nuclear spins in a quantum dot.</t>
  </si>
  <si>
    <t>López, Carlos/B-8456-2009; Retamal, Juan/G-6425-2010; Solano, Enrique/C-2895-2017</t>
  </si>
  <si>
    <t>SOLANO VILLANUEVA, ENRIQUE LEONIDAS/0000-0002-8602-1181; Retamal Abarzua, Juan Carlos/0000-0002-7174-7879</t>
  </si>
  <si>
    <t>1050-2947</t>
  </si>
  <si>
    <t>1094-1622</t>
  </si>
  <si>
    <t>10.1103/PhysRevA.75.033818</t>
  </si>
  <si>
    <t>WOS:000245326300195</t>
  </si>
  <si>
    <t>Günther, B; Morgado, E; Jiménez, RF</t>
  </si>
  <si>
    <t>Homeostasis and heterostasis:: from invariant to dimensionless numbers</t>
  </si>
  <si>
    <t>In the present paper we have examined the applicability of dimensionless and invariant numbers (DN &amp; IN) to the analysis of the cardiovascular system of mammals, whose functions were Measured at standard metabolic conditions. The calculated IN did not change when we compared these figures with those obtained in dogs while they were Submitted to graded exercise on a treadmill. In both instances, rest and exercise, the constancy of the IN prevailed, in accordance with Cannon's principle of homeostasis (1929). On the contrary. when dogs were examined during a standardized hypovolemic shock, we observed a breakdown of the IN. and the resulting DN evolved as a reliable index of the condition of heterostasis as defined by H. Selye. The robustness of the homeostatic regulations is based on high-gain integral feedback mechanisms, while heterostasis could be associated with low-gain integral feedback processes, when organisms are Submitted to unitary step disturbances or to changes of the set-point at the entrance of the feedback loop.</t>
  </si>
  <si>
    <t>WOS:000185322300012</t>
  </si>
  <si>
    <t>FIRDOUS, S; VALENCIA, E; SHAMMA, M; URZUA, A; FAJARDO, V</t>
  </si>
  <si>
    <t>3 NEW DIMERIC APORPHINOIDS FROM BERBERIS SPECIES</t>
  </si>
  <si>
    <t>10.1021/np50040a030</t>
  </si>
  <si>
    <t>WOS:A1985ARE3400030</t>
  </si>
  <si>
    <t>Fiallos-Núñez, J; Cardero, Y; Cabrera-Barjas, G; García-Herrera, CM; Inostroza, M; Estevez, M; España-Sánchez, BL; Valenzuela, LM</t>
  </si>
  <si>
    <t>Fiallos-Nunez, Johanna; Cardero, Yaniel; Cabrera-Barjas, Gustavo; Garcia-Herrera, Claudio M.; Inostroza, Matias; Estevez, Miriam; Espana-Sanchez, Beatriz Liliana; Valenzuela, Loreto M.</t>
  </si>
  <si>
    <t>Eco-Friendly Design of Chitosan-Based Films with Biodegradable Properties as an Alternative to Low-Density Polyethylene Packaging</t>
  </si>
  <si>
    <t>Biopolymer-based films are a promising alternative for the food packaging industry, in which petrochemical-based polymers like low-density polyethylene (LDPE) are commanding attention because of their high pollution levels. In this research, a biopolymer-based film made of chitosan (CS), gelatin (GEL), and glycerol (GLY) was designed. A Response Surface Methodology (RSM) analysis was performed to determine the chitosan, gelatin, and glycerol content that improved the mechanical properties selected as response variables (thickness, tensile strength (TS), and elongation at break (EAB). The content of CS (1.1% w/v), GEL (1.1% w/v), and GLY (0.4% w/v) in the film-forming solution guarantees an optimized film (OPT-F) with a 0.046 +/- 0.003 mm thickness, 11.48 +/- 1.42 mPa TS, and 2.6 +/- 0.3% EAB. The OPT-F was characterized in terms of thermal, optical, and biodegradability properties compared to LDPE films. Thermogravimetric analysis (TGA) revealed that the OPT-F was thermally stable at temperatures below 300 degrees C, which is relevant to thermal processes in the food industry of packaging. The reduced water solubility (WS) (24.34 +/- 2.47%) and the improved biodegradability properties (7.1%) compared with LDPE suggests that the biopolymer-based film obtained has potential applications in the food industry as a novel packaging material and can serve as a basis for the design of bioactive packaging.</t>
  </si>
  <si>
    <t>García-Herrera, Claudio/ABE-8991-2020; España-Sánchez, B.L./AIC-8544-2022; Cabrera, Gustavo/ABD-3960-2020; Estevez, Miriam/S-5898-2019; Cabrera, Gustavo/A-6578-2009; Valenzuela, Loreto/E-8094-2013</t>
  </si>
  <si>
    <t>Garcia-Herrera, Claudio/0000-0002-1283-8551; CARDERO LLOPIZ, YANIEL/0000-0002-7751-2210; Cabrera, Gustavo/0000-0002-1850-0244; Espana Sanchez, Beatriz Liliana/0000-0002-6015-6037; Valenzuela, Loreto/0000-0002-5220-9602</t>
  </si>
  <si>
    <t>10.3390/polym16172471</t>
  </si>
  <si>
    <t>WOS:001311594900001</t>
  </si>
  <si>
    <t>Matamala-Troncoso, F; Díaz-Coello, S; Martínez, F; Barrientos, H; Lisoni, J; Armijo, F; Lozano, D; Pizarro, J; Arévalo, MD; Pastor, E; Aguirre, MJ</t>
  </si>
  <si>
    <t>Matamala-Troncoso, Felipe; Diaz-Coello, Sergio; Martinez, Francisco; Barrientos, Herna; Lisoni, Judit; Armijo, Francisco; Lozano, David; Pizarro, Jaime; Arevalo, Maria del Carmen; Pastor, Elena; Aguirre, Maria Jesus</t>
  </si>
  <si>
    <t>First approach of fractals nickel-copper dendrites on stainless steel electrodes for ammonia oxidation to nitrogen monitored in operando by differential electrochemical mass spectroscopy</t>
  </si>
  <si>
    <t>Fractal nickel-copper dendrites were synthesized by electrochemical deposition (ECD) on a stainless steel electrode (SS/NiCu). The electrode surface was characterized using Field Emission Scanning Electron Microscopy (FE-SEM), X-ray diffractometry (XRD), and Raman spectroscopy. The Ni-Cu molar ratio and the time applied in the ECD method were studied, revealing that both are critical factors in modifying and controlling the surface morphology. The SS/NiCu electrodes show a higher density current response when exposed to ammonium hydroxide, reaching a limiting current density at concentrations above 0.050 M NH4OH. 4 OH. Ammonia oxidation reaction (AOR) was monitored in operando using differential electrochemical mass spectroscopy (DEMS). When a bias potential over +1.50 V (vs. RHE) was applied, the evolution of oxygen and NO was observed. However, N2 2 was the only oxidation product at a constant potential below +1.50 V (vs. RHE). Oxygen (O2) 2 ) evolution was the main competitive reaction during the AOR. The results show that products are strongly dependent on the electrochemical perturbation applied. The study demonstrated that the SS/NiCu electrodes are suitable for AOR to N2 2 in high alkaline conditions.</t>
  </si>
  <si>
    <t>Martinez, Francisco/ABE-7092-2020; Lisoni, Judit/I-1298-2015; Armijo, Francisco/G-3391-2013; Aguirre, Maria/A-3935-2013; Lozano, David/IQT-5568-2023; Pastor, Elena/L-2100-2014; Diaz Coello, Sergio/N-7924-2018</t>
  </si>
  <si>
    <t>Lozano, David/0000-0002-8724-3333; Pastor, Elena/0000-0001-6732-5828; Lisoni, Judit/0000-0001-6460-6579; Armijo, Francisco/0000-0002-2479-6280; Diaz Coello, Sergio/0000-0002-8196-0761; Martinez-Rojas, Francisco/0000-0001-9701-0528; Matamala, Felipe/0000-0002-6584-017X</t>
  </si>
  <si>
    <t>NOV 10</t>
  </si>
  <si>
    <t>10.1016/j.electacta.2024.144894</t>
  </si>
  <si>
    <t>WOS:001302833000001</t>
  </si>
  <si>
    <t>Mayorga, M; Barrios, N; González-Lagos, C; Castro, SA; Jaksic, F</t>
  </si>
  <si>
    <t>Mayorga, Marcelo; Barrios, Natasha; Gonzalez-Lagos, Cesar; Castro, Sergio A.; Jaksic, Fabian</t>
  </si>
  <si>
    <t>The iconographic evolution of Patagonian and Fuegian canids</t>
  </si>
  <si>
    <t>BackgroundWe assess the putative identity of canids accompanying the Patagonian and Fuegian aborigines through an iconographic timeline encompassing 1699-1894, when a number of narratives provided written descriptions and illustrations of those aborigines and their canids. We determine what type of dogs were those canids, disentangling their type or breed group, to reveal their characteristics, composition, and development during that period.MethodsWe searched for illustrations published by navigators and explorers where the presence of canids was reported in the historical territory of the Patagonian aborigines (A &amp; oacute;nikenk, Kaw &amp; eacute;sqar, Manek'enk, S &amp; eacute;lk'nam, and Yahgan). We constructed a matrix to record the descriptions of all canids represented in those illustrations. Their characterization included body size, coat, tail, ears, skull, and attitude, among others. We then classified whether they were morphologically closer to domestic dogs or to foxlike canids. We used the morphological appearance of dogs to classify them into breed types, whenever possible.Results and discussionWe identified and classified 61 canids from 26 illustrations in accounts published between 1699 and 1894. From a historical perspective, those accounts suggest that soon after the first contacts with Europeans, the Patagonian and Fuegian aborigines began to exchange and breed dogs of non-native origin, initiating an extended process of mixing between aboriginal foxlike canids and European dogs. From a cynological perspective, the foxlike canids associated with the aborigines were widely present only before 1833, exhibing an homogeneous appearance with a solid coat, pointed snout, small erect ears of high insertion, and fallen and bushy tail. After 1833, the canids depicted show a more varied appearance and mixed coat, with blunter snout, drooping ears at lower insertion, and erect fine tail with sparse hair. Most of these were hunting dogs morphologically similar to modern breeds such as pointers/setters, hounds, terriers, and retrievers.</t>
  </si>
  <si>
    <t>González-Lagos, Cesar/AAJ-3382-2020; Jaksic, Fabian/G-1705-2014</t>
  </si>
  <si>
    <t>Mayorga-Zuniga, Marcelo P./0000-0003-1600-3655; Barrios, Natasha/0000-0001-7719-8156; Gonzalez-Lagos, Cesar Alejandro/0000-0001-5679-4610</t>
  </si>
  <si>
    <t>JUL 19</t>
  </si>
  <si>
    <t>10.1186/s40693-024-00129-5</t>
  </si>
  <si>
    <t>WOS:001272362400001</t>
  </si>
  <si>
    <t>Jacobs-Capdeville, P; Kuang, SB; Yu, AB</t>
  </si>
  <si>
    <t>Jacobs-Capdeville, Patricio; Kuang, Shibo; Yu, Aibing</t>
  </si>
  <si>
    <t>Unrevealing energy dissipation during iron ore transfer through chutes with different designs</t>
  </si>
  <si>
    <t>This paper comprehensively analyzes the transportation of iron -bearing solid materials in industrial -scale transfer chute stations by a GPU-DEM model. It considers five chute head designs, including the traditional rock box, impact plate, and hood, as well as the modified micro -boxed alternatives to the impact plate and hood. Particle flow and energy dissipation are analyzed to understand the energy consumption, wall wear, and particle degradation and segregation. The numerical results show that the localizations of different energy dissipation mechanisms significantly differ, resulting in differences in particle degradation and segregation across the chutes considered. The rock box chute is susceptible to the largest degradation and segregation. The micro -box impact plate leads to the least degradation, and the traditional hood causes the best mixing performance. It also shows that segregation becomes more severe as the particle flow stream loses greater energy at the earlier stage of the particle dropping.</t>
  </si>
  <si>
    <t>10.1016/j.powtec.2024.119446</t>
  </si>
  <si>
    <t>WOS:001175009500001</t>
  </si>
  <si>
    <t>Santos, MAFD; Mauricio, CD; Soto, DAS; Aedo-Munoz, E; Brito, CJ; Pierantozzi, E; Miarka, B</t>
  </si>
  <si>
    <t>Santos, Marco Antonio Ferreira dos; Mauricio, Clovis de Albuquerque; Soto, Dany Alexis Sobarzo; Aedo-Munoz, Esteban; Brito, Ciro Jose; Pierantozzi, Emanuela; Miarka, Bianca</t>
  </si>
  <si>
    <t>The Dynamics of Victory: Exploring the Movement Patterns of Female Brazilian Jiu-Jitsu Athletes in Winning and Losing Combats through Time-Motion Analysis</t>
  </si>
  <si>
    <t>In the quest to understand the dynamics of female Brazilian Jiu-Jitsu (BJJ) combats, this research delves into the world of winning and losing. By comparing time-motion analysis based on different outcomes, our objective was to unveil the movement patterns of victory. Our sample included 209 winning (W) versus 209 losing (L) female international BJJ combats, presenting a comprehensive picture of the combat landscape. Through time-motion analysis, we explored various BJJ combat phases, such as approach, gripping, transition, side control, mounting, attack, defense, low-intensity movement, and total time. The statistical results highlight significant differences between winners and losers in key aspects of the combats. Notably, side control (W= 47.7 [27.8; 96.5]s vs. L= 27.3 [20.3; 41.9]s), mount (W= 40.0 [16.6; 85.9]s vs. L= 15.9 [6.1; 25.6]s), attack (W= 50.1 [28.6; 86.7]s vs. L= 16.6 [7.7; 35.7]s), defense (W= 14.6 [6.6; 38.2]s vs. L= 38.8 [17.7; 77.0]s), and low-intensity movement (W= 55.9 [23.4; 132.2]s vs. L= 111.5 [58.7; 225.6]s) revealed differences between the winners and losers. The implications extend to sports psychology and judo training, providing knowledge for enhancing performance, optimizing training programs, and making strategic decisions during combat.</t>
  </si>
  <si>
    <t>Aedo-Muñoz, Esteban/R-5623-2019; Pierantozzi, Emanuela/HJZ-2091-2023; Brito, Ciro/AAC-9104-2019; Miarka, Bianca/V-7395-2017</t>
  </si>
  <si>
    <t>PIERANTOZZI, EMANUELA/0000-0002-4405-9552</t>
  </si>
  <si>
    <t>WOS:001162885300001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</si>
</sst>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82</v>
      </c>
      <c r="AQ2" s="1" t="s">
        <v>74</v>
      </c>
      <c r="AR2" s="1" t="s">
        <v>74</v>
      </c>
      <c r="AS2" s="1" t="s">
        <v>74</v>
      </c>
      <c r="AT2" s="1" t="s">
        <v>83</v>
      </c>
      <c r="AU2" s="1">
        <v>2017.0</v>
      </c>
      <c r="AV2" s="1">
        <v>18.0</v>
      </c>
      <c r="AW2" s="1" t="s">
        <v>74</v>
      </c>
      <c r="AX2" s="1" t="s">
        <v>74</v>
      </c>
      <c r="AY2" s="1" t="s">
        <v>74</v>
      </c>
      <c r="AZ2" s="1" t="s">
        <v>74</v>
      </c>
      <c r="BA2" s="1" t="s">
        <v>74</v>
      </c>
      <c r="BB2" s="1">
        <v>121.0</v>
      </c>
      <c r="BC2" s="1">
        <v>135.0</v>
      </c>
      <c r="BD2" s="1" t="s">
        <v>74</v>
      </c>
      <c r="BE2" s="1" t="s">
        <v>84</v>
      </c>
      <c r="BF2" s="2" t="str">
        <f>HYPERLINK("http://dx.doi.org/10.1016/j.addma.2017.10.006","http://dx.doi.org/10.1016/j.addma.2017.10.006")</f>
        <v>http://dx.doi.org/10.1016/j.addma.2017.10.006</v>
      </c>
      <c r="BG2" s="1" t="s">
        <v>74</v>
      </c>
      <c r="BH2" s="1" t="s">
        <v>74</v>
      </c>
      <c r="BI2" s="1" t="s">
        <v>74</v>
      </c>
      <c r="BJ2" s="1" t="s">
        <v>74</v>
      </c>
      <c r="BK2" s="1" t="s">
        <v>74</v>
      </c>
      <c r="BL2" s="1" t="s">
        <v>74</v>
      </c>
      <c r="BM2" s="1" t="s">
        <v>74</v>
      </c>
      <c r="BN2" s="1" t="s">
        <v>74</v>
      </c>
      <c r="BO2" s="1" t="s">
        <v>74</v>
      </c>
      <c r="BP2" s="1" t="s">
        <v>74</v>
      </c>
      <c r="BQ2" s="1" t="s">
        <v>74</v>
      </c>
      <c r="BR2" s="1" t="s">
        <v>74</v>
      </c>
      <c r="BS2" s="1" t="s">
        <v>85</v>
      </c>
      <c r="BT2" s="1" t="str">
        <f>HYPERLINK("https%3A%2F%2Fwww.webofscience.com%2Fwos%2Fwoscc%2Ffull-record%2FWOS:000435751500013","View Full Record in Web of Science")</f>
        <v>View Full Record in Web of Science</v>
      </c>
    </row>
    <row r="3" ht="12.75" customHeight="1">
      <c r="A3" s="1" t="s">
        <v>72</v>
      </c>
      <c r="B3" s="1" t="s">
        <v>86</v>
      </c>
      <c r="C3" s="1" t="s">
        <v>74</v>
      </c>
      <c r="D3" s="1" t="s">
        <v>74</v>
      </c>
      <c r="E3" s="1" t="s">
        <v>74</v>
      </c>
      <c r="F3" s="1" t="s">
        <v>87</v>
      </c>
      <c r="G3" s="1" t="s">
        <v>74</v>
      </c>
      <c r="H3" s="1" t="s">
        <v>74</v>
      </c>
      <c r="I3" s="1" t="s">
        <v>88</v>
      </c>
      <c r="J3" s="1" t="s">
        <v>89</v>
      </c>
      <c r="K3" s="1" t="s">
        <v>74</v>
      </c>
      <c r="L3" s="1" t="s">
        <v>74</v>
      </c>
      <c r="M3" s="1" t="s">
        <v>74</v>
      </c>
      <c r="N3" s="1" t="s">
        <v>74</v>
      </c>
      <c r="O3" s="1" t="s">
        <v>74</v>
      </c>
      <c r="P3" s="1" t="s">
        <v>74</v>
      </c>
      <c r="Q3" s="1" t="s">
        <v>74</v>
      </c>
      <c r="R3" s="1" t="s">
        <v>74</v>
      </c>
      <c r="S3" s="1" t="s">
        <v>74</v>
      </c>
      <c r="T3" s="1" t="s">
        <v>74</v>
      </c>
      <c r="U3" s="1" t="s">
        <v>74</v>
      </c>
      <c r="V3" s="1" t="s">
        <v>74</v>
      </c>
      <c r="W3" s="1" t="s">
        <v>74</v>
      </c>
      <c r="X3" s="1" t="s">
        <v>74</v>
      </c>
      <c r="Y3" s="1" t="s">
        <v>74</v>
      </c>
      <c r="Z3" s="1" t="s">
        <v>74</v>
      </c>
      <c r="AA3" s="1" t="s">
        <v>90</v>
      </c>
      <c r="AB3" s="1" t="s">
        <v>91</v>
      </c>
      <c r="AC3" s="1" t="s">
        <v>74</v>
      </c>
      <c r="AD3" s="1" t="s">
        <v>74</v>
      </c>
      <c r="AE3" s="1" t="s">
        <v>74</v>
      </c>
      <c r="AF3" s="1" t="s">
        <v>74</v>
      </c>
      <c r="AG3" s="1" t="s">
        <v>74</v>
      </c>
      <c r="AH3" s="1" t="s">
        <v>74</v>
      </c>
      <c r="AI3" s="1" t="s">
        <v>74</v>
      </c>
      <c r="AJ3" s="1" t="s">
        <v>74</v>
      </c>
      <c r="AK3" s="1" t="s">
        <v>74</v>
      </c>
      <c r="AL3" s="1" t="s">
        <v>74</v>
      </c>
      <c r="AM3" s="1" t="s">
        <v>74</v>
      </c>
      <c r="AN3" s="1" t="s">
        <v>74</v>
      </c>
      <c r="AO3" s="1" t="s">
        <v>92</v>
      </c>
      <c r="AP3" s="1" t="s">
        <v>93</v>
      </c>
      <c r="AQ3" s="1" t="s">
        <v>74</v>
      </c>
      <c r="AR3" s="1" t="s">
        <v>74</v>
      </c>
      <c r="AS3" s="1" t="s">
        <v>74</v>
      </c>
      <c r="AT3" s="1" t="s">
        <v>94</v>
      </c>
      <c r="AU3" s="1">
        <v>2017.0</v>
      </c>
      <c r="AV3" s="1">
        <v>14.0</v>
      </c>
      <c r="AW3" s="1">
        <v>5.0</v>
      </c>
      <c r="AX3" s="1" t="s">
        <v>74</v>
      </c>
      <c r="AY3" s="1">
        <v>4.0</v>
      </c>
      <c r="AZ3" s="1" t="s">
        <v>74</v>
      </c>
      <c r="BA3" s="1" t="s">
        <v>74</v>
      </c>
      <c r="BB3" s="1" t="s">
        <v>95</v>
      </c>
      <c r="BC3" s="1" t="s">
        <v>95</v>
      </c>
      <c r="BD3" s="1" t="s">
        <v>74</v>
      </c>
      <c r="BE3" s="1" t="s">
        <v>96</v>
      </c>
      <c r="BF3" s="2" t="str">
        <f>HYPERLINK("http://dx.doi.org/10.1016/j.jsxm.2017.04.288","http://dx.doi.org/10.1016/j.jsxm.2017.04.288")</f>
        <v>http://dx.doi.org/10.1016/j.jsxm.2017.04.288</v>
      </c>
      <c r="BG3" s="1" t="s">
        <v>74</v>
      </c>
      <c r="BH3" s="1" t="s">
        <v>74</v>
      </c>
      <c r="BI3" s="1" t="s">
        <v>74</v>
      </c>
      <c r="BJ3" s="1" t="s">
        <v>74</v>
      </c>
      <c r="BK3" s="1" t="s">
        <v>74</v>
      </c>
      <c r="BL3" s="1" t="s">
        <v>74</v>
      </c>
      <c r="BM3" s="1" t="s">
        <v>74</v>
      </c>
      <c r="BN3" s="1" t="s">
        <v>74</v>
      </c>
      <c r="BO3" s="1" t="s">
        <v>74</v>
      </c>
      <c r="BP3" s="1" t="s">
        <v>74</v>
      </c>
      <c r="BQ3" s="1" t="s">
        <v>74</v>
      </c>
      <c r="BR3" s="1" t="s">
        <v>74</v>
      </c>
      <c r="BS3" s="1" t="s">
        <v>97</v>
      </c>
      <c r="BT3" s="1" t="str">
        <f>HYPERLINK("https%3A%2F%2Fwww.webofscience.com%2Fwos%2Fwoscc%2Ffull-record%2FWOS:000424205700211","View Full Record in Web of Science")</f>
        <v>View Full Record in Web of Science</v>
      </c>
    </row>
    <row r="4" ht="12.75" customHeight="1">
      <c r="A4" s="1" t="s">
        <v>72</v>
      </c>
      <c r="B4" s="1" t="s">
        <v>98</v>
      </c>
      <c r="C4" s="1" t="s">
        <v>74</v>
      </c>
      <c r="D4" s="1" t="s">
        <v>74</v>
      </c>
      <c r="E4" s="1" t="s">
        <v>74</v>
      </c>
      <c r="F4" s="1" t="s">
        <v>99</v>
      </c>
      <c r="G4" s="1" t="s">
        <v>74</v>
      </c>
      <c r="H4" s="1" t="s">
        <v>74</v>
      </c>
      <c r="I4" s="1" t="s">
        <v>100</v>
      </c>
      <c r="J4" s="1" t="s">
        <v>101</v>
      </c>
      <c r="K4" s="1" t="s">
        <v>74</v>
      </c>
      <c r="L4" s="1" t="s">
        <v>74</v>
      </c>
      <c r="M4" s="1" t="s">
        <v>74</v>
      </c>
      <c r="N4" s="1" t="s">
        <v>74</v>
      </c>
      <c r="O4" s="1" t="s">
        <v>74</v>
      </c>
      <c r="P4" s="1" t="s">
        <v>74</v>
      </c>
      <c r="Q4" s="1" t="s">
        <v>74</v>
      </c>
      <c r="R4" s="1" t="s">
        <v>74</v>
      </c>
      <c r="S4" s="1" t="s">
        <v>74</v>
      </c>
      <c r="T4" s="1" t="s">
        <v>74</v>
      </c>
      <c r="U4" s="1" t="s">
        <v>74</v>
      </c>
      <c r="V4" s="1" t="s">
        <v>102</v>
      </c>
      <c r="W4" s="1" t="s">
        <v>74</v>
      </c>
      <c r="X4" s="1" t="s">
        <v>74</v>
      </c>
      <c r="Y4" s="1" t="s">
        <v>74</v>
      </c>
      <c r="Z4" s="1" t="s">
        <v>74</v>
      </c>
      <c r="AA4" s="1" t="s">
        <v>103</v>
      </c>
      <c r="AB4" s="1" t="s">
        <v>104</v>
      </c>
      <c r="AC4" s="1" t="s">
        <v>74</v>
      </c>
      <c r="AD4" s="1" t="s">
        <v>74</v>
      </c>
      <c r="AE4" s="1" t="s">
        <v>74</v>
      </c>
      <c r="AF4" s="1" t="s">
        <v>74</v>
      </c>
      <c r="AG4" s="1" t="s">
        <v>74</v>
      </c>
      <c r="AH4" s="1" t="s">
        <v>74</v>
      </c>
      <c r="AI4" s="1" t="s">
        <v>74</v>
      </c>
      <c r="AJ4" s="1" t="s">
        <v>74</v>
      </c>
      <c r="AK4" s="1" t="s">
        <v>74</v>
      </c>
      <c r="AL4" s="1" t="s">
        <v>74</v>
      </c>
      <c r="AM4" s="1" t="s">
        <v>74</v>
      </c>
      <c r="AN4" s="1" t="s">
        <v>74</v>
      </c>
      <c r="AO4" s="1" t="s">
        <v>105</v>
      </c>
      <c r="AP4" s="1" t="s">
        <v>106</v>
      </c>
      <c r="AQ4" s="1" t="s">
        <v>74</v>
      </c>
      <c r="AR4" s="1" t="s">
        <v>74</v>
      </c>
      <c r="AS4" s="1" t="s">
        <v>74</v>
      </c>
      <c r="AT4" s="1" t="s">
        <v>74</v>
      </c>
      <c r="AU4" s="1">
        <v>2017.0</v>
      </c>
      <c r="AV4" s="1">
        <v>69.0</v>
      </c>
      <c r="AW4" s="1">
        <v>1.0</v>
      </c>
      <c r="AX4" s="1" t="s">
        <v>74</v>
      </c>
      <c r="AY4" s="1" t="s">
        <v>74</v>
      </c>
      <c r="AZ4" s="1" t="s">
        <v>74</v>
      </c>
      <c r="BA4" s="1" t="s">
        <v>74</v>
      </c>
      <c r="BB4" s="1">
        <v>22.0</v>
      </c>
      <c r="BC4" s="1">
        <v>35.0</v>
      </c>
      <c r="BD4" s="1" t="s">
        <v>74</v>
      </c>
      <c r="BE4" s="1" t="s">
        <v>107</v>
      </c>
      <c r="BF4" s="2" t="str">
        <f>HYPERLINK("http://dx.doi.org/10.1108/AJIM-06-2016-0075","http://dx.doi.org/10.1108/AJIM-06-2016-0075")</f>
        <v>http://dx.doi.org/10.1108/AJIM-06-2016-0075</v>
      </c>
      <c r="BG4" s="1" t="s">
        <v>74</v>
      </c>
      <c r="BH4" s="1" t="s">
        <v>74</v>
      </c>
      <c r="BI4" s="1" t="s">
        <v>74</v>
      </c>
      <c r="BJ4" s="1" t="s">
        <v>74</v>
      </c>
      <c r="BK4" s="1" t="s">
        <v>74</v>
      </c>
      <c r="BL4" s="1" t="s">
        <v>74</v>
      </c>
      <c r="BM4" s="1" t="s">
        <v>74</v>
      </c>
      <c r="BN4" s="1" t="s">
        <v>74</v>
      </c>
      <c r="BO4" s="1" t="s">
        <v>74</v>
      </c>
      <c r="BP4" s="1" t="s">
        <v>74</v>
      </c>
      <c r="BQ4" s="1" t="s">
        <v>74</v>
      </c>
      <c r="BR4" s="1" t="s">
        <v>74</v>
      </c>
      <c r="BS4" s="1" t="s">
        <v>108</v>
      </c>
      <c r="BT4" s="1" t="str">
        <f>HYPERLINK("https%3A%2F%2Fwww.webofscience.com%2Fwos%2Fwoscc%2Ffull-record%2FWOS:000396714200002","View Full Record in Web of Science")</f>
        <v>View Full Record in Web of Science</v>
      </c>
    </row>
    <row r="5" ht="12.75" customHeight="1">
      <c r="A5" s="1" t="s">
        <v>72</v>
      </c>
      <c r="B5" s="1" t="s">
        <v>109</v>
      </c>
      <c r="C5" s="1" t="s">
        <v>74</v>
      </c>
      <c r="D5" s="1" t="s">
        <v>74</v>
      </c>
      <c r="E5" s="1" t="s">
        <v>74</v>
      </c>
      <c r="F5" s="1" t="s">
        <v>110</v>
      </c>
      <c r="G5" s="1" t="s">
        <v>74</v>
      </c>
      <c r="H5" s="1" t="s">
        <v>74</v>
      </c>
      <c r="I5" s="1" t="s">
        <v>111</v>
      </c>
      <c r="J5" s="1" t="s">
        <v>112</v>
      </c>
      <c r="K5" s="1" t="s">
        <v>74</v>
      </c>
      <c r="L5" s="1" t="s">
        <v>74</v>
      </c>
      <c r="M5" s="1" t="s">
        <v>74</v>
      </c>
      <c r="N5" s="1" t="s">
        <v>74</v>
      </c>
      <c r="O5" s="1" t="s">
        <v>74</v>
      </c>
      <c r="P5" s="1" t="s">
        <v>74</v>
      </c>
      <c r="Q5" s="1" t="s">
        <v>74</v>
      </c>
      <c r="R5" s="1" t="s">
        <v>74</v>
      </c>
      <c r="S5" s="1" t="s">
        <v>74</v>
      </c>
      <c r="T5" s="1" t="s">
        <v>74</v>
      </c>
      <c r="U5" s="1" t="s">
        <v>74</v>
      </c>
      <c r="V5" s="1" t="s">
        <v>113</v>
      </c>
      <c r="W5" s="1" t="s">
        <v>74</v>
      </c>
      <c r="X5" s="1" t="s">
        <v>74</v>
      </c>
      <c r="Y5" s="1" t="s">
        <v>74</v>
      </c>
      <c r="Z5" s="1" t="s">
        <v>74</v>
      </c>
      <c r="AA5" s="1" t="s">
        <v>114</v>
      </c>
      <c r="AB5" s="1" t="s">
        <v>115</v>
      </c>
      <c r="AC5" s="1" t="s">
        <v>74</v>
      </c>
      <c r="AD5" s="1" t="s">
        <v>74</v>
      </c>
      <c r="AE5" s="1" t="s">
        <v>74</v>
      </c>
      <c r="AF5" s="1" t="s">
        <v>74</v>
      </c>
      <c r="AG5" s="1" t="s">
        <v>74</v>
      </c>
      <c r="AH5" s="1" t="s">
        <v>74</v>
      </c>
      <c r="AI5" s="1" t="s">
        <v>74</v>
      </c>
      <c r="AJ5" s="1" t="s">
        <v>74</v>
      </c>
      <c r="AK5" s="1" t="s">
        <v>74</v>
      </c>
      <c r="AL5" s="1" t="s">
        <v>74</v>
      </c>
      <c r="AM5" s="1" t="s">
        <v>74</v>
      </c>
      <c r="AN5" s="1" t="s">
        <v>74</v>
      </c>
      <c r="AO5" s="1" t="s">
        <v>116</v>
      </c>
      <c r="AP5" s="1" t="s">
        <v>117</v>
      </c>
      <c r="AQ5" s="1" t="s">
        <v>74</v>
      </c>
      <c r="AR5" s="1" t="s">
        <v>74</v>
      </c>
      <c r="AS5" s="1" t="s">
        <v>74</v>
      </c>
      <c r="AT5" s="1" t="s">
        <v>74</v>
      </c>
      <c r="AU5" s="1">
        <v>2016.0</v>
      </c>
      <c r="AV5" s="1">
        <v>12.0</v>
      </c>
      <c r="AW5" s="1">
        <v>27.0</v>
      </c>
      <c r="AX5" s="1" t="s">
        <v>74</v>
      </c>
      <c r="AY5" s="1" t="s">
        <v>74</v>
      </c>
      <c r="AZ5" s="1" t="s">
        <v>74</v>
      </c>
      <c r="BA5" s="1" t="s">
        <v>74</v>
      </c>
      <c r="BB5" s="1">
        <v>5979.0</v>
      </c>
      <c r="BC5" s="1">
        <v>5985.0</v>
      </c>
      <c r="BD5" s="1" t="s">
        <v>74</v>
      </c>
      <c r="BE5" s="1" t="s">
        <v>118</v>
      </c>
      <c r="BF5" s="2" t="str">
        <f>HYPERLINK("http://dx.doi.org/10.1039/c6sm00734a","http://dx.doi.org/10.1039/c6sm00734a")</f>
        <v>http://dx.doi.org/10.1039/c6sm00734a</v>
      </c>
      <c r="BG5" s="1" t="s">
        <v>74</v>
      </c>
      <c r="BH5" s="1" t="s">
        <v>74</v>
      </c>
      <c r="BI5" s="1" t="s">
        <v>74</v>
      </c>
      <c r="BJ5" s="1" t="s">
        <v>74</v>
      </c>
      <c r="BK5" s="1" t="s">
        <v>74</v>
      </c>
      <c r="BL5" s="1" t="s">
        <v>74</v>
      </c>
      <c r="BM5" s="1" t="s">
        <v>74</v>
      </c>
      <c r="BN5" s="1">
        <v>2.7283075E7</v>
      </c>
      <c r="BO5" s="1" t="s">
        <v>74</v>
      </c>
      <c r="BP5" s="1" t="s">
        <v>74</v>
      </c>
      <c r="BQ5" s="1" t="s">
        <v>74</v>
      </c>
      <c r="BR5" s="1" t="s">
        <v>74</v>
      </c>
      <c r="BS5" s="1" t="s">
        <v>119</v>
      </c>
      <c r="BT5" s="1" t="str">
        <f>HYPERLINK("https%3A%2F%2Fwww.webofscience.com%2Fwos%2Fwoscc%2Ffull-record%2FWOS:000379492500015","View Full Record in Web of Science")</f>
        <v>View Full Record in Web of Science</v>
      </c>
    </row>
    <row r="6" ht="12.75" customHeight="1">
      <c r="A6" s="1" t="s">
        <v>72</v>
      </c>
      <c r="B6" s="1" t="s">
        <v>120</v>
      </c>
      <c r="C6" s="1" t="s">
        <v>74</v>
      </c>
      <c r="D6" s="1" t="s">
        <v>74</v>
      </c>
      <c r="E6" s="1" t="s">
        <v>74</v>
      </c>
      <c r="F6" s="1" t="s">
        <v>121</v>
      </c>
      <c r="G6" s="1" t="s">
        <v>74</v>
      </c>
      <c r="H6" s="1" t="s">
        <v>74</v>
      </c>
      <c r="I6" s="1" t="s">
        <v>122</v>
      </c>
      <c r="J6" s="1" t="s">
        <v>123</v>
      </c>
      <c r="K6" s="1" t="s">
        <v>74</v>
      </c>
      <c r="L6" s="1" t="s">
        <v>74</v>
      </c>
      <c r="M6" s="1" t="s">
        <v>74</v>
      </c>
      <c r="N6" s="1" t="s">
        <v>74</v>
      </c>
      <c r="O6" s="1" t="s">
        <v>74</v>
      </c>
      <c r="P6" s="1" t="s">
        <v>74</v>
      </c>
      <c r="Q6" s="1" t="s">
        <v>74</v>
      </c>
      <c r="R6" s="1" t="s">
        <v>74</v>
      </c>
      <c r="S6" s="1" t="s">
        <v>74</v>
      </c>
      <c r="T6" s="1" t="s">
        <v>74</v>
      </c>
      <c r="U6" s="1" t="s">
        <v>74</v>
      </c>
      <c r="V6" s="1" t="s">
        <v>124</v>
      </c>
      <c r="W6" s="1" t="s">
        <v>74</v>
      </c>
      <c r="X6" s="1" t="s">
        <v>74</v>
      </c>
      <c r="Y6" s="1" t="s">
        <v>74</v>
      </c>
      <c r="Z6" s="1" t="s">
        <v>74</v>
      </c>
      <c r="AA6" s="1" t="s">
        <v>125</v>
      </c>
      <c r="AB6" s="1" t="s">
        <v>126</v>
      </c>
      <c r="AC6" s="1" t="s">
        <v>74</v>
      </c>
      <c r="AD6" s="1" t="s">
        <v>74</v>
      </c>
      <c r="AE6" s="1" t="s">
        <v>74</v>
      </c>
      <c r="AF6" s="1" t="s">
        <v>74</v>
      </c>
      <c r="AG6" s="1" t="s">
        <v>74</v>
      </c>
      <c r="AH6" s="1" t="s">
        <v>74</v>
      </c>
      <c r="AI6" s="1" t="s">
        <v>74</v>
      </c>
      <c r="AJ6" s="1" t="s">
        <v>74</v>
      </c>
      <c r="AK6" s="1" t="s">
        <v>74</v>
      </c>
      <c r="AL6" s="1" t="s">
        <v>74</v>
      </c>
      <c r="AM6" s="1" t="s">
        <v>74</v>
      </c>
      <c r="AN6" s="1" t="s">
        <v>74</v>
      </c>
      <c r="AO6" s="1" t="s">
        <v>127</v>
      </c>
      <c r="AP6" s="1" t="s">
        <v>128</v>
      </c>
      <c r="AQ6" s="1" t="s">
        <v>74</v>
      </c>
      <c r="AR6" s="1" t="s">
        <v>74</v>
      </c>
      <c r="AS6" s="1" t="s">
        <v>74</v>
      </c>
      <c r="AT6" s="1" t="s">
        <v>83</v>
      </c>
      <c r="AU6" s="1">
        <v>2015.0</v>
      </c>
      <c r="AV6" s="1">
        <v>12.0</v>
      </c>
      <c r="AW6" s="1">
        <v>12.0</v>
      </c>
      <c r="AX6" s="1" t="s">
        <v>74</v>
      </c>
      <c r="AY6" s="1" t="s">
        <v>74</v>
      </c>
      <c r="AZ6" s="1" t="s">
        <v>74</v>
      </c>
      <c r="BA6" s="1" t="s">
        <v>74</v>
      </c>
      <c r="BB6" s="1">
        <v>4017.0</v>
      </c>
      <c r="BC6" s="1">
        <v>4024.0</v>
      </c>
      <c r="BD6" s="1" t="s">
        <v>74</v>
      </c>
      <c r="BE6" s="1" t="s">
        <v>129</v>
      </c>
      <c r="BF6" s="2" t="str">
        <f>HYPERLINK("http://dx.doi.org/10.1007/s13762-015-0832-z","http://dx.doi.org/10.1007/s13762-015-0832-z")</f>
        <v>http://dx.doi.org/10.1007/s13762-015-0832-z</v>
      </c>
      <c r="BG6" s="1" t="s">
        <v>74</v>
      </c>
      <c r="BH6" s="1" t="s">
        <v>74</v>
      </c>
      <c r="BI6" s="1" t="s">
        <v>74</v>
      </c>
      <c r="BJ6" s="1" t="s">
        <v>74</v>
      </c>
      <c r="BK6" s="1" t="s">
        <v>74</v>
      </c>
      <c r="BL6" s="1" t="s">
        <v>74</v>
      </c>
      <c r="BM6" s="1" t="s">
        <v>74</v>
      </c>
      <c r="BN6" s="1" t="s">
        <v>74</v>
      </c>
      <c r="BO6" s="1" t="s">
        <v>74</v>
      </c>
      <c r="BP6" s="1" t="s">
        <v>74</v>
      </c>
      <c r="BQ6" s="1" t="s">
        <v>74</v>
      </c>
      <c r="BR6" s="1" t="s">
        <v>74</v>
      </c>
      <c r="BS6" s="1" t="s">
        <v>130</v>
      </c>
      <c r="BT6" s="1" t="str">
        <f>HYPERLINK("https%3A%2F%2Fwww.webofscience.com%2Fwos%2Fwoscc%2Ffull-record%2FWOS:000365756300029","View Full Record in Web of Science")</f>
        <v>View Full Record in Web of Science</v>
      </c>
    </row>
    <row r="7" ht="12.75" customHeight="1">
      <c r="A7" s="1" t="s">
        <v>72</v>
      </c>
      <c r="B7" s="1" t="s">
        <v>131</v>
      </c>
      <c r="C7" s="1" t="s">
        <v>74</v>
      </c>
      <c r="D7" s="1" t="s">
        <v>74</v>
      </c>
      <c r="E7" s="1" t="s">
        <v>74</v>
      </c>
      <c r="F7" s="1" t="s">
        <v>132</v>
      </c>
      <c r="G7" s="1" t="s">
        <v>74</v>
      </c>
      <c r="H7" s="1" t="s">
        <v>74</v>
      </c>
      <c r="I7" s="1" t="s">
        <v>133</v>
      </c>
      <c r="J7" s="1" t="s">
        <v>134</v>
      </c>
      <c r="K7" s="1" t="s">
        <v>74</v>
      </c>
      <c r="L7" s="1" t="s">
        <v>74</v>
      </c>
      <c r="M7" s="1" t="s">
        <v>74</v>
      </c>
      <c r="N7" s="1" t="s">
        <v>74</v>
      </c>
      <c r="O7" s="1" t="s">
        <v>74</v>
      </c>
      <c r="P7" s="1" t="s">
        <v>74</v>
      </c>
      <c r="Q7" s="1" t="s">
        <v>74</v>
      </c>
      <c r="R7" s="1" t="s">
        <v>74</v>
      </c>
      <c r="S7" s="1" t="s">
        <v>74</v>
      </c>
      <c r="T7" s="1" t="s">
        <v>74</v>
      </c>
      <c r="U7" s="1" t="s">
        <v>74</v>
      </c>
      <c r="V7" s="1" t="s">
        <v>135</v>
      </c>
      <c r="W7" s="1" t="s">
        <v>74</v>
      </c>
      <c r="X7" s="1" t="s">
        <v>74</v>
      </c>
      <c r="Y7" s="1" t="s">
        <v>74</v>
      </c>
      <c r="Z7" s="1" t="s">
        <v>74</v>
      </c>
      <c r="AA7" s="1" t="s">
        <v>136</v>
      </c>
      <c r="AB7" s="1" t="s">
        <v>137</v>
      </c>
      <c r="AC7" s="1" t="s">
        <v>74</v>
      </c>
      <c r="AD7" s="1" t="s">
        <v>74</v>
      </c>
      <c r="AE7" s="1" t="s">
        <v>74</v>
      </c>
      <c r="AF7" s="1" t="s">
        <v>74</v>
      </c>
      <c r="AG7" s="1" t="s">
        <v>74</v>
      </c>
      <c r="AH7" s="1" t="s">
        <v>74</v>
      </c>
      <c r="AI7" s="1" t="s">
        <v>74</v>
      </c>
      <c r="AJ7" s="1" t="s">
        <v>74</v>
      </c>
      <c r="AK7" s="1" t="s">
        <v>74</v>
      </c>
      <c r="AL7" s="1" t="s">
        <v>74</v>
      </c>
      <c r="AM7" s="1" t="s">
        <v>74</v>
      </c>
      <c r="AN7" s="1" t="s">
        <v>74</v>
      </c>
      <c r="AO7" s="1" t="s">
        <v>138</v>
      </c>
      <c r="AP7" s="1" t="s">
        <v>74</v>
      </c>
      <c r="AQ7" s="1" t="s">
        <v>74</v>
      </c>
      <c r="AR7" s="1" t="s">
        <v>74</v>
      </c>
      <c r="AS7" s="1" t="s">
        <v>74</v>
      </c>
      <c r="AT7" s="1" t="s">
        <v>139</v>
      </c>
      <c r="AU7" s="1">
        <v>2015.0</v>
      </c>
      <c r="AV7" s="1">
        <v>18.0</v>
      </c>
      <c r="AW7" s="1">
        <v>4.0</v>
      </c>
      <c r="AX7" s="1" t="s">
        <v>74</v>
      </c>
      <c r="AY7" s="1" t="s">
        <v>74</v>
      </c>
      <c r="AZ7" s="1" t="s">
        <v>74</v>
      </c>
      <c r="BA7" s="1" t="s">
        <v>74</v>
      </c>
      <c r="BB7" s="1">
        <v>259.0</v>
      </c>
      <c r="BC7" s="1">
        <v>274.0</v>
      </c>
      <c r="BD7" s="1" t="s">
        <v>74</v>
      </c>
      <c r="BE7" s="1" t="s">
        <v>140</v>
      </c>
      <c r="BF7" s="2" t="str">
        <f>HYPERLINK("http://dx.doi.org/10.1016/j.brq.2015.01.002","http://dx.doi.org/10.1016/j.brq.2015.01.002")</f>
        <v>http://dx.doi.org/10.1016/j.brq.2015.01.002</v>
      </c>
      <c r="BG7" s="1" t="s">
        <v>74</v>
      </c>
      <c r="BH7" s="1" t="s">
        <v>74</v>
      </c>
      <c r="BI7" s="1" t="s">
        <v>74</v>
      </c>
      <c r="BJ7" s="1" t="s">
        <v>74</v>
      </c>
      <c r="BK7" s="1" t="s">
        <v>74</v>
      </c>
      <c r="BL7" s="1" t="s">
        <v>74</v>
      </c>
      <c r="BM7" s="1" t="s">
        <v>74</v>
      </c>
      <c r="BN7" s="1" t="s">
        <v>74</v>
      </c>
      <c r="BO7" s="1" t="s">
        <v>74</v>
      </c>
      <c r="BP7" s="1" t="s">
        <v>74</v>
      </c>
      <c r="BQ7" s="1" t="s">
        <v>74</v>
      </c>
      <c r="BR7" s="1" t="s">
        <v>74</v>
      </c>
      <c r="BS7" s="1" t="s">
        <v>141</v>
      </c>
      <c r="BT7" s="1" t="str">
        <f>HYPERLINK("https%3A%2F%2Fwww.webofscience.com%2Fwos%2Fwoscc%2Ffull-record%2FWOS:000362621400004","View Full Record in Web of Science")</f>
        <v>View Full Record in Web of Science</v>
      </c>
    </row>
    <row r="8" ht="12.75" customHeight="1">
      <c r="A8" s="1" t="s">
        <v>72</v>
      </c>
      <c r="B8" s="1" t="s">
        <v>142</v>
      </c>
      <c r="C8" s="1" t="s">
        <v>74</v>
      </c>
      <c r="D8" s="1" t="s">
        <v>74</v>
      </c>
      <c r="E8" s="1" t="s">
        <v>74</v>
      </c>
      <c r="F8" s="1" t="s">
        <v>143</v>
      </c>
      <c r="G8" s="1" t="s">
        <v>74</v>
      </c>
      <c r="H8" s="1" t="s">
        <v>74</v>
      </c>
      <c r="I8" s="1" t="s">
        <v>144</v>
      </c>
      <c r="J8" s="1" t="s">
        <v>145</v>
      </c>
      <c r="K8" s="1" t="s">
        <v>74</v>
      </c>
      <c r="L8" s="1" t="s">
        <v>74</v>
      </c>
      <c r="M8" s="1" t="s">
        <v>74</v>
      </c>
      <c r="N8" s="1" t="s">
        <v>74</v>
      </c>
      <c r="O8" s="1" t="s">
        <v>74</v>
      </c>
      <c r="P8" s="1" t="s">
        <v>74</v>
      </c>
      <c r="Q8" s="1" t="s">
        <v>74</v>
      </c>
      <c r="R8" s="1" t="s">
        <v>74</v>
      </c>
      <c r="S8" s="1" t="s">
        <v>74</v>
      </c>
      <c r="T8" s="1" t="s">
        <v>74</v>
      </c>
      <c r="U8" s="1" t="s">
        <v>74</v>
      </c>
      <c r="V8" s="1" t="s">
        <v>146</v>
      </c>
      <c r="W8" s="1" t="s">
        <v>74</v>
      </c>
      <c r="X8" s="1" t="s">
        <v>74</v>
      </c>
      <c r="Y8" s="1" t="s">
        <v>74</v>
      </c>
      <c r="Z8" s="1" t="s">
        <v>74</v>
      </c>
      <c r="AA8" s="1" t="s">
        <v>147</v>
      </c>
      <c r="AB8" s="1" t="s">
        <v>148</v>
      </c>
      <c r="AC8" s="1" t="s">
        <v>74</v>
      </c>
      <c r="AD8" s="1" t="s">
        <v>74</v>
      </c>
      <c r="AE8" s="1" t="s">
        <v>74</v>
      </c>
      <c r="AF8" s="1" t="s">
        <v>74</v>
      </c>
      <c r="AG8" s="1" t="s">
        <v>74</v>
      </c>
      <c r="AH8" s="1" t="s">
        <v>74</v>
      </c>
      <c r="AI8" s="1" t="s">
        <v>74</v>
      </c>
      <c r="AJ8" s="1" t="s">
        <v>74</v>
      </c>
      <c r="AK8" s="1" t="s">
        <v>74</v>
      </c>
      <c r="AL8" s="1" t="s">
        <v>74</v>
      </c>
      <c r="AM8" s="1" t="s">
        <v>74</v>
      </c>
      <c r="AN8" s="1" t="s">
        <v>74</v>
      </c>
      <c r="AO8" s="1" t="s">
        <v>149</v>
      </c>
      <c r="AP8" s="1" t="s">
        <v>150</v>
      </c>
      <c r="AQ8" s="1" t="s">
        <v>74</v>
      </c>
      <c r="AR8" s="1" t="s">
        <v>74</v>
      </c>
      <c r="AS8" s="1" t="s">
        <v>74</v>
      </c>
      <c r="AT8" s="1" t="s">
        <v>151</v>
      </c>
      <c r="AU8" s="1">
        <v>2015.0</v>
      </c>
      <c r="AV8" s="1">
        <v>64.0</v>
      </c>
      <c r="AW8" s="1">
        <v>10.0</v>
      </c>
      <c r="AX8" s="1" t="s">
        <v>74</v>
      </c>
      <c r="AY8" s="1" t="s">
        <v>74</v>
      </c>
      <c r="AZ8" s="1" t="s">
        <v>74</v>
      </c>
      <c r="BA8" s="1" t="s">
        <v>74</v>
      </c>
      <c r="BB8" s="1">
        <v>1442.0</v>
      </c>
      <c r="BC8" s="1">
        <v>1450.0</v>
      </c>
      <c r="BD8" s="1" t="s">
        <v>74</v>
      </c>
      <c r="BE8" s="1" t="s">
        <v>152</v>
      </c>
      <c r="BF8" s="2" t="str">
        <f>HYPERLINK("http://dx.doi.org/10.1002/pi.4939","http://dx.doi.org/10.1002/pi.4939")</f>
        <v>http://dx.doi.org/10.1002/pi.4939</v>
      </c>
      <c r="BG8" s="1" t="s">
        <v>74</v>
      </c>
      <c r="BH8" s="1" t="s">
        <v>74</v>
      </c>
      <c r="BI8" s="1" t="s">
        <v>74</v>
      </c>
      <c r="BJ8" s="1" t="s">
        <v>74</v>
      </c>
      <c r="BK8" s="1" t="s">
        <v>74</v>
      </c>
      <c r="BL8" s="1" t="s">
        <v>74</v>
      </c>
      <c r="BM8" s="1" t="s">
        <v>74</v>
      </c>
      <c r="BN8" s="1" t="s">
        <v>74</v>
      </c>
      <c r="BO8" s="1" t="s">
        <v>74</v>
      </c>
      <c r="BP8" s="1" t="s">
        <v>74</v>
      </c>
      <c r="BQ8" s="1" t="s">
        <v>74</v>
      </c>
      <c r="BR8" s="1" t="s">
        <v>74</v>
      </c>
      <c r="BS8" s="1" t="s">
        <v>153</v>
      </c>
      <c r="BT8" s="1" t="str">
        <f>HYPERLINK("https%3A%2F%2Fwww.webofscience.com%2Fwos%2Fwoscc%2Ffull-record%2FWOS:000360820300018","View Full Record in Web of Science")</f>
        <v>View Full Record in Web of Science</v>
      </c>
    </row>
    <row r="9" ht="12.75" customHeight="1">
      <c r="A9" s="1" t="s">
        <v>154</v>
      </c>
      <c r="B9" s="1" t="s">
        <v>155</v>
      </c>
      <c r="C9" s="1" t="s">
        <v>74</v>
      </c>
      <c r="D9" s="1" t="s">
        <v>74</v>
      </c>
      <c r="E9" s="1" t="s">
        <v>74</v>
      </c>
      <c r="F9" s="1" t="s">
        <v>156</v>
      </c>
      <c r="G9" s="1" t="s">
        <v>74</v>
      </c>
      <c r="H9" s="1" t="s">
        <v>74</v>
      </c>
      <c r="I9" s="1" t="s">
        <v>157</v>
      </c>
      <c r="J9" s="1" t="s">
        <v>158</v>
      </c>
      <c r="K9" s="1" t="s">
        <v>74</v>
      </c>
      <c r="L9" s="1" t="s">
        <v>74</v>
      </c>
      <c r="M9" s="1" t="s">
        <v>74</v>
      </c>
      <c r="N9" s="1" t="s">
        <v>74</v>
      </c>
      <c r="O9" s="1" t="s">
        <v>159</v>
      </c>
      <c r="P9" s="1" t="s">
        <v>160</v>
      </c>
      <c r="Q9" s="1" t="s">
        <v>161</v>
      </c>
      <c r="R9" s="1" t="s">
        <v>74</v>
      </c>
      <c r="S9" s="1" t="s">
        <v>74</v>
      </c>
      <c r="T9" s="1" t="s">
        <v>74</v>
      </c>
      <c r="U9" s="1" t="s">
        <v>74</v>
      </c>
      <c r="V9" s="1" t="s">
        <v>162</v>
      </c>
      <c r="W9" s="1" t="s">
        <v>74</v>
      </c>
      <c r="X9" s="1" t="s">
        <v>74</v>
      </c>
      <c r="Y9" s="1" t="s">
        <v>74</v>
      </c>
      <c r="Z9" s="1" t="s">
        <v>74</v>
      </c>
      <c r="AA9" s="1" t="s">
        <v>163</v>
      </c>
      <c r="AB9" s="1" t="s">
        <v>164</v>
      </c>
      <c r="AC9" s="1" t="s">
        <v>74</v>
      </c>
      <c r="AD9" s="1" t="s">
        <v>74</v>
      </c>
      <c r="AE9" s="1" t="s">
        <v>74</v>
      </c>
      <c r="AF9" s="1" t="s">
        <v>74</v>
      </c>
      <c r="AG9" s="1" t="s">
        <v>74</v>
      </c>
      <c r="AH9" s="1" t="s">
        <v>74</v>
      </c>
      <c r="AI9" s="1" t="s">
        <v>74</v>
      </c>
      <c r="AJ9" s="1" t="s">
        <v>74</v>
      </c>
      <c r="AK9" s="1" t="s">
        <v>74</v>
      </c>
      <c r="AL9" s="1" t="s">
        <v>74</v>
      </c>
      <c r="AM9" s="1" t="s">
        <v>74</v>
      </c>
      <c r="AN9" s="1" t="s">
        <v>74</v>
      </c>
      <c r="AO9" s="1" t="s">
        <v>165</v>
      </c>
      <c r="AP9" s="1" t="s">
        <v>74</v>
      </c>
      <c r="AQ9" s="1" t="s">
        <v>74</v>
      </c>
      <c r="AR9" s="1" t="s">
        <v>74</v>
      </c>
      <c r="AS9" s="1" t="s">
        <v>74</v>
      </c>
      <c r="AT9" s="1" t="s">
        <v>74</v>
      </c>
      <c r="AU9" s="1">
        <v>2015.0</v>
      </c>
      <c r="AV9" s="1">
        <v>2.0</v>
      </c>
      <c r="AW9" s="1">
        <v>2.0</v>
      </c>
      <c r="AX9" s="1" t="s">
        <v>74</v>
      </c>
      <c r="AY9" s="1" t="s">
        <v>74</v>
      </c>
      <c r="AZ9" s="1" t="s">
        <v>74</v>
      </c>
      <c r="BA9" s="1" t="s">
        <v>74</v>
      </c>
      <c r="BB9" s="1">
        <v>661.0</v>
      </c>
      <c r="BC9" s="1">
        <v>668.0</v>
      </c>
      <c r="BD9" s="1" t="s">
        <v>74</v>
      </c>
      <c r="BE9" s="1" t="s">
        <v>166</v>
      </c>
      <c r="BF9" s="2" t="str">
        <f>HYPERLINK("http://dx.doi.org/10.1016/j.matpr.2015.05.092","http://dx.doi.org/10.1016/j.matpr.2015.05.092")</f>
        <v>http://dx.doi.org/10.1016/j.matpr.2015.05.092</v>
      </c>
      <c r="BG9" s="1" t="s">
        <v>74</v>
      </c>
      <c r="BH9" s="1" t="s">
        <v>74</v>
      </c>
      <c r="BI9" s="1" t="s">
        <v>74</v>
      </c>
      <c r="BJ9" s="1" t="s">
        <v>74</v>
      </c>
      <c r="BK9" s="1" t="s">
        <v>74</v>
      </c>
      <c r="BL9" s="1" t="s">
        <v>74</v>
      </c>
      <c r="BM9" s="1" t="s">
        <v>74</v>
      </c>
      <c r="BN9" s="1" t="s">
        <v>74</v>
      </c>
      <c r="BO9" s="1" t="s">
        <v>74</v>
      </c>
      <c r="BP9" s="1" t="s">
        <v>74</v>
      </c>
      <c r="BQ9" s="1" t="s">
        <v>74</v>
      </c>
      <c r="BR9" s="1" t="s">
        <v>74</v>
      </c>
      <c r="BS9" s="1" t="s">
        <v>167</v>
      </c>
      <c r="BT9" s="1" t="str">
        <f>HYPERLINK("https%3A%2F%2Fwww.webofscience.com%2Fwos%2Fwoscc%2Ffull-record%2FWOS:000358002800025","View Full Record in Web of Science")</f>
        <v>View Full Record in Web of Science</v>
      </c>
    </row>
    <row r="10" ht="12.75" customHeight="1">
      <c r="A10" s="1" t="s">
        <v>72</v>
      </c>
      <c r="B10" s="1" t="s">
        <v>168</v>
      </c>
      <c r="C10" s="1" t="s">
        <v>74</v>
      </c>
      <c r="D10" s="1" t="s">
        <v>74</v>
      </c>
      <c r="E10" s="1" t="s">
        <v>74</v>
      </c>
      <c r="F10" s="1" t="s">
        <v>169</v>
      </c>
      <c r="G10" s="1" t="s">
        <v>74</v>
      </c>
      <c r="H10" s="1" t="s">
        <v>74</v>
      </c>
      <c r="I10" s="1" t="s">
        <v>170</v>
      </c>
      <c r="J10" s="1" t="s">
        <v>171</v>
      </c>
      <c r="K10" s="1" t="s">
        <v>74</v>
      </c>
      <c r="L10" s="1" t="s">
        <v>74</v>
      </c>
      <c r="M10" s="1" t="s">
        <v>74</v>
      </c>
      <c r="N10" s="1" t="s">
        <v>74</v>
      </c>
      <c r="O10" s="1" t="s">
        <v>74</v>
      </c>
      <c r="P10" s="1" t="s">
        <v>74</v>
      </c>
      <c r="Q10" s="1" t="s">
        <v>74</v>
      </c>
      <c r="R10" s="1" t="s">
        <v>74</v>
      </c>
      <c r="S10" s="1" t="s">
        <v>74</v>
      </c>
      <c r="T10" s="1" t="s">
        <v>74</v>
      </c>
      <c r="U10" s="1" t="s">
        <v>74</v>
      </c>
      <c r="V10" s="1" t="s">
        <v>172</v>
      </c>
      <c r="W10" s="1" t="s">
        <v>74</v>
      </c>
      <c r="X10" s="1" t="s">
        <v>74</v>
      </c>
      <c r="Y10" s="1" t="s">
        <v>74</v>
      </c>
      <c r="Z10" s="1" t="s">
        <v>74</v>
      </c>
      <c r="AA10" s="1" t="s">
        <v>173</v>
      </c>
      <c r="AB10" s="1" t="s">
        <v>174</v>
      </c>
      <c r="AC10" s="1" t="s">
        <v>74</v>
      </c>
      <c r="AD10" s="1" t="s">
        <v>74</v>
      </c>
      <c r="AE10" s="1" t="s">
        <v>74</v>
      </c>
      <c r="AF10" s="1" t="s">
        <v>74</v>
      </c>
      <c r="AG10" s="1" t="s">
        <v>74</v>
      </c>
      <c r="AH10" s="1" t="s">
        <v>74</v>
      </c>
      <c r="AI10" s="1" t="s">
        <v>74</v>
      </c>
      <c r="AJ10" s="1" t="s">
        <v>74</v>
      </c>
      <c r="AK10" s="1" t="s">
        <v>74</v>
      </c>
      <c r="AL10" s="1" t="s">
        <v>74</v>
      </c>
      <c r="AM10" s="1" t="s">
        <v>74</v>
      </c>
      <c r="AN10" s="1" t="s">
        <v>74</v>
      </c>
      <c r="AO10" s="1" t="s">
        <v>175</v>
      </c>
      <c r="AP10" s="1" t="s">
        <v>74</v>
      </c>
      <c r="AQ10" s="1" t="s">
        <v>74</v>
      </c>
      <c r="AR10" s="1" t="s">
        <v>74</v>
      </c>
      <c r="AS10" s="1" t="s">
        <v>74</v>
      </c>
      <c r="AT10" s="1" t="s">
        <v>176</v>
      </c>
      <c r="AU10" s="1">
        <v>2011.0</v>
      </c>
      <c r="AV10" s="1">
        <v>23.0</v>
      </c>
      <c r="AW10" s="1">
        <v>3.0</v>
      </c>
      <c r="AX10" s="1" t="s">
        <v>74</v>
      </c>
      <c r="AY10" s="1" t="s">
        <v>74</v>
      </c>
      <c r="AZ10" s="1" t="s">
        <v>74</v>
      </c>
      <c r="BA10" s="1" t="s">
        <v>74</v>
      </c>
      <c r="BB10" s="1">
        <v>711.0</v>
      </c>
      <c r="BC10" s="1">
        <v>718.0</v>
      </c>
      <c r="BD10" s="1" t="s">
        <v>74</v>
      </c>
      <c r="BE10" s="1" t="s">
        <v>177</v>
      </c>
      <c r="BF10" s="2" t="str">
        <f>HYPERLINK("http://dx.doi.org/10.1002/elan.201000599","http://dx.doi.org/10.1002/elan.201000599")</f>
        <v>http://dx.doi.org/10.1002/elan.201000599</v>
      </c>
      <c r="BG10" s="1" t="s">
        <v>74</v>
      </c>
      <c r="BH10" s="1" t="s">
        <v>74</v>
      </c>
      <c r="BI10" s="1" t="s">
        <v>74</v>
      </c>
      <c r="BJ10" s="1" t="s">
        <v>74</v>
      </c>
      <c r="BK10" s="1" t="s">
        <v>74</v>
      </c>
      <c r="BL10" s="1" t="s">
        <v>74</v>
      </c>
      <c r="BM10" s="1" t="s">
        <v>74</v>
      </c>
      <c r="BN10" s="1" t="s">
        <v>74</v>
      </c>
      <c r="BO10" s="1" t="s">
        <v>74</v>
      </c>
      <c r="BP10" s="1" t="s">
        <v>74</v>
      </c>
      <c r="BQ10" s="1" t="s">
        <v>74</v>
      </c>
      <c r="BR10" s="1" t="s">
        <v>74</v>
      </c>
      <c r="BS10" s="1" t="s">
        <v>178</v>
      </c>
      <c r="BT10" s="1" t="str">
        <f>HYPERLINK("https%3A%2F%2Fwww.webofscience.com%2Fwos%2Fwoscc%2Ffull-record%2FWOS:000288093400020","View Full Record in Web of Science")</f>
        <v>View Full Record in Web of Science</v>
      </c>
    </row>
    <row r="11" ht="12.75" customHeight="1">
      <c r="A11" s="1" t="s">
        <v>72</v>
      </c>
      <c r="B11" s="1" t="s">
        <v>179</v>
      </c>
      <c r="C11" s="1" t="s">
        <v>74</v>
      </c>
      <c r="D11" s="1" t="s">
        <v>74</v>
      </c>
      <c r="E11" s="1" t="s">
        <v>74</v>
      </c>
      <c r="F11" s="1" t="s">
        <v>180</v>
      </c>
      <c r="G11" s="1" t="s">
        <v>74</v>
      </c>
      <c r="H11" s="1" t="s">
        <v>74</v>
      </c>
      <c r="I11" s="1" t="s">
        <v>181</v>
      </c>
      <c r="J11" s="1" t="s">
        <v>182</v>
      </c>
      <c r="K11" s="1" t="s">
        <v>74</v>
      </c>
      <c r="L11" s="1" t="s">
        <v>74</v>
      </c>
      <c r="M11" s="1" t="s">
        <v>74</v>
      </c>
      <c r="N11" s="1" t="s">
        <v>74</v>
      </c>
      <c r="O11" s="1" t="s">
        <v>74</v>
      </c>
      <c r="P11" s="1" t="s">
        <v>74</v>
      </c>
      <c r="Q11" s="1" t="s">
        <v>74</v>
      </c>
      <c r="R11" s="1" t="s">
        <v>74</v>
      </c>
      <c r="S11" s="1" t="s">
        <v>74</v>
      </c>
      <c r="T11" s="1" t="s">
        <v>74</v>
      </c>
      <c r="U11" s="1" t="s">
        <v>74</v>
      </c>
      <c r="V11" s="1" t="s">
        <v>183</v>
      </c>
      <c r="W11" s="1" t="s">
        <v>74</v>
      </c>
      <c r="X11" s="1" t="s">
        <v>74</v>
      </c>
      <c r="Y11" s="1" t="s">
        <v>74</v>
      </c>
      <c r="Z11" s="1" t="s">
        <v>74</v>
      </c>
      <c r="AA11" s="1" t="s">
        <v>184</v>
      </c>
      <c r="AB11" s="1" t="s">
        <v>185</v>
      </c>
      <c r="AC11" s="1" t="s">
        <v>74</v>
      </c>
      <c r="AD11" s="1" t="s">
        <v>74</v>
      </c>
      <c r="AE11" s="1" t="s">
        <v>74</v>
      </c>
      <c r="AF11" s="1" t="s">
        <v>74</v>
      </c>
      <c r="AG11" s="1" t="s">
        <v>74</v>
      </c>
      <c r="AH11" s="1" t="s">
        <v>74</v>
      </c>
      <c r="AI11" s="1" t="s">
        <v>74</v>
      </c>
      <c r="AJ11" s="1" t="s">
        <v>74</v>
      </c>
      <c r="AK11" s="1" t="s">
        <v>74</v>
      </c>
      <c r="AL11" s="1" t="s">
        <v>74</v>
      </c>
      <c r="AM11" s="1" t="s">
        <v>74</v>
      </c>
      <c r="AN11" s="1" t="s">
        <v>74</v>
      </c>
      <c r="AO11" s="1" t="s">
        <v>186</v>
      </c>
      <c r="AP11" s="1" t="s">
        <v>74</v>
      </c>
      <c r="AQ11" s="1" t="s">
        <v>74</v>
      </c>
      <c r="AR11" s="1" t="s">
        <v>74</v>
      </c>
      <c r="AS11" s="1" t="s">
        <v>74</v>
      </c>
      <c r="AT11" s="1" t="s">
        <v>187</v>
      </c>
      <c r="AU11" s="1">
        <v>2010.0</v>
      </c>
      <c r="AV11" s="1">
        <v>5.0</v>
      </c>
      <c r="AW11" s="1">
        <v>7.0</v>
      </c>
      <c r="AX11" s="1" t="s">
        <v>74</v>
      </c>
      <c r="AY11" s="1" t="s">
        <v>74</v>
      </c>
      <c r="AZ11" s="1" t="s">
        <v>74</v>
      </c>
      <c r="BA11" s="1" t="s">
        <v>74</v>
      </c>
      <c r="BB11" s="1" t="s">
        <v>74</v>
      </c>
      <c r="BC11" s="1" t="s">
        <v>74</v>
      </c>
      <c r="BD11" s="1" t="s">
        <v>188</v>
      </c>
      <c r="BE11" s="1" t="s">
        <v>189</v>
      </c>
      <c r="BF11" s="2" t="str">
        <f>HYPERLINK("http://dx.doi.org/10.1371/journal.pone.0011685","http://dx.doi.org/10.1371/journal.pone.0011685")</f>
        <v>http://dx.doi.org/10.1371/journal.pone.0011685</v>
      </c>
      <c r="BG11" s="1" t="s">
        <v>74</v>
      </c>
      <c r="BH11" s="1" t="s">
        <v>74</v>
      </c>
      <c r="BI11" s="1" t="s">
        <v>74</v>
      </c>
      <c r="BJ11" s="1" t="s">
        <v>74</v>
      </c>
      <c r="BK11" s="1" t="s">
        <v>74</v>
      </c>
      <c r="BL11" s="1" t="s">
        <v>74</v>
      </c>
      <c r="BM11" s="1" t="s">
        <v>74</v>
      </c>
      <c r="BN11" s="1">
        <v>2.0686597E7</v>
      </c>
      <c r="BO11" s="1" t="s">
        <v>74</v>
      </c>
      <c r="BP11" s="1" t="s">
        <v>74</v>
      </c>
      <c r="BQ11" s="1" t="s">
        <v>74</v>
      </c>
      <c r="BR11" s="1" t="s">
        <v>74</v>
      </c>
      <c r="BS11" s="1" t="s">
        <v>190</v>
      </c>
      <c r="BT11" s="1" t="str">
        <f>HYPERLINK("https%3A%2F%2Fwww.webofscience.com%2Fwos%2Fwoscc%2Ffull-record%2FWOS:000280520200003","View Full Record in Web of Science")</f>
        <v>View Full Record in Web of Science</v>
      </c>
    </row>
    <row r="12" ht="12.75" customHeight="1">
      <c r="A12" s="1" t="s">
        <v>72</v>
      </c>
      <c r="B12" s="1" t="s">
        <v>191</v>
      </c>
      <c r="C12" s="1" t="s">
        <v>74</v>
      </c>
      <c r="D12" s="1" t="s">
        <v>74</v>
      </c>
      <c r="E12" s="1" t="s">
        <v>74</v>
      </c>
      <c r="F12" s="1" t="s">
        <v>192</v>
      </c>
      <c r="G12" s="1" t="s">
        <v>74</v>
      </c>
      <c r="H12" s="1" t="s">
        <v>74</v>
      </c>
      <c r="I12" s="1" t="s">
        <v>193</v>
      </c>
      <c r="J12" s="1" t="s">
        <v>194</v>
      </c>
      <c r="K12" s="1" t="s">
        <v>74</v>
      </c>
      <c r="L12" s="1" t="s">
        <v>74</v>
      </c>
      <c r="M12" s="1" t="s">
        <v>74</v>
      </c>
      <c r="N12" s="1" t="s">
        <v>74</v>
      </c>
      <c r="O12" s="1" t="s">
        <v>74</v>
      </c>
      <c r="P12" s="1" t="s">
        <v>74</v>
      </c>
      <c r="Q12" s="1" t="s">
        <v>74</v>
      </c>
      <c r="R12" s="1" t="s">
        <v>74</v>
      </c>
      <c r="S12" s="1" t="s">
        <v>74</v>
      </c>
      <c r="T12" s="1" t="s">
        <v>74</v>
      </c>
      <c r="U12" s="1" t="s">
        <v>74</v>
      </c>
      <c r="V12" s="1" t="s">
        <v>195</v>
      </c>
      <c r="W12" s="1" t="s">
        <v>74</v>
      </c>
      <c r="X12" s="1" t="s">
        <v>74</v>
      </c>
      <c r="Y12" s="1" t="s">
        <v>74</v>
      </c>
      <c r="Z12" s="1" t="s">
        <v>74</v>
      </c>
      <c r="AA12" s="1" t="s">
        <v>196</v>
      </c>
      <c r="AB12" s="1" t="s">
        <v>197</v>
      </c>
      <c r="AC12" s="1" t="s">
        <v>74</v>
      </c>
      <c r="AD12" s="1" t="s">
        <v>74</v>
      </c>
      <c r="AE12" s="1" t="s">
        <v>74</v>
      </c>
      <c r="AF12" s="1" t="s">
        <v>74</v>
      </c>
      <c r="AG12" s="1" t="s">
        <v>74</v>
      </c>
      <c r="AH12" s="1" t="s">
        <v>74</v>
      </c>
      <c r="AI12" s="1" t="s">
        <v>74</v>
      </c>
      <c r="AJ12" s="1" t="s">
        <v>74</v>
      </c>
      <c r="AK12" s="1" t="s">
        <v>74</v>
      </c>
      <c r="AL12" s="1" t="s">
        <v>74</v>
      </c>
      <c r="AM12" s="1" t="s">
        <v>74</v>
      </c>
      <c r="AN12" s="1" t="s">
        <v>74</v>
      </c>
      <c r="AO12" s="1" t="s">
        <v>198</v>
      </c>
      <c r="AP12" s="1" t="s">
        <v>199</v>
      </c>
      <c r="AQ12" s="1" t="s">
        <v>74</v>
      </c>
      <c r="AR12" s="1" t="s">
        <v>74</v>
      </c>
      <c r="AS12" s="1" t="s">
        <v>74</v>
      </c>
      <c r="AT12" s="1" t="s">
        <v>200</v>
      </c>
      <c r="AU12" s="1">
        <v>2010.0</v>
      </c>
      <c r="AV12" s="1">
        <v>179.0</v>
      </c>
      <c r="AW12" s="1" t="s">
        <v>201</v>
      </c>
      <c r="AX12" s="1" t="s">
        <v>74</v>
      </c>
      <c r="AY12" s="1" t="s">
        <v>74</v>
      </c>
      <c r="AZ12" s="1" t="s">
        <v>74</v>
      </c>
      <c r="BA12" s="1" t="s">
        <v>74</v>
      </c>
      <c r="BB12" s="1">
        <v>795.0</v>
      </c>
      <c r="BC12" s="1">
        <v>803.0</v>
      </c>
      <c r="BD12" s="1" t="s">
        <v>74</v>
      </c>
      <c r="BE12" s="1" t="s">
        <v>202</v>
      </c>
      <c r="BF12" s="2" t="str">
        <f>HYPERLINK("http://dx.doi.org/10.1016/j.jhazmat.2010.03.074","http://dx.doi.org/10.1016/j.jhazmat.2010.03.074")</f>
        <v>http://dx.doi.org/10.1016/j.jhazmat.2010.03.074</v>
      </c>
      <c r="BG12" s="1" t="s">
        <v>74</v>
      </c>
      <c r="BH12" s="1" t="s">
        <v>74</v>
      </c>
      <c r="BI12" s="1" t="s">
        <v>74</v>
      </c>
      <c r="BJ12" s="1" t="s">
        <v>74</v>
      </c>
      <c r="BK12" s="1" t="s">
        <v>74</v>
      </c>
      <c r="BL12" s="1" t="s">
        <v>74</v>
      </c>
      <c r="BM12" s="1" t="s">
        <v>74</v>
      </c>
      <c r="BN12" s="1">
        <v>2.0399011E7</v>
      </c>
      <c r="BO12" s="1" t="s">
        <v>74</v>
      </c>
      <c r="BP12" s="1" t="s">
        <v>74</v>
      </c>
      <c r="BQ12" s="1" t="s">
        <v>74</v>
      </c>
      <c r="BR12" s="1" t="s">
        <v>74</v>
      </c>
      <c r="BS12" s="1" t="s">
        <v>203</v>
      </c>
      <c r="BT12" s="1" t="str">
        <f>HYPERLINK("https%3A%2F%2Fwww.webofscience.com%2Fwos%2Fwoscc%2Ffull-record%2FWOS:000278626700108","View Full Record in Web of Science")</f>
        <v>View Full Record in Web of Science</v>
      </c>
    </row>
    <row r="13" ht="12.75" customHeight="1">
      <c r="A13" s="1" t="s">
        <v>72</v>
      </c>
      <c r="B13" s="1" t="s">
        <v>204</v>
      </c>
      <c r="C13" s="1" t="s">
        <v>74</v>
      </c>
      <c r="D13" s="1" t="s">
        <v>74</v>
      </c>
      <c r="E13" s="1" t="s">
        <v>74</v>
      </c>
      <c r="F13" s="1" t="s">
        <v>204</v>
      </c>
      <c r="G13" s="1" t="s">
        <v>74</v>
      </c>
      <c r="H13" s="1" t="s">
        <v>74</v>
      </c>
      <c r="I13" s="1" t="s">
        <v>205</v>
      </c>
      <c r="J13" s="1" t="s">
        <v>206</v>
      </c>
      <c r="K13" s="1" t="s">
        <v>74</v>
      </c>
      <c r="L13" s="1" t="s">
        <v>74</v>
      </c>
      <c r="M13" s="1" t="s">
        <v>74</v>
      </c>
      <c r="N13" s="1" t="s">
        <v>74</v>
      </c>
      <c r="O13" s="1" t="s">
        <v>74</v>
      </c>
      <c r="P13" s="1" t="s">
        <v>74</v>
      </c>
      <c r="Q13" s="1" t="s">
        <v>74</v>
      </c>
      <c r="R13" s="1" t="s">
        <v>74</v>
      </c>
      <c r="S13" s="1" t="s">
        <v>74</v>
      </c>
      <c r="T13" s="1" t="s">
        <v>74</v>
      </c>
      <c r="U13" s="1" t="s">
        <v>74</v>
      </c>
      <c r="V13" s="1" t="s">
        <v>207</v>
      </c>
      <c r="W13" s="1" t="s">
        <v>74</v>
      </c>
      <c r="X13" s="1" t="s">
        <v>74</v>
      </c>
      <c r="Y13" s="1" t="s">
        <v>74</v>
      </c>
      <c r="Z13" s="1" t="s">
        <v>74</v>
      </c>
      <c r="AA13" s="1" t="s">
        <v>74</v>
      </c>
      <c r="AB13" s="1" t="s">
        <v>208</v>
      </c>
      <c r="AC13" s="1" t="s">
        <v>74</v>
      </c>
      <c r="AD13" s="1" t="s">
        <v>74</v>
      </c>
      <c r="AE13" s="1" t="s">
        <v>74</v>
      </c>
      <c r="AF13" s="1" t="s">
        <v>74</v>
      </c>
      <c r="AG13" s="1" t="s">
        <v>74</v>
      </c>
      <c r="AH13" s="1" t="s">
        <v>74</v>
      </c>
      <c r="AI13" s="1" t="s">
        <v>74</v>
      </c>
      <c r="AJ13" s="1" t="s">
        <v>74</v>
      </c>
      <c r="AK13" s="1" t="s">
        <v>74</v>
      </c>
      <c r="AL13" s="1" t="s">
        <v>74</v>
      </c>
      <c r="AM13" s="1" t="s">
        <v>74</v>
      </c>
      <c r="AN13" s="1" t="s">
        <v>74</v>
      </c>
      <c r="AO13" s="1" t="s">
        <v>209</v>
      </c>
      <c r="AP13" s="1" t="s">
        <v>74</v>
      </c>
      <c r="AQ13" s="1" t="s">
        <v>74</v>
      </c>
      <c r="AR13" s="1" t="s">
        <v>74</v>
      </c>
      <c r="AS13" s="1" t="s">
        <v>74</v>
      </c>
      <c r="AT13" s="1" t="s">
        <v>210</v>
      </c>
      <c r="AU13" s="1">
        <v>2005.0</v>
      </c>
      <c r="AV13" s="1">
        <v>50.0</v>
      </c>
      <c r="AW13" s="1">
        <v>1.0</v>
      </c>
      <c r="AX13" s="1" t="s">
        <v>74</v>
      </c>
      <c r="AY13" s="1" t="s">
        <v>74</v>
      </c>
      <c r="AZ13" s="1" t="s">
        <v>74</v>
      </c>
      <c r="BA13" s="1" t="s">
        <v>74</v>
      </c>
      <c r="BB13" s="1">
        <v>126.0</v>
      </c>
      <c r="BC13" s="1">
        <v>133.0</v>
      </c>
      <c r="BD13" s="1" t="s">
        <v>74</v>
      </c>
      <c r="BE13" s="1" t="s">
        <v>211</v>
      </c>
      <c r="BF13" s="2" t="str">
        <f>HYPERLINK("http://dx.doi.org/10.1016/j.brainresrev.2005.05.007","http://dx.doi.org/10.1016/j.brainresrev.2005.05.007")</f>
        <v>http://dx.doi.org/10.1016/j.brainresrev.2005.05.007</v>
      </c>
      <c r="BG13" s="1" t="s">
        <v>74</v>
      </c>
      <c r="BH13" s="1" t="s">
        <v>74</v>
      </c>
      <c r="BI13" s="1" t="s">
        <v>74</v>
      </c>
      <c r="BJ13" s="1" t="s">
        <v>74</v>
      </c>
      <c r="BK13" s="1" t="s">
        <v>74</v>
      </c>
      <c r="BL13" s="1" t="s">
        <v>74</v>
      </c>
      <c r="BM13" s="1" t="s">
        <v>74</v>
      </c>
      <c r="BN13" s="1">
        <v>1.6024085E7</v>
      </c>
      <c r="BO13" s="1" t="s">
        <v>74</v>
      </c>
      <c r="BP13" s="1" t="s">
        <v>74</v>
      </c>
      <c r="BQ13" s="1" t="s">
        <v>74</v>
      </c>
      <c r="BR13" s="1" t="s">
        <v>74</v>
      </c>
      <c r="BS13" s="1" t="s">
        <v>212</v>
      </c>
      <c r="BT13" s="1" t="str">
        <f>HYPERLINK("https%3A%2F%2Fwww.webofscience.com%2Fwos%2Fwoscc%2Ffull-record%2FWOS:000234057700010","View Full Record in Web of Science")</f>
        <v>View Full Record in Web of Science</v>
      </c>
    </row>
    <row r="14" ht="12.75" customHeight="1">
      <c r="A14" s="1" t="s">
        <v>72</v>
      </c>
      <c r="B14" s="1" t="s">
        <v>213</v>
      </c>
      <c r="C14" s="1" t="s">
        <v>74</v>
      </c>
      <c r="D14" s="1" t="s">
        <v>74</v>
      </c>
      <c r="E14" s="1" t="s">
        <v>74</v>
      </c>
      <c r="F14" s="1" t="s">
        <v>213</v>
      </c>
      <c r="G14" s="1" t="s">
        <v>74</v>
      </c>
      <c r="H14" s="1" t="s">
        <v>74</v>
      </c>
      <c r="I14" s="1" t="s">
        <v>214</v>
      </c>
      <c r="J14" s="1" t="s">
        <v>215</v>
      </c>
      <c r="K14" s="1" t="s">
        <v>74</v>
      </c>
      <c r="L14" s="1" t="s">
        <v>74</v>
      </c>
      <c r="M14" s="1" t="s">
        <v>74</v>
      </c>
      <c r="N14" s="1" t="s">
        <v>74</v>
      </c>
      <c r="O14" s="1" t="s">
        <v>74</v>
      </c>
      <c r="P14" s="1" t="s">
        <v>74</v>
      </c>
      <c r="Q14" s="1" t="s">
        <v>74</v>
      </c>
      <c r="R14" s="1" t="s">
        <v>74</v>
      </c>
      <c r="S14" s="1" t="s">
        <v>74</v>
      </c>
      <c r="T14" s="1" t="s">
        <v>74</v>
      </c>
      <c r="U14" s="1" t="s">
        <v>74</v>
      </c>
      <c r="V14" s="1" t="s">
        <v>216</v>
      </c>
      <c r="W14" s="1" t="s">
        <v>74</v>
      </c>
      <c r="X14" s="1" t="s">
        <v>74</v>
      </c>
      <c r="Y14" s="1" t="s">
        <v>74</v>
      </c>
      <c r="Z14" s="1" t="s">
        <v>74</v>
      </c>
      <c r="AA14" s="1" t="s">
        <v>217</v>
      </c>
      <c r="AB14" s="1" t="s">
        <v>218</v>
      </c>
      <c r="AC14" s="1" t="s">
        <v>74</v>
      </c>
      <c r="AD14" s="1" t="s">
        <v>74</v>
      </c>
      <c r="AE14" s="1" t="s">
        <v>74</v>
      </c>
      <c r="AF14" s="1" t="s">
        <v>74</v>
      </c>
      <c r="AG14" s="1" t="s">
        <v>74</v>
      </c>
      <c r="AH14" s="1" t="s">
        <v>74</v>
      </c>
      <c r="AI14" s="1" t="s">
        <v>74</v>
      </c>
      <c r="AJ14" s="1" t="s">
        <v>74</v>
      </c>
      <c r="AK14" s="1" t="s">
        <v>74</v>
      </c>
      <c r="AL14" s="1" t="s">
        <v>74</v>
      </c>
      <c r="AM14" s="1" t="s">
        <v>74</v>
      </c>
      <c r="AN14" s="1" t="s">
        <v>74</v>
      </c>
      <c r="AO14" s="1" t="s">
        <v>219</v>
      </c>
      <c r="AP14" s="1" t="s">
        <v>220</v>
      </c>
      <c r="AQ14" s="1" t="s">
        <v>74</v>
      </c>
      <c r="AR14" s="1" t="s">
        <v>74</v>
      </c>
      <c r="AS14" s="1" t="s">
        <v>74</v>
      </c>
      <c r="AT14" s="1" t="s">
        <v>221</v>
      </c>
      <c r="AU14" s="1">
        <v>2005.0</v>
      </c>
      <c r="AV14" s="1">
        <v>50.0</v>
      </c>
      <c r="AW14" s="1">
        <v>8.0</v>
      </c>
      <c r="AX14" s="1" t="s">
        <v>74</v>
      </c>
      <c r="AY14" s="1" t="s">
        <v>74</v>
      </c>
      <c r="AZ14" s="1" t="s">
        <v>74</v>
      </c>
      <c r="BA14" s="1" t="s">
        <v>74</v>
      </c>
      <c r="BB14" s="1">
        <v>1837.0</v>
      </c>
      <c r="BC14" s="1">
        <v>1850.0</v>
      </c>
      <c r="BD14" s="1" t="s">
        <v>74</v>
      </c>
      <c r="BE14" s="1" t="s">
        <v>222</v>
      </c>
      <c r="BF14" s="2" t="str">
        <f>HYPERLINK("http://dx.doi.org/10.1088/0031-9155/50/8/014","http://dx.doi.org/10.1088/0031-9155/50/8/014")</f>
        <v>http://dx.doi.org/10.1088/0031-9155/50/8/014</v>
      </c>
      <c r="BG14" s="1" t="s">
        <v>74</v>
      </c>
      <c r="BH14" s="1" t="s">
        <v>74</v>
      </c>
      <c r="BI14" s="1" t="s">
        <v>74</v>
      </c>
      <c r="BJ14" s="1" t="s">
        <v>74</v>
      </c>
      <c r="BK14" s="1" t="s">
        <v>74</v>
      </c>
      <c r="BL14" s="1" t="s">
        <v>74</v>
      </c>
      <c r="BM14" s="1" t="s">
        <v>74</v>
      </c>
      <c r="BN14" s="1">
        <v>1.5815099E7</v>
      </c>
      <c r="BO14" s="1" t="s">
        <v>74</v>
      </c>
      <c r="BP14" s="1" t="s">
        <v>74</v>
      </c>
      <c r="BQ14" s="1" t="s">
        <v>74</v>
      </c>
      <c r="BR14" s="1" t="s">
        <v>74</v>
      </c>
      <c r="BS14" s="1" t="s">
        <v>223</v>
      </c>
      <c r="BT14" s="1" t="str">
        <f>HYPERLINK("https%3A%2F%2Fwww.webofscience.com%2Fwos%2Fwoscc%2Ffull-record%2FWOS:000229227600014","View Full Record in Web of Science")</f>
        <v>View Full Record in Web of Science</v>
      </c>
    </row>
    <row r="15" ht="12.75" customHeight="1">
      <c r="A15" s="1" t="s">
        <v>72</v>
      </c>
      <c r="B15" s="1" t="s">
        <v>224</v>
      </c>
      <c r="C15" s="1" t="s">
        <v>74</v>
      </c>
      <c r="D15" s="1" t="s">
        <v>74</v>
      </c>
      <c r="E15" s="1" t="s">
        <v>74</v>
      </c>
      <c r="F15" s="1" t="s">
        <v>224</v>
      </c>
      <c r="G15" s="1" t="s">
        <v>74</v>
      </c>
      <c r="H15" s="1" t="s">
        <v>74</v>
      </c>
      <c r="I15" s="1" t="s">
        <v>225</v>
      </c>
      <c r="J15" s="1" t="s">
        <v>226</v>
      </c>
      <c r="K15" s="1" t="s">
        <v>74</v>
      </c>
      <c r="L15" s="1" t="s">
        <v>74</v>
      </c>
      <c r="M15" s="1" t="s">
        <v>74</v>
      </c>
      <c r="N15" s="1" t="s">
        <v>74</v>
      </c>
      <c r="O15" s="1" t="s">
        <v>74</v>
      </c>
      <c r="P15" s="1" t="s">
        <v>74</v>
      </c>
      <c r="Q15" s="1" t="s">
        <v>74</v>
      </c>
      <c r="R15" s="1" t="s">
        <v>74</v>
      </c>
      <c r="S15" s="1" t="s">
        <v>74</v>
      </c>
      <c r="T15" s="1" t="s">
        <v>74</v>
      </c>
      <c r="U15" s="1" t="s">
        <v>74</v>
      </c>
      <c r="V15" s="1" t="s">
        <v>227</v>
      </c>
      <c r="W15" s="1" t="s">
        <v>74</v>
      </c>
      <c r="X15" s="1" t="s">
        <v>74</v>
      </c>
      <c r="Y15" s="1" t="s">
        <v>74</v>
      </c>
      <c r="Z15" s="1" t="s">
        <v>74</v>
      </c>
      <c r="AA15" s="1" t="s">
        <v>228</v>
      </c>
      <c r="AB15" s="1" t="s">
        <v>229</v>
      </c>
      <c r="AC15" s="1" t="s">
        <v>74</v>
      </c>
      <c r="AD15" s="1" t="s">
        <v>74</v>
      </c>
      <c r="AE15" s="1" t="s">
        <v>74</v>
      </c>
      <c r="AF15" s="1" t="s">
        <v>74</v>
      </c>
      <c r="AG15" s="1" t="s">
        <v>74</v>
      </c>
      <c r="AH15" s="1" t="s">
        <v>74</v>
      </c>
      <c r="AI15" s="1" t="s">
        <v>74</v>
      </c>
      <c r="AJ15" s="1" t="s">
        <v>74</v>
      </c>
      <c r="AK15" s="1" t="s">
        <v>74</v>
      </c>
      <c r="AL15" s="1" t="s">
        <v>74</v>
      </c>
      <c r="AM15" s="1" t="s">
        <v>74</v>
      </c>
      <c r="AN15" s="1" t="s">
        <v>74</v>
      </c>
      <c r="AO15" s="1" t="s">
        <v>230</v>
      </c>
      <c r="AP15" s="1" t="s">
        <v>231</v>
      </c>
      <c r="AQ15" s="1" t="s">
        <v>74</v>
      </c>
      <c r="AR15" s="1" t="s">
        <v>74</v>
      </c>
      <c r="AS15" s="1" t="s">
        <v>74</v>
      </c>
      <c r="AT15" s="1" t="s">
        <v>74</v>
      </c>
      <c r="AU15" s="1">
        <v>2005.0</v>
      </c>
      <c r="AV15" s="1">
        <v>20.0</v>
      </c>
      <c r="AW15" s="1">
        <v>2.0</v>
      </c>
      <c r="AX15" s="1" t="s">
        <v>74</v>
      </c>
      <c r="AY15" s="1" t="s">
        <v>74</v>
      </c>
      <c r="AZ15" s="1" t="s">
        <v>74</v>
      </c>
      <c r="BA15" s="1" t="s">
        <v>74</v>
      </c>
      <c r="BB15" s="1">
        <v>102.0</v>
      </c>
      <c r="BC15" s="1">
        <v>105.0</v>
      </c>
      <c r="BD15" s="1" t="s">
        <v>74</v>
      </c>
      <c r="BE15" s="1" t="s">
        <v>232</v>
      </c>
      <c r="BF15" s="2" t="str">
        <f>HYPERLINK("http://dx.doi.org/10.1159/000082431","http://dx.doi.org/10.1159/000082431")</f>
        <v>http://dx.doi.org/10.1159/000082431</v>
      </c>
      <c r="BG15" s="1" t="s">
        <v>74</v>
      </c>
      <c r="BH15" s="1" t="s">
        <v>74</v>
      </c>
      <c r="BI15" s="1" t="s">
        <v>74</v>
      </c>
      <c r="BJ15" s="1" t="s">
        <v>74</v>
      </c>
      <c r="BK15" s="1" t="s">
        <v>74</v>
      </c>
      <c r="BL15" s="1" t="s">
        <v>74</v>
      </c>
      <c r="BM15" s="1" t="s">
        <v>74</v>
      </c>
      <c r="BN15" s="1">
        <v>1.5692202E7</v>
      </c>
      <c r="BO15" s="1" t="s">
        <v>74</v>
      </c>
      <c r="BP15" s="1" t="s">
        <v>74</v>
      </c>
      <c r="BQ15" s="1" t="s">
        <v>74</v>
      </c>
      <c r="BR15" s="1" t="s">
        <v>74</v>
      </c>
      <c r="BS15" s="1" t="s">
        <v>233</v>
      </c>
      <c r="BT15" s="1" t="str">
        <f>HYPERLINK("https%3A%2F%2Fwww.webofscience.com%2Fwos%2Fwoscc%2Ffull-record%2FWOS:000226793600005","View Full Record in Web of Science")</f>
        <v>View Full Record in Web of Science</v>
      </c>
    </row>
    <row r="16" ht="12.75" customHeight="1">
      <c r="A16" s="1" t="s">
        <v>72</v>
      </c>
      <c r="B16" s="1" t="s">
        <v>234</v>
      </c>
      <c r="C16" s="1" t="s">
        <v>74</v>
      </c>
      <c r="D16" s="1" t="s">
        <v>74</v>
      </c>
      <c r="E16" s="1" t="s">
        <v>74</v>
      </c>
      <c r="F16" s="1" t="s">
        <v>234</v>
      </c>
      <c r="G16" s="1" t="s">
        <v>74</v>
      </c>
      <c r="H16" s="1" t="s">
        <v>74</v>
      </c>
      <c r="I16" s="1" t="s">
        <v>235</v>
      </c>
      <c r="J16" s="1" t="s">
        <v>236</v>
      </c>
      <c r="K16" s="1" t="s">
        <v>74</v>
      </c>
      <c r="L16" s="1" t="s">
        <v>74</v>
      </c>
      <c r="M16" s="1" t="s">
        <v>74</v>
      </c>
      <c r="N16" s="1" t="s">
        <v>74</v>
      </c>
      <c r="O16" s="1" t="s">
        <v>74</v>
      </c>
      <c r="P16" s="1" t="s">
        <v>74</v>
      </c>
      <c r="Q16" s="1" t="s">
        <v>74</v>
      </c>
      <c r="R16" s="1" t="s">
        <v>74</v>
      </c>
      <c r="S16" s="1" t="s">
        <v>74</v>
      </c>
      <c r="T16" s="1" t="s">
        <v>74</v>
      </c>
      <c r="U16" s="1" t="s">
        <v>74</v>
      </c>
      <c r="V16" s="1" t="s">
        <v>237</v>
      </c>
      <c r="W16" s="1" t="s">
        <v>74</v>
      </c>
      <c r="X16" s="1" t="s">
        <v>74</v>
      </c>
      <c r="Y16" s="1" t="s">
        <v>74</v>
      </c>
      <c r="Z16" s="1" t="s">
        <v>74</v>
      </c>
      <c r="AA16" s="1" t="s">
        <v>238</v>
      </c>
      <c r="AB16" s="1" t="s">
        <v>239</v>
      </c>
      <c r="AC16" s="1" t="s">
        <v>74</v>
      </c>
      <c r="AD16" s="1" t="s">
        <v>74</v>
      </c>
      <c r="AE16" s="1" t="s">
        <v>74</v>
      </c>
      <c r="AF16" s="1" t="s">
        <v>74</v>
      </c>
      <c r="AG16" s="1" t="s">
        <v>74</v>
      </c>
      <c r="AH16" s="1" t="s">
        <v>74</v>
      </c>
      <c r="AI16" s="1" t="s">
        <v>74</v>
      </c>
      <c r="AJ16" s="1" t="s">
        <v>74</v>
      </c>
      <c r="AK16" s="1" t="s">
        <v>74</v>
      </c>
      <c r="AL16" s="1" t="s">
        <v>74</v>
      </c>
      <c r="AM16" s="1" t="s">
        <v>74</v>
      </c>
      <c r="AN16" s="1" t="s">
        <v>74</v>
      </c>
      <c r="AO16" s="1" t="s">
        <v>240</v>
      </c>
      <c r="AP16" s="1" t="s">
        <v>74</v>
      </c>
      <c r="AQ16" s="1" t="s">
        <v>74</v>
      </c>
      <c r="AR16" s="1" t="s">
        <v>74</v>
      </c>
      <c r="AS16" s="1" t="s">
        <v>74</v>
      </c>
      <c r="AT16" s="1" t="s">
        <v>241</v>
      </c>
      <c r="AU16" s="1">
        <v>1999.0</v>
      </c>
      <c r="AV16" s="1">
        <v>121.0</v>
      </c>
      <c r="AW16" s="1" t="s">
        <v>74</v>
      </c>
      <c r="AX16" s="1">
        <v>3.0</v>
      </c>
      <c r="AY16" s="1" t="s">
        <v>74</v>
      </c>
      <c r="AZ16" s="1" t="s">
        <v>74</v>
      </c>
      <c r="BA16" s="1" t="s">
        <v>74</v>
      </c>
      <c r="BB16" s="1">
        <v>253.0</v>
      </c>
      <c r="BC16" s="1">
        <v>267.0</v>
      </c>
      <c r="BD16" s="1" t="s">
        <v>74</v>
      </c>
      <c r="BE16" s="1" t="s">
        <v>242</v>
      </c>
      <c r="BF16" s="2" t="str">
        <f>HYPERLINK("http://dx.doi.org/10.1080/11035899901213253","http://dx.doi.org/10.1080/11035899901213253")</f>
        <v>http://dx.doi.org/10.1080/11035899901213253</v>
      </c>
      <c r="BG16" s="1" t="s">
        <v>74</v>
      </c>
      <c r="BH16" s="1" t="s">
        <v>74</v>
      </c>
      <c r="BI16" s="1" t="s">
        <v>74</v>
      </c>
      <c r="BJ16" s="1" t="s">
        <v>74</v>
      </c>
      <c r="BK16" s="1" t="s">
        <v>74</v>
      </c>
      <c r="BL16" s="1" t="s">
        <v>74</v>
      </c>
      <c r="BM16" s="1" t="s">
        <v>74</v>
      </c>
      <c r="BN16" s="1" t="s">
        <v>74</v>
      </c>
      <c r="BO16" s="1" t="s">
        <v>74</v>
      </c>
      <c r="BP16" s="1" t="s">
        <v>74</v>
      </c>
      <c r="BQ16" s="1" t="s">
        <v>74</v>
      </c>
      <c r="BR16" s="1" t="s">
        <v>74</v>
      </c>
      <c r="BS16" s="1" t="s">
        <v>243</v>
      </c>
      <c r="BT16" s="1" t="str">
        <f>HYPERLINK("https%3A%2F%2Fwww.webofscience.com%2Fwos%2Fwoscc%2Ffull-record%2FWOS:000083427800016","View Full Record in Web of Science")</f>
        <v>View Full Record in Web of Science</v>
      </c>
    </row>
    <row r="17" ht="12.75" customHeight="1">
      <c r="A17" s="1" t="s">
        <v>72</v>
      </c>
      <c r="B17" s="1" t="s">
        <v>244</v>
      </c>
      <c r="C17" s="1" t="s">
        <v>74</v>
      </c>
      <c r="D17" s="1" t="s">
        <v>74</v>
      </c>
      <c r="E17" s="1" t="s">
        <v>74</v>
      </c>
      <c r="F17" s="1" t="s">
        <v>244</v>
      </c>
      <c r="G17" s="1" t="s">
        <v>74</v>
      </c>
      <c r="H17" s="1" t="s">
        <v>74</v>
      </c>
      <c r="I17" s="1" t="s">
        <v>245</v>
      </c>
      <c r="J17" s="1" t="s">
        <v>246</v>
      </c>
      <c r="K17" s="1" t="s">
        <v>74</v>
      </c>
      <c r="L17" s="1" t="s">
        <v>74</v>
      </c>
      <c r="M17" s="1" t="s">
        <v>74</v>
      </c>
      <c r="N17" s="1" t="s">
        <v>74</v>
      </c>
      <c r="O17" s="1" t="s">
        <v>74</v>
      </c>
      <c r="P17" s="1" t="s">
        <v>74</v>
      </c>
      <c r="Q17" s="1" t="s">
        <v>74</v>
      </c>
      <c r="R17" s="1" t="s">
        <v>74</v>
      </c>
      <c r="S17" s="1" t="s">
        <v>74</v>
      </c>
      <c r="T17" s="1" t="s">
        <v>74</v>
      </c>
      <c r="U17" s="1" t="s">
        <v>74</v>
      </c>
      <c r="V17" s="1" t="s">
        <v>74</v>
      </c>
      <c r="W17" s="1" t="s">
        <v>74</v>
      </c>
      <c r="X17" s="1" t="s">
        <v>74</v>
      </c>
      <c r="Y17" s="1" t="s">
        <v>74</v>
      </c>
      <c r="Z17" s="1" t="s">
        <v>74</v>
      </c>
      <c r="AA17" s="1" t="s">
        <v>247</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248</v>
      </c>
      <c r="AP17" s="1" t="s">
        <v>74</v>
      </c>
      <c r="AQ17" s="1" t="s">
        <v>74</v>
      </c>
      <c r="AR17" s="1" t="s">
        <v>74</v>
      </c>
      <c r="AS17" s="1" t="s">
        <v>74</v>
      </c>
      <c r="AT17" s="1" t="s">
        <v>249</v>
      </c>
      <c r="AU17" s="1">
        <v>1996.0</v>
      </c>
      <c r="AV17" s="1">
        <v>211.0</v>
      </c>
      <c r="AW17" s="1" t="s">
        <v>74</v>
      </c>
      <c r="AX17" s="1">
        <v>2.0</v>
      </c>
      <c r="AY17" s="1" t="s">
        <v>74</v>
      </c>
      <c r="AZ17" s="1" t="s">
        <v>74</v>
      </c>
      <c r="BA17" s="1" t="s">
        <v>74</v>
      </c>
      <c r="BB17" s="1">
        <v>391.0</v>
      </c>
      <c r="BC17" s="1" t="s">
        <v>250</v>
      </c>
      <c r="BD17" s="1" t="s">
        <v>74</v>
      </c>
      <c r="BE17" s="1" t="s">
        <v>74</v>
      </c>
      <c r="BF17" s="1" t="s">
        <v>74</v>
      </c>
      <c r="BG17" s="1" t="s">
        <v>74</v>
      </c>
      <c r="BH17" s="1" t="s">
        <v>74</v>
      </c>
      <c r="BI17" s="1" t="s">
        <v>74</v>
      </c>
      <c r="BJ17" s="1" t="s">
        <v>74</v>
      </c>
      <c r="BK17" s="1" t="s">
        <v>74</v>
      </c>
      <c r="BL17" s="1" t="s">
        <v>74</v>
      </c>
      <c r="BM17" s="1" t="s">
        <v>74</v>
      </c>
      <c r="BN17" s="1" t="s">
        <v>74</v>
      </c>
      <c r="BO17" s="1" t="s">
        <v>74</v>
      </c>
      <c r="BP17" s="1" t="s">
        <v>74</v>
      </c>
      <c r="BQ17" s="1" t="s">
        <v>74</v>
      </c>
      <c r="BR17" s="1" t="s">
        <v>74</v>
      </c>
      <c r="BS17" s="1" t="s">
        <v>251</v>
      </c>
      <c r="BT17" s="1" t="str">
        <f>HYPERLINK("https%3A%2F%2Fwww.webofscience.com%2Fwos%2Fwoscc%2Ffull-record%2FWOS:A1996UA48501618","View Full Record in Web of Science")</f>
        <v>View Full Record in Web of Science</v>
      </c>
    </row>
    <row r="18" ht="12.75" customHeight="1">
      <c r="A18" s="1" t="s">
        <v>72</v>
      </c>
      <c r="B18" s="1" t="s">
        <v>252</v>
      </c>
      <c r="C18" s="1" t="s">
        <v>74</v>
      </c>
      <c r="D18" s="1" t="s">
        <v>74</v>
      </c>
      <c r="E18" s="1" t="s">
        <v>74</v>
      </c>
      <c r="F18" s="1" t="s">
        <v>252</v>
      </c>
      <c r="G18" s="1" t="s">
        <v>74</v>
      </c>
      <c r="H18" s="1" t="s">
        <v>74</v>
      </c>
      <c r="I18" s="1" t="s">
        <v>253</v>
      </c>
      <c r="J18" s="1" t="s">
        <v>254</v>
      </c>
      <c r="K18" s="1" t="s">
        <v>74</v>
      </c>
      <c r="L18" s="1" t="s">
        <v>74</v>
      </c>
      <c r="M18" s="1" t="s">
        <v>74</v>
      </c>
      <c r="N18" s="1" t="s">
        <v>74</v>
      </c>
      <c r="O18" s="1" t="s">
        <v>74</v>
      </c>
      <c r="P18" s="1" t="s">
        <v>74</v>
      </c>
      <c r="Q18" s="1" t="s">
        <v>74</v>
      </c>
      <c r="R18" s="1" t="s">
        <v>74</v>
      </c>
      <c r="S18" s="1" t="s">
        <v>74</v>
      </c>
      <c r="T18" s="1" t="s">
        <v>74</v>
      </c>
      <c r="U18" s="1" t="s">
        <v>74</v>
      </c>
      <c r="V18" s="1" t="s">
        <v>74</v>
      </c>
      <c r="W18" s="1" t="s">
        <v>74</v>
      </c>
      <c r="X18" s="1" t="s">
        <v>74</v>
      </c>
      <c r="Y18" s="1" t="s">
        <v>74</v>
      </c>
      <c r="Z18" s="1" t="s">
        <v>74</v>
      </c>
      <c r="AA18" s="1" t="s">
        <v>255</v>
      </c>
      <c r="AB18" s="1" t="s">
        <v>256</v>
      </c>
      <c r="AC18" s="1" t="s">
        <v>74</v>
      </c>
      <c r="AD18" s="1" t="s">
        <v>74</v>
      </c>
      <c r="AE18" s="1" t="s">
        <v>74</v>
      </c>
      <c r="AF18" s="1" t="s">
        <v>74</v>
      </c>
      <c r="AG18" s="1" t="s">
        <v>74</v>
      </c>
      <c r="AH18" s="1" t="s">
        <v>74</v>
      </c>
      <c r="AI18" s="1" t="s">
        <v>74</v>
      </c>
      <c r="AJ18" s="1" t="s">
        <v>74</v>
      </c>
      <c r="AK18" s="1" t="s">
        <v>74</v>
      </c>
      <c r="AL18" s="1" t="s">
        <v>74</v>
      </c>
      <c r="AM18" s="1" t="s">
        <v>74</v>
      </c>
      <c r="AN18" s="1" t="s">
        <v>74</v>
      </c>
      <c r="AO18" s="1" t="s">
        <v>257</v>
      </c>
      <c r="AP18" s="1" t="s">
        <v>74</v>
      </c>
      <c r="AQ18" s="1" t="s">
        <v>74</v>
      </c>
      <c r="AR18" s="1" t="s">
        <v>74</v>
      </c>
      <c r="AS18" s="1" t="s">
        <v>74</v>
      </c>
      <c r="AT18" s="1" t="s">
        <v>94</v>
      </c>
      <c r="AU18" s="1">
        <v>1990.0</v>
      </c>
      <c r="AV18" s="1">
        <v>74.0</v>
      </c>
      <c r="AW18" s="1">
        <v>8.0</v>
      </c>
      <c r="AX18" s="1" t="s">
        <v>74</v>
      </c>
      <c r="AY18" s="1" t="s">
        <v>74</v>
      </c>
      <c r="AZ18" s="1" t="s">
        <v>74</v>
      </c>
      <c r="BA18" s="1" t="s">
        <v>74</v>
      </c>
      <c r="BB18" s="1">
        <v>703.0</v>
      </c>
      <c r="BC18" s="1">
        <v>709.0</v>
      </c>
      <c r="BD18" s="1" t="s">
        <v>74</v>
      </c>
      <c r="BE18" s="1" t="s">
        <v>258</v>
      </c>
      <c r="BF18" s="2" t="str">
        <f>HYPERLINK("http://dx.doi.org/10.1016/0038-1098(90)90920-7","http://dx.doi.org/10.1016/0038-1098(90)90920-7")</f>
        <v>http://dx.doi.org/10.1016/0038-1098(90)90920-7</v>
      </c>
      <c r="BG18" s="1" t="s">
        <v>74</v>
      </c>
      <c r="BH18" s="1" t="s">
        <v>74</v>
      </c>
      <c r="BI18" s="1" t="s">
        <v>74</v>
      </c>
      <c r="BJ18" s="1" t="s">
        <v>74</v>
      </c>
      <c r="BK18" s="1" t="s">
        <v>74</v>
      </c>
      <c r="BL18" s="1" t="s">
        <v>74</v>
      </c>
      <c r="BM18" s="1" t="s">
        <v>74</v>
      </c>
      <c r="BN18" s="1" t="s">
        <v>74</v>
      </c>
      <c r="BO18" s="1" t="s">
        <v>74</v>
      </c>
      <c r="BP18" s="1" t="s">
        <v>74</v>
      </c>
      <c r="BQ18" s="1" t="s">
        <v>74</v>
      </c>
      <c r="BR18" s="1" t="s">
        <v>74</v>
      </c>
      <c r="BS18" s="1" t="s">
        <v>259</v>
      </c>
      <c r="BT18" s="1" t="str">
        <f>HYPERLINK("https%3A%2F%2Fwww.webofscience.com%2Fwos%2Fwoscc%2Ffull-record%2FWOS:A1990DE78900004","View Full Record in Web of Science")</f>
        <v>View Full Record in Web of Science</v>
      </c>
    </row>
    <row r="19" ht="12.75" customHeight="1">
      <c r="A19" s="1" t="s">
        <v>72</v>
      </c>
      <c r="B19" s="1" t="s">
        <v>260</v>
      </c>
      <c r="C19" s="1" t="s">
        <v>74</v>
      </c>
      <c r="D19" s="1" t="s">
        <v>74</v>
      </c>
      <c r="E19" s="1" t="s">
        <v>74</v>
      </c>
      <c r="F19" s="1" t="s">
        <v>261</v>
      </c>
      <c r="G19" s="1" t="s">
        <v>74</v>
      </c>
      <c r="H19" s="1" t="s">
        <v>74</v>
      </c>
      <c r="I19" s="1" t="s">
        <v>262</v>
      </c>
      <c r="J19" s="1" t="s">
        <v>263</v>
      </c>
      <c r="K19" s="1" t="s">
        <v>74</v>
      </c>
      <c r="L19" s="1" t="s">
        <v>74</v>
      </c>
      <c r="M19" s="1" t="s">
        <v>74</v>
      </c>
      <c r="N19" s="1" t="s">
        <v>74</v>
      </c>
      <c r="O19" s="1" t="s">
        <v>74</v>
      </c>
      <c r="P19" s="1" t="s">
        <v>74</v>
      </c>
      <c r="Q19" s="1" t="s">
        <v>74</v>
      </c>
      <c r="R19" s="1" t="s">
        <v>74</v>
      </c>
      <c r="S19" s="1" t="s">
        <v>74</v>
      </c>
      <c r="T19" s="1" t="s">
        <v>74</v>
      </c>
      <c r="U19" s="1" t="s">
        <v>74</v>
      </c>
      <c r="V19" s="1" t="s">
        <v>264</v>
      </c>
      <c r="W19" s="1" t="s">
        <v>74</v>
      </c>
      <c r="X19" s="1" t="s">
        <v>74</v>
      </c>
      <c r="Y19" s="1" t="s">
        <v>74</v>
      </c>
      <c r="Z19" s="1" t="s">
        <v>74</v>
      </c>
      <c r="AA19" s="1" t="s">
        <v>74</v>
      </c>
      <c r="AB19" s="1" t="s">
        <v>74</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265</v>
      </c>
      <c r="AQ19" s="1" t="s">
        <v>74</v>
      </c>
      <c r="AR19" s="1" t="s">
        <v>74</v>
      </c>
      <c r="AS19" s="1" t="s">
        <v>74</v>
      </c>
      <c r="AT19" s="1" t="s">
        <v>266</v>
      </c>
      <c r="AU19" s="1">
        <v>2025.0</v>
      </c>
      <c r="AV19" s="1">
        <v>17.0</v>
      </c>
      <c r="AW19" s="1">
        <v>4.0</v>
      </c>
      <c r="AX19" s="1" t="s">
        <v>74</v>
      </c>
      <c r="AY19" s="1" t="s">
        <v>74</v>
      </c>
      <c r="AZ19" s="1" t="s">
        <v>74</v>
      </c>
      <c r="BA19" s="1" t="s">
        <v>74</v>
      </c>
      <c r="BB19" s="1" t="s">
        <v>74</v>
      </c>
      <c r="BC19" s="1" t="s">
        <v>74</v>
      </c>
      <c r="BD19" s="1">
        <v>521.0</v>
      </c>
      <c r="BE19" s="1" t="s">
        <v>267</v>
      </c>
      <c r="BF19" s="2" t="str">
        <f>HYPERLINK("http://dx.doi.org/10.3390/pharmaceutics17040521","http://dx.doi.org/10.3390/pharmaceutics17040521")</f>
        <v>http://dx.doi.org/10.3390/pharmaceutics17040521</v>
      </c>
      <c r="BG19" s="1" t="s">
        <v>74</v>
      </c>
      <c r="BH19" s="1" t="s">
        <v>74</v>
      </c>
      <c r="BI19" s="1" t="s">
        <v>74</v>
      </c>
      <c r="BJ19" s="1" t="s">
        <v>74</v>
      </c>
      <c r="BK19" s="1" t="s">
        <v>74</v>
      </c>
      <c r="BL19" s="1" t="s">
        <v>74</v>
      </c>
      <c r="BM19" s="1" t="s">
        <v>74</v>
      </c>
      <c r="BN19" s="1">
        <v>4.0284516E7</v>
      </c>
      <c r="BO19" s="1" t="s">
        <v>74</v>
      </c>
      <c r="BP19" s="1" t="s">
        <v>74</v>
      </c>
      <c r="BQ19" s="1" t="s">
        <v>74</v>
      </c>
      <c r="BR19" s="1" t="s">
        <v>74</v>
      </c>
      <c r="BS19" s="1" t="s">
        <v>268</v>
      </c>
      <c r="BT19" s="1" t="str">
        <f>HYPERLINK("https%3A%2F%2Fwww.webofscience.com%2Fwos%2Fwoscc%2Ffull-record%2FWOS:001476116700001","View Full Record in Web of Science")</f>
        <v>View Full Record in Web of Science</v>
      </c>
    </row>
    <row r="20" ht="12.75" customHeight="1">
      <c r="A20" s="1" t="s">
        <v>72</v>
      </c>
      <c r="B20" s="1" t="s">
        <v>269</v>
      </c>
      <c r="C20" s="1" t="s">
        <v>74</v>
      </c>
      <c r="D20" s="1" t="s">
        <v>74</v>
      </c>
      <c r="E20" s="1" t="s">
        <v>74</v>
      </c>
      <c r="F20" s="1" t="s">
        <v>270</v>
      </c>
      <c r="G20" s="1" t="s">
        <v>74</v>
      </c>
      <c r="H20" s="1" t="s">
        <v>74</v>
      </c>
      <c r="I20" s="1" t="s">
        <v>271</v>
      </c>
      <c r="J20" s="1" t="s">
        <v>182</v>
      </c>
      <c r="K20" s="1" t="s">
        <v>74</v>
      </c>
      <c r="L20" s="1" t="s">
        <v>74</v>
      </c>
      <c r="M20" s="1" t="s">
        <v>74</v>
      </c>
      <c r="N20" s="1" t="s">
        <v>74</v>
      </c>
      <c r="O20" s="1" t="s">
        <v>74</v>
      </c>
      <c r="P20" s="1" t="s">
        <v>74</v>
      </c>
      <c r="Q20" s="1" t="s">
        <v>74</v>
      </c>
      <c r="R20" s="1" t="s">
        <v>74</v>
      </c>
      <c r="S20" s="1" t="s">
        <v>74</v>
      </c>
      <c r="T20" s="1" t="s">
        <v>74</v>
      </c>
      <c r="U20" s="1" t="s">
        <v>74</v>
      </c>
      <c r="V20" s="1" t="s">
        <v>272</v>
      </c>
      <c r="W20" s="1" t="s">
        <v>74</v>
      </c>
      <c r="X20" s="1" t="s">
        <v>74</v>
      </c>
      <c r="Y20" s="1" t="s">
        <v>74</v>
      </c>
      <c r="Z20" s="1" t="s">
        <v>74</v>
      </c>
      <c r="AA20" s="1" t="s">
        <v>273</v>
      </c>
      <c r="AB20" s="1" t="s">
        <v>274</v>
      </c>
      <c r="AC20" s="1" t="s">
        <v>74</v>
      </c>
      <c r="AD20" s="1" t="s">
        <v>74</v>
      </c>
      <c r="AE20" s="1" t="s">
        <v>74</v>
      </c>
      <c r="AF20" s="1" t="s">
        <v>74</v>
      </c>
      <c r="AG20" s="1" t="s">
        <v>74</v>
      </c>
      <c r="AH20" s="1" t="s">
        <v>74</v>
      </c>
      <c r="AI20" s="1" t="s">
        <v>74</v>
      </c>
      <c r="AJ20" s="1" t="s">
        <v>74</v>
      </c>
      <c r="AK20" s="1" t="s">
        <v>74</v>
      </c>
      <c r="AL20" s="1" t="s">
        <v>74</v>
      </c>
      <c r="AM20" s="1" t="s">
        <v>74</v>
      </c>
      <c r="AN20" s="1" t="s">
        <v>74</v>
      </c>
      <c r="AO20" s="1" t="s">
        <v>186</v>
      </c>
      <c r="AP20" s="1" t="s">
        <v>74</v>
      </c>
      <c r="AQ20" s="1" t="s">
        <v>74</v>
      </c>
      <c r="AR20" s="1" t="s">
        <v>74</v>
      </c>
      <c r="AS20" s="1" t="s">
        <v>74</v>
      </c>
      <c r="AT20" s="1" t="s">
        <v>275</v>
      </c>
      <c r="AU20" s="1">
        <v>2025.0</v>
      </c>
      <c r="AV20" s="1">
        <v>20.0</v>
      </c>
      <c r="AW20" s="1">
        <v>2.0</v>
      </c>
      <c r="AX20" s="1" t="s">
        <v>74</v>
      </c>
      <c r="AY20" s="1" t="s">
        <v>74</v>
      </c>
      <c r="AZ20" s="1" t="s">
        <v>74</v>
      </c>
      <c r="BA20" s="1" t="s">
        <v>74</v>
      </c>
      <c r="BB20" s="1" t="s">
        <v>74</v>
      </c>
      <c r="BC20" s="1" t="s">
        <v>74</v>
      </c>
      <c r="BD20" s="1" t="s">
        <v>276</v>
      </c>
      <c r="BE20" s="1" t="s">
        <v>277</v>
      </c>
      <c r="BF20" s="2" t="str">
        <f>HYPERLINK("http://dx.doi.org/10.1371/journal.pone.0318206","http://dx.doi.org/10.1371/journal.pone.0318206")</f>
        <v>http://dx.doi.org/10.1371/journal.pone.0318206</v>
      </c>
      <c r="BG20" s="1" t="s">
        <v>74</v>
      </c>
      <c r="BH20" s="1" t="s">
        <v>74</v>
      </c>
      <c r="BI20" s="1" t="s">
        <v>74</v>
      </c>
      <c r="BJ20" s="1" t="s">
        <v>74</v>
      </c>
      <c r="BK20" s="1" t="s">
        <v>74</v>
      </c>
      <c r="BL20" s="1" t="s">
        <v>74</v>
      </c>
      <c r="BM20" s="1" t="s">
        <v>74</v>
      </c>
      <c r="BN20" s="1">
        <v>3.991348E7</v>
      </c>
      <c r="BO20" s="1" t="s">
        <v>74</v>
      </c>
      <c r="BP20" s="1" t="s">
        <v>74</v>
      </c>
      <c r="BQ20" s="1" t="s">
        <v>74</v>
      </c>
      <c r="BR20" s="1" t="s">
        <v>74</v>
      </c>
      <c r="BS20" s="1" t="s">
        <v>278</v>
      </c>
      <c r="BT20" s="1" t="str">
        <f>HYPERLINK("https%3A%2F%2Fwww.webofscience.com%2Fwos%2Fwoscc%2Ffull-record%2FWOS:001435274300092","View Full Record in Web of Science")</f>
        <v>View Full Record in Web of Science</v>
      </c>
    </row>
    <row r="21" ht="12.75" customHeight="1">
      <c r="A21" s="1" t="s">
        <v>72</v>
      </c>
      <c r="B21" s="1" t="s">
        <v>279</v>
      </c>
      <c r="C21" s="1" t="s">
        <v>74</v>
      </c>
      <c r="D21" s="1" t="s">
        <v>74</v>
      </c>
      <c r="E21" s="1" t="s">
        <v>74</v>
      </c>
      <c r="F21" s="1" t="s">
        <v>280</v>
      </c>
      <c r="G21" s="1" t="s">
        <v>74</v>
      </c>
      <c r="H21" s="1" t="s">
        <v>74</v>
      </c>
      <c r="I21" s="1" t="s">
        <v>281</v>
      </c>
      <c r="J21" s="1" t="s">
        <v>282</v>
      </c>
      <c r="K21" s="1" t="s">
        <v>74</v>
      </c>
      <c r="L21" s="1" t="s">
        <v>74</v>
      </c>
      <c r="M21" s="1" t="s">
        <v>74</v>
      </c>
      <c r="N21" s="1" t="s">
        <v>74</v>
      </c>
      <c r="O21" s="1" t="s">
        <v>74</v>
      </c>
      <c r="P21" s="1" t="s">
        <v>74</v>
      </c>
      <c r="Q21" s="1" t="s">
        <v>74</v>
      </c>
      <c r="R21" s="1" t="s">
        <v>74</v>
      </c>
      <c r="S21" s="1" t="s">
        <v>74</v>
      </c>
      <c r="T21" s="1" t="s">
        <v>74</v>
      </c>
      <c r="U21" s="1" t="s">
        <v>74</v>
      </c>
      <c r="V21" s="1" t="s">
        <v>283</v>
      </c>
      <c r="W21" s="1" t="s">
        <v>74</v>
      </c>
      <c r="X21" s="1" t="s">
        <v>74</v>
      </c>
      <c r="Y21" s="1" t="s">
        <v>74</v>
      </c>
      <c r="Z21" s="1" t="s">
        <v>74</v>
      </c>
      <c r="AA21" s="1" t="s">
        <v>74</v>
      </c>
      <c r="AB21" s="1" t="s">
        <v>74</v>
      </c>
      <c r="AC21" s="1" t="s">
        <v>74</v>
      </c>
      <c r="AD21" s="1" t="s">
        <v>74</v>
      </c>
      <c r="AE21" s="1" t="s">
        <v>74</v>
      </c>
      <c r="AF21" s="1" t="s">
        <v>74</v>
      </c>
      <c r="AG21" s="1" t="s">
        <v>74</v>
      </c>
      <c r="AH21" s="1" t="s">
        <v>74</v>
      </c>
      <c r="AI21" s="1" t="s">
        <v>74</v>
      </c>
      <c r="AJ21" s="1" t="s">
        <v>74</v>
      </c>
      <c r="AK21" s="1" t="s">
        <v>74</v>
      </c>
      <c r="AL21" s="1" t="s">
        <v>74</v>
      </c>
      <c r="AM21" s="1" t="s">
        <v>74</v>
      </c>
      <c r="AN21" s="1" t="s">
        <v>74</v>
      </c>
      <c r="AO21" s="1" t="s">
        <v>284</v>
      </c>
      <c r="AP21" s="1" t="s">
        <v>285</v>
      </c>
      <c r="AQ21" s="1" t="s">
        <v>74</v>
      </c>
      <c r="AR21" s="1" t="s">
        <v>74</v>
      </c>
      <c r="AS21" s="1" t="s">
        <v>74</v>
      </c>
      <c r="AT21" s="1" t="s">
        <v>286</v>
      </c>
      <c r="AU21" s="1">
        <v>2024.0</v>
      </c>
      <c r="AV21" s="1">
        <v>13.0</v>
      </c>
      <c r="AW21" s="1">
        <v>3.0</v>
      </c>
      <c r="AX21" s="1" t="s">
        <v>74</v>
      </c>
      <c r="AY21" s="1" t="s">
        <v>74</v>
      </c>
      <c r="AZ21" s="1" t="s">
        <v>74</v>
      </c>
      <c r="BA21" s="1" t="s">
        <v>74</v>
      </c>
      <c r="BB21" s="1">
        <v>703.0</v>
      </c>
      <c r="BC21" s="1">
        <v>725.0</v>
      </c>
      <c r="BD21" s="1" t="s">
        <v>74</v>
      </c>
      <c r="BE21" s="1" t="s">
        <v>287</v>
      </c>
      <c r="BF21" s="2" t="str">
        <f>HYPERLINK("http://dx.doi.org/10.14244/contemp.v13i3.1263","http://dx.doi.org/10.14244/contemp.v13i3.1263")</f>
        <v>http://dx.doi.org/10.14244/contemp.v13i3.1263</v>
      </c>
      <c r="BG21" s="1" t="s">
        <v>74</v>
      </c>
      <c r="BH21" s="1" t="s">
        <v>74</v>
      </c>
      <c r="BI21" s="1" t="s">
        <v>74</v>
      </c>
      <c r="BJ21" s="1" t="s">
        <v>74</v>
      </c>
      <c r="BK21" s="1" t="s">
        <v>74</v>
      </c>
      <c r="BL21" s="1" t="s">
        <v>74</v>
      </c>
      <c r="BM21" s="1" t="s">
        <v>74</v>
      </c>
      <c r="BN21" s="1" t="s">
        <v>74</v>
      </c>
      <c r="BO21" s="1" t="s">
        <v>74</v>
      </c>
      <c r="BP21" s="1" t="s">
        <v>74</v>
      </c>
      <c r="BQ21" s="1" t="s">
        <v>74</v>
      </c>
      <c r="BR21" s="1" t="s">
        <v>74</v>
      </c>
      <c r="BS21" s="1" t="s">
        <v>288</v>
      </c>
      <c r="BT21" s="1" t="str">
        <f>HYPERLINK("https%3A%2F%2Fwww.webofscience.com%2Fwos%2Fwoscc%2Ffull-record%2FWOS:001337058600001","View Full Record in Web of Science")</f>
        <v>View Full Record in Web of Science</v>
      </c>
    </row>
    <row r="22" ht="12.75" customHeight="1">
      <c r="A22" s="1" t="s">
        <v>72</v>
      </c>
      <c r="B22" s="1" t="s">
        <v>289</v>
      </c>
      <c r="C22" s="1" t="s">
        <v>74</v>
      </c>
      <c r="D22" s="1" t="s">
        <v>74</v>
      </c>
      <c r="E22" s="1" t="s">
        <v>74</v>
      </c>
      <c r="F22" s="1" t="s">
        <v>290</v>
      </c>
      <c r="G22" s="1" t="s">
        <v>74</v>
      </c>
      <c r="H22" s="1" t="s">
        <v>74</v>
      </c>
      <c r="I22" s="1" t="s">
        <v>291</v>
      </c>
      <c r="J22" s="1" t="s">
        <v>292</v>
      </c>
      <c r="K22" s="1" t="s">
        <v>74</v>
      </c>
      <c r="L22" s="1" t="s">
        <v>74</v>
      </c>
      <c r="M22" s="1" t="s">
        <v>74</v>
      </c>
      <c r="N22" s="1" t="s">
        <v>74</v>
      </c>
      <c r="O22" s="1" t="s">
        <v>74</v>
      </c>
      <c r="P22" s="1" t="s">
        <v>74</v>
      </c>
      <c r="Q22" s="1" t="s">
        <v>74</v>
      </c>
      <c r="R22" s="1" t="s">
        <v>74</v>
      </c>
      <c r="S22" s="1" t="s">
        <v>74</v>
      </c>
      <c r="T22" s="1" t="s">
        <v>74</v>
      </c>
      <c r="U22" s="1" t="s">
        <v>74</v>
      </c>
      <c r="V22" s="1" t="s">
        <v>293</v>
      </c>
      <c r="W22" s="1" t="s">
        <v>74</v>
      </c>
      <c r="X22" s="1" t="s">
        <v>74</v>
      </c>
      <c r="Y22" s="1" t="s">
        <v>74</v>
      </c>
      <c r="Z22" s="1" t="s">
        <v>74</v>
      </c>
      <c r="AA22" s="1" t="s">
        <v>294</v>
      </c>
      <c r="AB22" s="1" t="s">
        <v>295</v>
      </c>
      <c r="AC22" s="1" t="s">
        <v>74</v>
      </c>
      <c r="AD22" s="1" t="s">
        <v>74</v>
      </c>
      <c r="AE22" s="1" t="s">
        <v>74</v>
      </c>
      <c r="AF22" s="1" t="s">
        <v>74</v>
      </c>
      <c r="AG22" s="1" t="s">
        <v>74</v>
      </c>
      <c r="AH22" s="1" t="s">
        <v>74</v>
      </c>
      <c r="AI22" s="1" t="s">
        <v>74</v>
      </c>
      <c r="AJ22" s="1" t="s">
        <v>74</v>
      </c>
      <c r="AK22" s="1" t="s">
        <v>74</v>
      </c>
      <c r="AL22" s="1" t="s">
        <v>74</v>
      </c>
      <c r="AM22" s="1" t="s">
        <v>74</v>
      </c>
      <c r="AN22" s="1" t="s">
        <v>74</v>
      </c>
      <c r="AO22" s="1" t="s">
        <v>296</v>
      </c>
      <c r="AP22" s="1" t="s">
        <v>74</v>
      </c>
      <c r="AQ22" s="1" t="s">
        <v>74</v>
      </c>
      <c r="AR22" s="1" t="s">
        <v>74</v>
      </c>
      <c r="AS22" s="1" t="s">
        <v>74</v>
      </c>
      <c r="AT22" s="1" t="s">
        <v>297</v>
      </c>
      <c r="AU22" s="1">
        <v>2023.0</v>
      </c>
      <c r="AV22" s="1">
        <v>13.0</v>
      </c>
      <c r="AW22" s="1">
        <v>1.0</v>
      </c>
      <c r="AX22" s="1" t="s">
        <v>74</v>
      </c>
      <c r="AY22" s="1" t="s">
        <v>74</v>
      </c>
      <c r="AZ22" s="1" t="s">
        <v>74</v>
      </c>
      <c r="BA22" s="1" t="s">
        <v>74</v>
      </c>
      <c r="BB22" s="1" t="s">
        <v>74</v>
      </c>
      <c r="BC22" s="1" t="s">
        <v>74</v>
      </c>
      <c r="BD22" s="1">
        <v>23006.0</v>
      </c>
      <c r="BE22" s="1" t="s">
        <v>298</v>
      </c>
      <c r="BF22" s="2" t="str">
        <f>HYPERLINK("http://dx.doi.org/10.1038/s41598-023-50388-7","http://dx.doi.org/10.1038/s41598-023-50388-7")</f>
        <v>http://dx.doi.org/10.1038/s41598-023-50388-7</v>
      </c>
      <c r="BG22" s="1" t="s">
        <v>74</v>
      </c>
      <c r="BH22" s="1" t="s">
        <v>74</v>
      </c>
      <c r="BI22" s="1" t="s">
        <v>74</v>
      </c>
      <c r="BJ22" s="1" t="s">
        <v>74</v>
      </c>
      <c r="BK22" s="1" t="s">
        <v>74</v>
      </c>
      <c r="BL22" s="1" t="s">
        <v>74</v>
      </c>
      <c r="BM22" s="1" t="s">
        <v>74</v>
      </c>
      <c r="BN22" s="1">
        <v>3.8155297E7</v>
      </c>
      <c r="BO22" s="1" t="s">
        <v>74</v>
      </c>
      <c r="BP22" s="1" t="s">
        <v>74</v>
      </c>
      <c r="BQ22" s="1" t="s">
        <v>74</v>
      </c>
      <c r="BR22" s="1" t="s">
        <v>74</v>
      </c>
      <c r="BS22" s="1" t="s">
        <v>299</v>
      </c>
      <c r="BT22" s="1" t="str">
        <f>HYPERLINK("https%3A%2F%2Fwww.webofscience.com%2Fwos%2Fwoscc%2Ffull-record%2FWOS:001134102800010","View Full Record in Web of Science")</f>
        <v>View Full Record in Web of Science</v>
      </c>
    </row>
    <row r="23" ht="12.75" customHeight="1">
      <c r="A23" s="1" t="s">
        <v>72</v>
      </c>
      <c r="B23" s="1" t="s">
        <v>300</v>
      </c>
      <c r="C23" s="1" t="s">
        <v>74</v>
      </c>
      <c r="D23" s="1" t="s">
        <v>74</v>
      </c>
      <c r="E23" s="1" t="s">
        <v>74</v>
      </c>
      <c r="F23" s="1" t="s">
        <v>301</v>
      </c>
      <c r="G23" s="1" t="s">
        <v>74</v>
      </c>
      <c r="H23" s="1" t="s">
        <v>74</v>
      </c>
      <c r="I23" s="1" t="s">
        <v>302</v>
      </c>
      <c r="J23" s="1" t="s">
        <v>303</v>
      </c>
      <c r="K23" s="1" t="s">
        <v>74</v>
      </c>
      <c r="L23" s="1" t="s">
        <v>74</v>
      </c>
      <c r="M23" s="1" t="s">
        <v>74</v>
      </c>
      <c r="N23" s="1" t="s">
        <v>74</v>
      </c>
      <c r="O23" s="1" t="s">
        <v>74</v>
      </c>
      <c r="P23" s="1" t="s">
        <v>74</v>
      </c>
      <c r="Q23" s="1" t="s">
        <v>74</v>
      </c>
      <c r="R23" s="1" t="s">
        <v>74</v>
      </c>
      <c r="S23" s="1" t="s">
        <v>74</v>
      </c>
      <c r="T23" s="1" t="s">
        <v>74</v>
      </c>
      <c r="U23" s="1" t="s">
        <v>74</v>
      </c>
      <c r="V23" s="1" t="s">
        <v>304</v>
      </c>
      <c r="W23" s="1" t="s">
        <v>74</v>
      </c>
      <c r="X23" s="1" t="s">
        <v>74</v>
      </c>
      <c r="Y23" s="1" t="s">
        <v>74</v>
      </c>
      <c r="Z23" s="1" t="s">
        <v>74</v>
      </c>
      <c r="AA23" s="1" t="s">
        <v>305</v>
      </c>
      <c r="AB23" s="1" t="s">
        <v>306</v>
      </c>
      <c r="AC23" s="1" t="s">
        <v>74</v>
      </c>
      <c r="AD23" s="1" t="s">
        <v>74</v>
      </c>
      <c r="AE23" s="1" t="s">
        <v>74</v>
      </c>
      <c r="AF23" s="1" t="s">
        <v>74</v>
      </c>
      <c r="AG23" s="1" t="s">
        <v>74</v>
      </c>
      <c r="AH23" s="1" t="s">
        <v>74</v>
      </c>
      <c r="AI23" s="1" t="s">
        <v>74</v>
      </c>
      <c r="AJ23" s="1" t="s">
        <v>74</v>
      </c>
      <c r="AK23" s="1" t="s">
        <v>74</v>
      </c>
      <c r="AL23" s="1" t="s">
        <v>74</v>
      </c>
      <c r="AM23" s="1" t="s">
        <v>74</v>
      </c>
      <c r="AN23" s="1" t="s">
        <v>74</v>
      </c>
      <c r="AO23" s="1" t="s">
        <v>307</v>
      </c>
      <c r="AP23" s="1" t="s">
        <v>74</v>
      </c>
      <c r="AQ23" s="1" t="s">
        <v>74</v>
      </c>
      <c r="AR23" s="1" t="s">
        <v>74</v>
      </c>
      <c r="AS23" s="1" t="s">
        <v>74</v>
      </c>
      <c r="AT23" s="1" t="s">
        <v>308</v>
      </c>
      <c r="AU23" s="1">
        <v>2023.0</v>
      </c>
      <c r="AV23" s="1">
        <v>36.0</v>
      </c>
      <c r="AW23" s="1" t="s">
        <v>74</v>
      </c>
      <c r="AX23" s="1" t="s">
        <v>74</v>
      </c>
      <c r="AY23" s="1" t="s">
        <v>74</v>
      </c>
      <c r="AZ23" s="1" t="s">
        <v>74</v>
      </c>
      <c r="BA23" s="1" t="s">
        <v>74</v>
      </c>
      <c r="BB23" s="1" t="s">
        <v>74</v>
      </c>
      <c r="BC23" s="1" t="s">
        <v>74</v>
      </c>
      <c r="BD23" s="1">
        <v>101050.0</v>
      </c>
      <c r="BE23" s="1" t="s">
        <v>309</v>
      </c>
      <c r="BF23" s="2" t="str">
        <f>HYPERLINK("http://dx.doi.org/10.1016/j.fpsl.2023.101050","http://dx.doi.org/10.1016/j.fpsl.2023.101050")</f>
        <v>http://dx.doi.org/10.1016/j.fpsl.2023.101050</v>
      </c>
      <c r="BG23" s="1" t="s">
        <v>74</v>
      </c>
      <c r="BH23" s="1" t="s">
        <v>310</v>
      </c>
      <c r="BI23" s="1" t="s">
        <v>74</v>
      </c>
      <c r="BJ23" s="1" t="s">
        <v>74</v>
      </c>
      <c r="BK23" s="1" t="s">
        <v>74</v>
      </c>
      <c r="BL23" s="1" t="s">
        <v>74</v>
      </c>
      <c r="BM23" s="1" t="s">
        <v>74</v>
      </c>
      <c r="BN23" s="1" t="s">
        <v>74</v>
      </c>
      <c r="BO23" s="1" t="s">
        <v>74</v>
      </c>
      <c r="BP23" s="1" t="s">
        <v>74</v>
      </c>
      <c r="BQ23" s="1" t="s">
        <v>74</v>
      </c>
      <c r="BR23" s="1" t="s">
        <v>74</v>
      </c>
      <c r="BS23" s="1" t="s">
        <v>311</v>
      </c>
      <c r="BT23" s="1" t="str">
        <f>HYPERLINK("https%3A%2F%2Fwww.webofscience.com%2Fwos%2Fwoscc%2Ffull-record%2FWOS:000943474800001","View Full Record in Web of Science")</f>
        <v>View Full Record in Web of Science</v>
      </c>
    </row>
    <row r="24" ht="12.75" customHeight="1">
      <c r="A24" s="1" t="s">
        <v>72</v>
      </c>
      <c r="B24" s="1" t="s">
        <v>312</v>
      </c>
      <c r="C24" s="1" t="s">
        <v>74</v>
      </c>
      <c r="D24" s="1" t="s">
        <v>74</v>
      </c>
      <c r="E24" s="1" t="s">
        <v>74</v>
      </c>
      <c r="F24" s="1" t="s">
        <v>313</v>
      </c>
      <c r="G24" s="1" t="s">
        <v>74</v>
      </c>
      <c r="H24" s="1" t="s">
        <v>74</v>
      </c>
      <c r="I24" s="1" t="s">
        <v>314</v>
      </c>
      <c r="J24" s="1" t="s">
        <v>315</v>
      </c>
      <c r="K24" s="1" t="s">
        <v>74</v>
      </c>
      <c r="L24" s="1" t="s">
        <v>74</v>
      </c>
      <c r="M24" s="1" t="s">
        <v>74</v>
      </c>
      <c r="N24" s="1" t="s">
        <v>74</v>
      </c>
      <c r="O24" s="1" t="s">
        <v>74</v>
      </c>
      <c r="P24" s="1" t="s">
        <v>74</v>
      </c>
      <c r="Q24" s="1" t="s">
        <v>74</v>
      </c>
      <c r="R24" s="1" t="s">
        <v>74</v>
      </c>
      <c r="S24" s="1" t="s">
        <v>74</v>
      </c>
      <c r="T24" s="1" t="s">
        <v>74</v>
      </c>
      <c r="U24" s="1" t="s">
        <v>74</v>
      </c>
      <c r="V24" s="1" t="s">
        <v>74</v>
      </c>
      <c r="W24" s="1" t="s">
        <v>74</v>
      </c>
      <c r="X24" s="1" t="s">
        <v>74</v>
      </c>
      <c r="Y24" s="1" t="s">
        <v>74</v>
      </c>
      <c r="Z24" s="1" t="s">
        <v>74</v>
      </c>
      <c r="AA24" s="1" t="s">
        <v>316</v>
      </c>
      <c r="AB24" s="1" t="s">
        <v>317</v>
      </c>
      <c r="AC24" s="1" t="s">
        <v>74</v>
      </c>
      <c r="AD24" s="1" t="s">
        <v>74</v>
      </c>
      <c r="AE24" s="1" t="s">
        <v>74</v>
      </c>
      <c r="AF24" s="1" t="s">
        <v>74</v>
      </c>
      <c r="AG24" s="1" t="s">
        <v>74</v>
      </c>
      <c r="AH24" s="1" t="s">
        <v>74</v>
      </c>
      <c r="AI24" s="1" t="s">
        <v>74</v>
      </c>
      <c r="AJ24" s="1" t="s">
        <v>74</v>
      </c>
      <c r="AK24" s="1" t="s">
        <v>74</v>
      </c>
      <c r="AL24" s="1" t="s">
        <v>74</v>
      </c>
      <c r="AM24" s="1" t="s">
        <v>74</v>
      </c>
      <c r="AN24" s="1" t="s">
        <v>74</v>
      </c>
      <c r="AO24" s="1" t="s">
        <v>318</v>
      </c>
      <c r="AP24" s="1" t="s">
        <v>319</v>
      </c>
      <c r="AQ24" s="1" t="s">
        <v>74</v>
      </c>
      <c r="AR24" s="1" t="s">
        <v>74</v>
      </c>
      <c r="AS24" s="1" t="s">
        <v>74</v>
      </c>
      <c r="AT24" s="1" t="s">
        <v>241</v>
      </c>
      <c r="AU24" s="1">
        <v>2022.0</v>
      </c>
      <c r="AV24" s="1">
        <v>54.0</v>
      </c>
      <c r="AW24" s="1">
        <v>9.0</v>
      </c>
      <c r="AX24" s="1" t="s">
        <v>74</v>
      </c>
      <c r="AY24" s="1" t="s">
        <v>320</v>
      </c>
      <c r="AZ24" s="1" t="s">
        <v>74</v>
      </c>
      <c r="BA24" s="1">
        <v>2472.0</v>
      </c>
      <c r="BB24" s="1">
        <v>468.0</v>
      </c>
      <c r="BC24" s="1">
        <v>468.0</v>
      </c>
      <c r="BD24" s="1" t="s">
        <v>74</v>
      </c>
      <c r="BE24" s="1" t="s">
        <v>74</v>
      </c>
      <c r="BF24" s="1" t="s">
        <v>74</v>
      </c>
      <c r="BG24" s="1" t="s">
        <v>74</v>
      </c>
      <c r="BH24" s="1" t="s">
        <v>74</v>
      </c>
      <c r="BI24" s="1" t="s">
        <v>74</v>
      </c>
      <c r="BJ24" s="1" t="s">
        <v>74</v>
      </c>
      <c r="BK24" s="1" t="s">
        <v>74</v>
      </c>
      <c r="BL24" s="1" t="s">
        <v>74</v>
      </c>
      <c r="BM24" s="1" t="s">
        <v>74</v>
      </c>
      <c r="BN24" s="1" t="s">
        <v>74</v>
      </c>
      <c r="BO24" s="1" t="s">
        <v>74</v>
      </c>
      <c r="BP24" s="1" t="s">
        <v>74</v>
      </c>
      <c r="BQ24" s="1" t="s">
        <v>74</v>
      </c>
      <c r="BR24" s="1" t="s">
        <v>74</v>
      </c>
      <c r="BS24" s="1" t="s">
        <v>321</v>
      </c>
      <c r="BT24" s="1" t="str">
        <f>HYPERLINK("https%3A%2F%2Fwww.webofscience.com%2Fwos%2Fwoscc%2Ffull-record%2FWOS:000888056602094","View Full Record in Web of Science")</f>
        <v>View Full Record in Web of Science</v>
      </c>
    </row>
    <row r="25" ht="12.75" customHeight="1">
      <c r="A25" s="1" t="s">
        <v>154</v>
      </c>
      <c r="B25" s="1" t="s">
        <v>322</v>
      </c>
      <c r="C25" s="1" t="s">
        <v>74</v>
      </c>
      <c r="D25" s="1" t="s">
        <v>74</v>
      </c>
      <c r="E25" s="1" t="s">
        <v>323</v>
      </c>
      <c r="F25" s="1" t="s">
        <v>324</v>
      </c>
      <c r="G25" s="1" t="s">
        <v>74</v>
      </c>
      <c r="H25" s="1" t="s">
        <v>74</v>
      </c>
      <c r="I25" s="1" t="s">
        <v>325</v>
      </c>
      <c r="J25" s="1" t="s">
        <v>326</v>
      </c>
      <c r="K25" s="1" t="s">
        <v>74</v>
      </c>
      <c r="L25" s="1" t="s">
        <v>74</v>
      </c>
      <c r="M25" s="1" t="s">
        <v>74</v>
      </c>
      <c r="N25" s="1" t="s">
        <v>74</v>
      </c>
      <c r="O25" s="1" t="s">
        <v>327</v>
      </c>
      <c r="P25" s="1" t="s">
        <v>328</v>
      </c>
      <c r="Q25" s="1" t="s">
        <v>329</v>
      </c>
      <c r="R25" s="1" t="s">
        <v>74</v>
      </c>
      <c r="S25" s="1" t="s">
        <v>74</v>
      </c>
      <c r="T25" s="1" t="s">
        <v>74</v>
      </c>
      <c r="U25" s="1" t="s">
        <v>74</v>
      </c>
      <c r="V25" s="1" t="s">
        <v>330</v>
      </c>
      <c r="W25" s="1" t="s">
        <v>74</v>
      </c>
      <c r="X25" s="1" t="s">
        <v>74</v>
      </c>
      <c r="Y25" s="1" t="s">
        <v>74</v>
      </c>
      <c r="Z25" s="1" t="s">
        <v>74</v>
      </c>
      <c r="AA25" s="1" t="s">
        <v>331</v>
      </c>
      <c r="AB25" s="1" t="s">
        <v>332</v>
      </c>
      <c r="AC25" s="1" t="s">
        <v>74</v>
      </c>
      <c r="AD25" s="1" t="s">
        <v>74</v>
      </c>
      <c r="AE25" s="1" t="s">
        <v>74</v>
      </c>
      <c r="AF25" s="1" t="s">
        <v>74</v>
      </c>
      <c r="AG25" s="1" t="s">
        <v>74</v>
      </c>
      <c r="AH25" s="1" t="s">
        <v>74</v>
      </c>
      <c r="AI25" s="1" t="s">
        <v>74</v>
      </c>
      <c r="AJ25" s="1" t="s">
        <v>74</v>
      </c>
      <c r="AK25" s="1" t="s">
        <v>74</v>
      </c>
      <c r="AL25" s="1" t="s">
        <v>74</v>
      </c>
      <c r="AM25" s="1" t="s">
        <v>74</v>
      </c>
      <c r="AN25" s="1" t="s">
        <v>74</v>
      </c>
      <c r="AO25" s="1" t="s">
        <v>74</v>
      </c>
      <c r="AP25" s="1" t="s">
        <v>74</v>
      </c>
      <c r="AQ25" s="1" t="s">
        <v>333</v>
      </c>
      <c r="AR25" s="1" t="s">
        <v>74</v>
      </c>
      <c r="AS25" s="1" t="s">
        <v>74</v>
      </c>
      <c r="AT25" s="1" t="s">
        <v>74</v>
      </c>
      <c r="AU25" s="1">
        <v>2022.0</v>
      </c>
      <c r="AV25" s="1" t="s">
        <v>74</v>
      </c>
      <c r="AW25" s="1" t="s">
        <v>74</v>
      </c>
      <c r="AX25" s="1" t="s">
        <v>74</v>
      </c>
      <c r="AY25" s="1" t="s">
        <v>74</v>
      </c>
      <c r="AZ25" s="1" t="s">
        <v>74</v>
      </c>
      <c r="BA25" s="1" t="s">
        <v>74</v>
      </c>
      <c r="BB25" s="1">
        <v>344.0</v>
      </c>
      <c r="BC25" s="1">
        <v>349.0</v>
      </c>
      <c r="BD25" s="1" t="s">
        <v>74</v>
      </c>
      <c r="BE25" s="1" t="s">
        <v>334</v>
      </c>
      <c r="BF25" s="2" t="str">
        <f>HYPERLINK("http://dx.doi.org/10.1109/CSNDSP54353.2022.9907900","http://dx.doi.org/10.1109/CSNDSP54353.2022.9907900")</f>
        <v>http://dx.doi.org/10.1109/CSNDSP54353.2022.9907900</v>
      </c>
      <c r="BG25" s="1" t="s">
        <v>74</v>
      </c>
      <c r="BH25" s="1" t="s">
        <v>74</v>
      </c>
      <c r="BI25" s="1" t="s">
        <v>74</v>
      </c>
      <c r="BJ25" s="1" t="s">
        <v>74</v>
      </c>
      <c r="BK25" s="1" t="s">
        <v>74</v>
      </c>
      <c r="BL25" s="1" t="s">
        <v>74</v>
      </c>
      <c r="BM25" s="1" t="s">
        <v>74</v>
      </c>
      <c r="BN25" s="1" t="s">
        <v>74</v>
      </c>
      <c r="BO25" s="1" t="s">
        <v>74</v>
      </c>
      <c r="BP25" s="1" t="s">
        <v>74</v>
      </c>
      <c r="BQ25" s="1" t="s">
        <v>74</v>
      </c>
      <c r="BR25" s="1" t="s">
        <v>74</v>
      </c>
      <c r="BS25" s="1" t="s">
        <v>335</v>
      </c>
      <c r="BT25" s="1" t="str">
        <f>HYPERLINK("https%3A%2F%2Fwww.webofscience.com%2Fwos%2Fwoscc%2Ffull-record%2FWOS:001331792600065","View Full Record in Web of Science")</f>
        <v>View Full Record in Web of Science</v>
      </c>
    </row>
    <row r="26" ht="12.75" customHeight="1">
      <c r="A26" s="1" t="s">
        <v>72</v>
      </c>
      <c r="B26" s="1" t="s">
        <v>336</v>
      </c>
      <c r="C26" s="1" t="s">
        <v>74</v>
      </c>
      <c r="D26" s="1" t="s">
        <v>74</v>
      </c>
      <c r="E26" s="1" t="s">
        <v>74</v>
      </c>
      <c r="F26" s="1" t="s">
        <v>337</v>
      </c>
      <c r="G26" s="1" t="s">
        <v>74</v>
      </c>
      <c r="H26" s="1" t="s">
        <v>74</v>
      </c>
      <c r="I26" s="1" t="s">
        <v>338</v>
      </c>
      <c r="J26" s="1" t="s">
        <v>339</v>
      </c>
      <c r="K26" s="1" t="s">
        <v>74</v>
      </c>
      <c r="L26" s="1" t="s">
        <v>74</v>
      </c>
      <c r="M26" s="1" t="s">
        <v>74</v>
      </c>
      <c r="N26" s="1" t="s">
        <v>74</v>
      </c>
      <c r="O26" s="1" t="s">
        <v>74</v>
      </c>
      <c r="P26" s="1" t="s">
        <v>74</v>
      </c>
      <c r="Q26" s="1" t="s">
        <v>74</v>
      </c>
      <c r="R26" s="1" t="s">
        <v>74</v>
      </c>
      <c r="S26" s="1" t="s">
        <v>74</v>
      </c>
      <c r="T26" s="1" t="s">
        <v>74</v>
      </c>
      <c r="U26" s="1" t="s">
        <v>74</v>
      </c>
      <c r="V26" s="1" t="s">
        <v>340</v>
      </c>
      <c r="W26" s="1" t="s">
        <v>74</v>
      </c>
      <c r="X26" s="1" t="s">
        <v>74</v>
      </c>
      <c r="Y26" s="1" t="s">
        <v>74</v>
      </c>
      <c r="Z26" s="1" t="s">
        <v>74</v>
      </c>
      <c r="AA26" s="1" t="s">
        <v>341</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342</v>
      </c>
      <c r="AP26" s="1" t="s">
        <v>343</v>
      </c>
      <c r="AQ26" s="1" t="s">
        <v>74</v>
      </c>
      <c r="AR26" s="1" t="s">
        <v>74</v>
      </c>
      <c r="AS26" s="1" t="s">
        <v>74</v>
      </c>
      <c r="AT26" s="1" t="s">
        <v>176</v>
      </c>
      <c r="AU26" s="1">
        <v>2022.0</v>
      </c>
      <c r="AV26" s="1">
        <v>153.0</v>
      </c>
      <c r="AW26" s="1" t="s">
        <v>74</v>
      </c>
      <c r="AX26" s="1" t="s">
        <v>74</v>
      </c>
      <c r="AY26" s="1" t="s">
        <v>74</v>
      </c>
      <c r="AZ26" s="1" t="s">
        <v>74</v>
      </c>
      <c r="BA26" s="1" t="s">
        <v>74</v>
      </c>
      <c r="BB26" s="1">
        <v>105.0</v>
      </c>
      <c r="BC26" s="1">
        <v>148.0</v>
      </c>
      <c r="BD26" s="1" t="s">
        <v>74</v>
      </c>
      <c r="BE26" s="1" t="s">
        <v>344</v>
      </c>
      <c r="BF26" s="2" t="str">
        <f>HYPERLINK("http://dx.doi.org/10.1016/j.jctb.2021.11.003","http://dx.doi.org/10.1016/j.jctb.2021.11.003")</f>
        <v>http://dx.doi.org/10.1016/j.jctb.2021.11.003</v>
      </c>
      <c r="BG26" s="1" t="s">
        <v>74</v>
      </c>
      <c r="BH26" s="1" t="s">
        <v>345</v>
      </c>
      <c r="BI26" s="1" t="s">
        <v>74</v>
      </c>
      <c r="BJ26" s="1" t="s">
        <v>74</v>
      </c>
      <c r="BK26" s="1" t="s">
        <v>74</v>
      </c>
      <c r="BL26" s="1" t="s">
        <v>74</v>
      </c>
      <c r="BM26" s="1" t="s">
        <v>74</v>
      </c>
      <c r="BN26" s="1" t="s">
        <v>74</v>
      </c>
      <c r="BO26" s="1" t="s">
        <v>74</v>
      </c>
      <c r="BP26" s="1" t="s">
        <v>74</v>
      </c>
      <c r="BQ26" s="1" t="s">
        <v>74</v>
      </c>
      <c r="BR26" s="1" t="s">
        <v>74</v>
      </c>
      <c r="BS26" s="1" t="s">
        <v>346</v>
      </c>
      <c r="BT26" s="1" t="str">
        <f>HYPERLINK("https%3A%2F%2Fwww.webofscience.com%2Fwos%2Fwoscc%2Ffull-record%2FWOS:000746622600001","View Full Record in Web of Science")</f>
        <v>View Full Record in Web of Science</v>
      </c>
    </row>
    <row r="27" ht="12.75" customHeight="1">
      <c r="A27" s="1" t="s">
        <v>72</v>
      </c>
      <c r="B27" s="1" t="s">
        <v>347</v>
      </c>
      <c r="C27" s="1" t="s">
        <v>74</v>
      </c>
      <c r="D27" s="1" t="s">
        <v>74</v>
      </c>
      <c r="E27" s="1" t="s">
        <v>74</v>
      </c>
      <c r="F27" s="1" t="s">
        <v>348</v>
      </c>
      <c r="G27" s="1" t="s">
        <v>74</v>
      </c>
      <c r="H27" s="1" t="s">
        <v>74</v>
      </c>
      <c r="I27" s="1" t="s">
        <v>349</v>
      </c>
      <c r="J27" s="1" t="s">
        <v>350</v>
      </c>
      <c r="K27" s="1" t="s">
        <v>74</v>
      </c>
      <c r="L27" s="1" t="s">
        <v>74</v>
      </c>
      <c r="M27" s="1" t="s">
        <v>74</v>
      </c>
      <c r="N27" s="1" t="s">
        <v>74</v>
      </c>
      <c r="O27" s="1" t="s">
        <v>74</v>
      </c>
      <c r="P27" s="1" t="s">
        <v>74</v>
      </c>
      <c r="Q27" s="1" t="s">
        <v>74</v>
      </c>
      <c r="R27" s="1" t="s">
        <v>74</v>
      </c>
      <c r="S27" s="1" t="s">
        <v>74</v>
      </c>
      <c r="T27" s="1" t="s">
        <v>74</v>
      </c>
      <c r="U27" s="1" t="s">
        <v>74</v>
      </c>
      <c r="V27" s="1" t="s">
        <v>351</v>
      </c>
      <c r="W27" s="1" t="s">
        <v>74</v>
      </c>
      <c r="X27" s="1" t="s">
        <v>74</v>
      </c>
      <c r="Y27" s="1" t="s">
        <v>74</v>
      </c>
      <c r="Z27" s="1" t="s">
        <v>74</v>
      </c>
      <c r="AA27" s="1" t="s">
        <v>352</v>
      </c>
      <c r="AB27" s="1" t="s">
        <v>353</v>
      </c>
      <c r="AC27" s="1" t="s">
        <v>74</v>
      </c>
      <c r="AD27" s="1" t="s">
        <v>74</v>
      </c>
      <c r="AE27" s="1" t="s">
        <v>74</v>
      </c>
      <c r="AF27" s="1" t="s">
        <v>74</v>
      </c>
      <c r="AG27" s="1" t="s">
        <v>74</v>
      </c>
      <c r="AH27" s="1" t="s">
        <v>74</v>
      </c>
      <c r="AI27" s="1" t="s">
        <v>74</v>
      </c>
      <c r="AJ27" s="1" t="s">
        <v>74</v>
      </c>
      <c r="AK27" s="1" t="s">
        <v>74</v>
      </c>
      <c r="AL27" s="1" t="s">
        <v>74</v>
      </c>
      <c r="AM27" s="1" t="s">
        <v>74</v>
      </c>
      <c r="AN27" s="1" t="s">
        <v>74</v>
      </c>
      <c r="AO27" s="1" t="s">
        <v>74</v>
      </c>
      <c r="AP27" s="1" t="s">
        <v>354</v>
      </c>
      <c r="AQ27" s="1" t="s">
        <v>74</v>
      </c>
      <c r="AR27" s="1" t="s">
        <v>74</v>
      </c>
      <c r="AS27" s="1" t="s">
        <v>74</v>
      </c>
      <c r="AT27" s="1" t="s">
        <v>241</v>
      </c>
      <c r="AU27" s="1">
        <v>2021.0</v>
      </c>
      <c r="AV27" s="1">
        <v>13.0</v>
      </c>
      <c r="AW27" s="1">
        <v>18.0</v>
      </c>
      <c r="AX27" s="1" t="s">
        <v>74</v>
      </c>
      <c r="AY27" s="1" t="s">
        <v>74</v>
      </c>
      <c r="AZ27" s="1" t="s">
        <v>74</v>
      </c>
      <c r="BA27" s="1" t="s">
        <v>74</v>
      </c>
      <c r="BB27" s="1" t="s">
        <v>74</v>
      </c>
      <c r="BC27" s="1" t="s">
        <v>74</v>
      </c>
      <c r="BD27" s="1">
        <v>2484.0</v>
      </c>
      <c r="BE27" s="1" t="s">
        <v>355</v>
      </c>
      <c r="BF27" s="2" t="str">
        <f>HYPERLINK("http://dx.doi.org/10.3390/w13182484","http://dx.doi.org/10.3390/w13182484")</f>
        <v>http://dx.doi.org/10.3390/w13182484</v>
      </c>
      <c r="BG27" s="1" t="s">
        <v>74</v>
      </c>
      <c r="BH27" s="1" t="s">
        <v>74</v>
      </c>
      <c r="BI27" s="1" t="s">
        <v>74</v>
      </c>
      <c r="BJ27" s="1" t="s">
        <v>74</v>
      </c>
      <c r="BK27" s="1" t="s">
        <v>74</v>
      </c>
      <c r="BL27" s="1" t="s">
        <v>74</v>
      </c>
      <c r="BM27" s="1" t="s">
        <v>74</v>
      </c>
      <c r="BN27" s="1" t="s">
        <v>74</v>
      </c>
      <c r="BO27" s="1" t="s">
        <v>74</v>
      </c>
      <c r="BP27" s="1" t="s">
        <v>74</v>
      </c>
      <c r="BQ27" s="1" t="s">
        <v>74</v>
      </c>
      <c r="BR27" s="1" t="s">
        <v>74</v>
      </c>
      <c r="BS27" s="1" t="s">
        <v>356</v>
      </c>
      <c r="BT27" s="1" t="str">
        <f>HYPERLINK("https%3A%2F%2Fwww.webofscience.com%2Fwos%2Fwoscc%2Ffull-record%2FWOS:000701523100001","View Full Record in Web of Science")</f>
        <v>View Full Record in Web of Science</v>
      </c>
    </row>
    <row r="28" ht="12.75" customHeight="1">
      <c r="A28" s="1" t="s">
        <v>72</v>
      </c>
      <c r="B28" s="1" t="s">
        <v>357</v>
      </c>
      <c r="C28" s="1" t="s">
        <v>74</v>
      </c>
      <c r="D28" s="1" t="s">
        <v>74</v>
      </c>
      <c r="E28" s="1" t="s">
        <v>74</v>
      </c>
      <c r="F28" s="1" t="s">
        <v>358</v>
      </c>
      <c r="G28" s="1" t="s">
        <v>74</v>
      </c>
      <c r="H28" s="1" t="s">
        <v>74</v>
      </c>
      <c r="I28" s="1" t="s">
        <v>359</v>
      </c>
      <c r="J28" s="1" t="s">
        <v>360</v>
      </c>
      <c r="K28" s="1" t="s">
        <v>74</v>
      </c>
      <c r="L28" s="1" t="s">
        <v>74</v>
      </c>
      <c r="M28" s="1" t="s">
        <v>74</v>
      </c>
      <c r="N28" s="1" t="s">
        <v>74</v>
      </c>
      <c r="O28" s="1" t="s">
        <v>74</v>
      </c>
      <c r="P28" s="1" t="s">
        <v>74</v>
      </c>
      <c r="Q28" s="1" t="s">
        <v>74</v>
      </c>
      <c r="R28" s="1" t="s">
        <v>74</v>
      </c>
      <c r="S28" s="1" t="s">
        <v>74</v>
      </c>
      <c r="T28" s="1" t="s">
        <v>74</v>
      </c>
      <c r="U28" s="1" t="s">
        <v>74</v>
      </c>
      <c r="V28" s="1" t="s">
        <v>361</v>
      </c>
      <c r="W28" s="1" t="s">
        <v>74</v>
      </c>
      <c r="X28" s="1" t="s">
        <v>74</v>
      </c>
      <c r="Y28" s="1" t="s">
        <v>74</v>
      </c>
      <c r="Z28" s="1" t="s">
        <v>74</v>
      </c>
      <c r="AA28" s="1" t="s">
        <v>362</v>
      </c>
      <c r="AB28" s="1" t="s">
        <v>363</v>
      </c>
      <c r="AC28" s="1" t="s">
        <v>74</v>
      </c>
      <c r="AD28" s="1" t="s">
        <v>74</v>
      </c>
      <c r="AE28" s="1" t="s">
        <v>74</v>
      </c>
      <c r="AF28" s="1" t="s">
        <v>74</v>
      </c>
      <c r="AG28" s="1" t="s">
        <v>74</v>
      </c>
      <c r="AH28" s="1" t="s">
        <v>74</v>
      </c>
      <c r="AI28" s="1" t="s">
        <v>74</v>
      </c>
      <c r="AJ28" s="1" t="s">
        <v>74</v>
      </c>
      <c r="AK28" s="1" t="s">
        <v>74</v>
      </c>
      <c r="AL28" s="1" t="s">
        <v>74</v>
      </c>
      <c r="AM28" s="1" t="s">
        <v>74</v>
      </c>
      <c r="AN28" s="1" t="s">
        <v>74</v>
      </c>
      <c r="AO28" s="1" t="s">
        <v>364</v>
      </c>
      <c r="AP28" s="1" t="s">
        <v>365</v>
      </c>
      <c r="AQ28" s="1" t="s">
        <v>74</v>
      </c>
      <c r="AR28" s="1" t="s">
        <v>74</v>
      </c>
      <c r="AS28" s="1" t="s">
        <v>74</v>
      </c>
      <c r="AT28" s="1" t="s">
        <v>74</v>
      </c>
      <c r="AU28" s="1">
        <v>2021.0</v>
      </c>
      <c r="AV28" s="1">
        <v>21.0</v>
      </c>
      <c r="AW28" s="1">
        <v>4.0</v>
      </c>
      <c r="AX28" s="1" t="s">
        <v>74</v>
      </c>
      <c r="AY28" s="1" t="s">
        <v>74</v>
      </c>
      <c r="AZ28" s="1" t="s">
        <v>74</v>
      </c>
      <c r="BA28" s="1" t="s">
        <v>74</v>
      </c>
      <c r="BB28" s="1">
        <v>36.0</v>
      </c>
      <c r="BC28" s="1">
        <v>46.0</v>
      </c>
      <c r="BD28" s="1" t="s">
        <v>74</v>
      </c>
      <c r="BE28" s="1" t="s">
        <v>366</v>
      </c>
      <c r="BF28" s="2" t="str">
        <f>HYPERLINK("http://dx.doi.org/10.14589/ido.21.4.6","http://dx.doi.org/10.14589/ido.21.4.6")</f>
        <v>http://dx.doi.org/10.14589/ido.21.4.6</v>
      </c>
      <c r="BG28" s="1" t="s">
        <v>74</v>
      </c>
      <c r="BH28" s="1" t="s">
        <v>74</v>
      </c>
      <c r="BI28" s="1" t="s">
        <v>74</v>
      </c>
      <c r="BJ28" s="1" t="s">
        <v>74</v>
      </c>
      <c r="BK28" s="1" t="s">
        <v>74</v>
      </c>
      <c r="BL28" s="1" t="s">
        <v>74</v>
      </c>
      <c r="BM28" s="1" t="s">
        <v>74</v>
      </c>
      <c r="BN28" s="1" t="s">
        <v>74</v>
      </c>
      <c r="BO28" s="1" t="s">
        <v>74</v>
      </c>
      <c r="BP28" s="1" t="s">
        <v>74</v>
      </c>
      <c r="BQ28" s="1" t="s">
        <v>74</v>
      </c>
      <c r="BR28" s="1" t="s">
        <v>74</v>
      </c>
      <c r="BS28" s="1" t="s">
        <v>367</v>
      </c>
      <c r="BT28" s="1" t="str">
        <f>HYPERLINK("https%3A%2F%2Fwww.webofscience.com%2Fwos%2Fwoscc%2Ffull-record%2FWOS:000694766900006","View Full Record in Web of Science")</f>
        <v>View Full Record in Web of Science</v>
      </c>
    </row>
    <row r="29" ht="12.75" customHeight="1">
      <c r="A29" s="1" t="s">
        <v>72</v>
      </c>
      <c r="B29" s="1" t="s">
        <v>368</v>
      </c>
      <c r="C29" s="1" t="s">
        <v>74</v>
      </c>
      <c r="D29" s="1" t="s">
        <v>74</v>
      </c>
      <c r="E29" s="1" t="s">
        <v>74</v>
      </c>
      <c r="F29" s="1" t="s">
        <v>369</v>
      </c>
      <c r="G29" s="1" t="s">
        <v>74</v>
      </c>
      <c r="H29" s="1" t="s">
        <v>74</v>
      </c>
      <c r="I29" s="1" t="s">
        <v>370</v>
      </c>
      <c r="J29" s="1" t="s">
        <v>292</v>
      </c>
      <c r="K29" s="1" t="s">
        <v>74</v>
      </c>
      <c r="L29" s="1" t="s">
        <v>74</v>
      </c>
      <c r="M29" s="1" t="s">
        <v>74</v>
      </c>
      <c r="N29" s="1" t="s">
        <v>74</v>
      </c>
      <c r="O29" s="1" t="s">
        <v>74</v>
      </c>
      <c r="P29" s="1" t="s">
        <v>74</v>
      </c>
      <c r="Q29" s="1" t="s">
        <v>74</v>
      </c>
      <c r="R29" s="1" t="s">
        <v>74</v>
      </c>
      <c r="S29" s="1" t="s">
        <v>74</v>
      </c>
      <c r="T29" s="1" t="s">
        <v>74</v>
      </c>
      <c r="U29" s="1" t="s">
        <v>74</v>
      </c>
      <c r="V29" s="1" t="s">
        <v>371</v>
      </c>
      <c r="W29" s="1" t="s">
        <v>74</v>
      </c>
      <c r="X29" s="1" t="s">
        <v>74</v>
      </c>
      <c r="Y29" s="1" t="s">
        <v>74</v>
      </c>
      <c r="Z29" s="1" t="s">
        <v>74</v>
      </c>
      <c r="AA29" s="1" t="s">
        <v>372</v>
      </c>
      <c r="AB29" s="1" t="s">
        <v>373</v>
      </c>
      <c r="AC29" s="1" t="s">
        <v>74</v>
      </c>
      <c r="AD29" s="1" t="s">
        <v>74</v>
      </c>
      <c r="AE29" s="1" t="s">
        <v>74</v>
      </c>
      <c r="AF29" s="1" t="s">
        <v>74</v>
      </c>
      <c r="AG29" s="1" t="s">
        <v>74</v>
      </c>
      <c r="AH29" s="1" t="s">
        <v>74</v>
      </c>
      <c r="AI29" s="1" t="s">
        <v>74</v>
      </c>
      <c r="AJ29" s="1" t="s">
        <v>74</v>
      </c>
      <c r="AK29" s="1" t="s">
        <v>74</v>
      </c>
      <c r="AL29" s="1" t="s">
        <v>74</v>
      </c>
      <c r="AM29" s="1" t="s">
        <v>74</v>
      </c>
      <c r="AN29" s="1" t="s">
        <v>74</v>
      </c>
      <c r="AO29" s="1" t="s">
        <v>296</v>
      </c>
      <c r="AP29" s="1" t="s">
        <v>74</v>
      </c>
      <c r="AQ29" s="1" t="s">
        <v>74</v>
      </c>
      <c r="AR29" s="1" t="s">
        <v>74</v>
      </c>
      <c r="AS29" s="1" t="s">
        <v>74</v>
      </c>
      <c r="AT29" s="1" t="s">
        <v>374</v>
      </c>
      <c r="AU29" s="1">
        <v>2020.0</v>
      </c>
      <c r="AV29" s="1">
        <v>10.0</v>
      </c>
      <c r="AW29" s="1">
        <v>1.0</v>
      </c>
      <c r="AX29" s="1" t="s">
        <v>74</v>
      </c>
      <c r="AY29" s="1" t="s">
        <v>74</v>
      </c>
      <c r="AZ29" s="1" t="s">
        <v>74</v>
      </c>
      <c r="BA29" s="1" t="s">
        <v>74</v>
      </c>
      <c r="BB29" s="1" t="s">
        <v>74</v>
      </c>
      <c r="BC29" s="1" t="s">
        <v>74</v>
      </c>
      <c r="BD29" s="1">
        <v>13742.0</v>
      </c>
      <c r="BE29" s="1" t="s">
        <v>375</v>
      </c>
      <c r="BF29" s="2" t="str">
        <f>HYPERLINK("http://dx.doi.org/10.1038/s41598-020-70512-1","http://dx.doi.org/10.1038/s41598-020-70512-1")</f>
        <v>http://dx.doi.org/10.1038/s41598-020-70512-1</v>
      </c>
      <c r="BG29" s="1" t="s">
        <v>74</v>
      </c>
      <c r="BH29" s="1" t="s">
        <v>74</v>
      </c>
      <c r="BI29" s="1" t="s">
        <v>74</v>
      </c>
      <c r="BJ29" s="1" t="s">
        <v>74</v>
      </c>
      <c r="BK29" s="1" t="s">
        <v>74</v>
      </c>
      <c r="BL29" s="1" t="s">
        <v>74</v>
      </c>
      <c r="BM29" s="1" t="s">
        <v>74</v>
      </c>
      <c r="BN29" s="1">
        <v>3.2792576E7</v>
      </c>
      <c r="BO29" s="1" t="s">
        <v>74</v>
      </c>
      <c r="BP29" s="1" t="s">
        <v>74</v>
      </c>
      <c r="BQ29" s="1" t="s">
        <v>74</v>
      </c>
      <c r="BR29" s="1" t="s">
        <v>74</v>
      </c>
      <c r="BS29" s="1" t="s">
        <v>376</v>
      </c>
      <c r="BT29" s="1" t="str">
        <f>HYPERLINK("https%3A%2F%2Fwww.webofscience.com%2Fwos%2Fwoscc%2Ffull-record%2FWOS:000563547400020","View Full Record in Web of Science")</f>
        <v>View Full Record in Web of Science</v>
      </c>
    </row>
    <row r="30" ht="12.75" customHeight="1">
      <c r="A30" s="1" t="s">
        <v>72</v>
      </c>
      <c r="B30" s="1" t="s">
        <v>377</v>
      </c>
      <c r="C30" s="1" t="s">
        <v>74</v>
      </c>
      <c r="D30" s="1" t="s">
        <v>74</v>
      </c>
      <c r="E30" s="1" t="s">
        <v>74</v>
      </c>
      <c r="F30" s="1" t="s">
        <v>378</v>
      </c>
      <c r="G30" s="1" t="s">
        <v>74</v>
      </c>
      <c r="H30" s="1" t="s">
        <v>74</v>
      </c>
      <c r="I30" s="1" t="s">
        <v>379</v>
      </c>
      <c r="J30" s="1" t="s">
        <v>380</v>
      </c>
      <c r="K30" s="1" t="s">
        <v>74</v>
      </c>
      <c r="L30" s="1" t="s">
        <v>74</v>
      </c>
      <c r="M30" s="1" t="s">
        <v>74</v>
      </c>
      <c r="N30" s="1" t="s">
        <v>74</v>
      </c>
      <c r="O30" s="1" t="s">
        <v>74</v>
      </c>
      <c r="P30" s="1" t="s">
        <v>74</v>
      </c>
      <c r="Q30" s="1" t="s">
        <v>74</v>
      </c>
      <c r="R30" s="1" t="s">
        <v>74</v>
      </c>
      <c r="S30" s="1" t="s">
        <v>74</v>
      </c>
      <c r="T30" s="1" t="s">
        <v>74</v>
      </c>
      <c r="U30" s="1" t="s">
        <v>74</v>
      </c>
      <c r="V30" s="1" t="s">
        <v>381</v>
      </c>
      <c r="W30" s="1" t="s">
        <v>74</v>
      </c>
      <c r="X30" s="1" t="s">
        <v>74</v>
      </c>
      <c r="Y30" s="1" t="s">
        <v>74</v>
      </c>
      <c r="Z30" s="1" t="s">
        <v>74</v>
      </c>
      <c r="AA30" s="1" t="s">
        <v>382</v>
      </c>
      <c r="AB30" s="1" t="s">
        <v>383</v>
      </c>
      <c r="AC30" s="1" t="s">
        <v>74</v>
      </c>
      <c r="AD30" s="1" t="s">
        <v>74</v>
      </c>
      <c r="AE30" s="1" t="s">
        <v>74</v>
      </c>
      <c r="AF30" s="1" t="s">
        <v>74</v>
      </c>
      <c r="AG30" s="1" t="s">
        <v>74</v>
      </c>
      <c r="AH30" s="1" t="s">
        <v>74</v>
      </c>
      <c r="AI30" s="1" t="s">
        <v>74</v>
      </c>
      <c r="AJ30" s="1" t="s">
        <v>74</v>
      </c>
      <c r="AK30" s="1" t="s">
        <v>74</v>
      </c>
      <c r="AL30" s="1" t="s">
        <v>74</v>
      </c>
      <c r="AM30" s="1" t="s">
        <v>74</v>
      </c>
      <c r="AN30" s="1" t="s">
        <v>74</v>
      </c>
      <c r="AO30" s="1" t="s">
        <v>384</v>
      </c>
      <c r="AP30" s="1" t="s">
        <v>74</v>
      </c>
      <c r="AQ30" s="1" t="s">
        <v>74</v>
      </c>
      <c r="AR30" s="1" t="s">
        <v>74</v>
      </c>
      <c r="AS30" s="1" t="s">
        <v>74</v>
      </c>
      <c r="AT30" s="1" t="s">
        <v>385</v>
      </c>
      <c r="AU30" s="1">
        <v>2020.0</v>
      </c>
      <c r="AV30" s="1">
        <v>20.0</v>
      </c>
      <c r="AW30" s="1">
        <v>5.0</v>
      </c>
      <c r="AX30" s="1" t="s">
        <v>74</v>
      </c>
      <c r="AY30" s="1" t="s">
        <v>74</v>
      </c>
      <c r="AZ30" s="1" t="s">
        <v>74</v>
      </c>
      <c r="BA30" s="1" t="s">
        <v>74</v>
      </c>
      <c r="BB30" s="1" t="s">
        <v>74</v>
      </c>
      <c r="BC30" s="1" t="s">
        <v>74</v>
      </c>
      <c r="BD30" s="1" t="s">
        <v>386</v>
      </c>
      <c r="BE30" s="1" t="s">
        <v>387</v>
      </c>
      <c r="BF30" s="2" t="str">
        <f>HYPERLINK("http://dx.doi.org/10.5867/medwave.2020.05.7923","http://dx.doi.org/10.5867/medwave.2020.05.7923")</f>
        <v>http://dx.doi.org/10.5867/medwave.2020.05.7923</v>
      </c>
      <c r="BG30" s="1" t="s">
        <v>74</v>
      </c>
      <c r="BH30" s="1" t="s">
        <v>74</v>
      </c>
      <c r="BI30" s="1" t="s">
        <v>74</v>
      </c>
      <c r="BJ30" s="1" t="s">
        <v>74</v>
      </c>
      <c r="BK30" s="1" t="s">
        <v>74</v>
      </c>
      <c r="BL30" s="1" t="s">
        <v>74</v>
      </c>
      <c r="BM30" s="1" t="s">
        <v>74</v>
      </c>
      <c r="BN30" s="1">
        <v>3.2559182E7</v>
      </c>
      <c r="BO30" s="1" t="s">
        <v>74</v>
      </c>
      <c r="BP30" s="1" t="s">
        <v>74</v>
      </c>
      <c r="BQ30" s="1" t="s">
        <v>74</v>
      </c>
      <c r="BR30" s="1" t="s">
        <v>74</v>
      </c>
      <c r="BS30" s="1" t="s">
        <v>388</v>
      </c>
      <c r="BT30" s="1" t="str">
        <f>HYPERLINK("https%3A%2F%2Fwww.webofscience.com%2Fwos%2Fwoscc%2Ffull-record%2FWOS:000544228000005","View Full Record in Web of Science")</f>
        <v>View Full Record in Web of Science</v>
      </c>
    </row>
    <row r="31" ht="12.75" customHeight="1">
      <c r="A31" s="1" t="s">
        <v>72</v>
      </c>
      <c r="B31" s="1" t="s">
        <v>389</v>
      </c>
      <c r="C31" s="1" t="s">
        <v>74</v>
      </c>
      <c r="D31" s="1" t="s">
        <v>74</v>
      </c>
      <c r="E31" s="1" t="s">
        <v>74</v>
      </c>
      <c r="F31" s="1" t="s">
        <v>390</v>
      </c>
      <c r="G31" s="1" t="s">
        <v>74</v>
      </c>
      <c r="H31" s="1" t="s">
        <v>74</v>
      </c>
      <c r="I31" s="1" t="s">
        <v>391</v>
      </c>
      <c r="J31" s="1" t="s">
        <v>392</v>
      </c>
      <c r="K31" s="1" t="s">
        <v>74</v>
      </c>
      <c r="L31" s="1" t="s">
        <v>74</v>
      </c>
      <c r="M31" s="1" t="s">
        <v>74</v>
      </c>
      <c r="N31" s="1" t="s">
        <v>74</v>
      </c>
      <c r="O31" s="1" t="s">
        <v>74</v>
      </c>
      <c r="P31" s="1" t="s">
        <v>74</v>
      </c>
      <c r="Q31" s="1" t="s">
        <v>74</v>
      </c>
      <c r="R31" s="1" t="s">
        <v>74</v>
      </c>
      <c r="S31" s="1" t="s">
        <v>74</v>
      </c>
      <c r="T31" s="1" t="s">
        <v>74</v>
      </c>
      <c r="U31" s="1" t="s">
        <v>74</v>
      </c>
      <c r="V31" s="1" t="s">
        <v>393</v>
      </c>
      <c r="W31" s="1" t="s">
        <v>74</v>
      </c>
      <c r="X31" s="1" t="s">
        <v>74</v>
      </c>
      <c r="Y31" s="1" t="s">
        <v>74</v>
      </c>
      <c r="Z31" s="1" t="s">
        <v>74</v>
      </c>
      <c r="AA31" s="1" t="s">
        <v>394</v>
      </c>
      <c r="AB31" s="1" t="s">
        <v>395</v>
      </c>
      <c r="AC31" s="1" t="s">
        <v>74</v>
      </c>
      <c r="AD31" s="1" t="s">
        <v>74</v>
      </c>
      <c r="AE31" s="1" t="s">
        <v>74</v>
      </c>
      <c r="AF31" s="1" t="s">
        <v>74</v>
      </c>
      <c r="AG31" s="1" t="s">
        <v>74</v>
      </c>
      <c r="AH31" s="1" t="s">
        <v>74</v>
      </c>
      <c r="AI31" s="1" t="s">
        <v>74</v>
      </c>
      <c r="AJ31" s="1" t="s">
        <v>74</v>
      </c>
      <c r="AK31" s="1" t="s">
        <v>74</v>
      </c>
      <c r="AL31" s="1" t="s">
        <v>74</v>
      </c>
      <c r="AM31" s="1" t="s">
        <v>74</v>
      </c>
      <c r="AN31" s="1" t="s">
        <v>74</v>
      </c>
      <c r="AO31" s="1" t="s">
        <v>396</v>
      </c>
      <c r="AP31" s="1" t="s">
        <v>397</v>
      </c>
      <c r="AQ31" s="1" t="s">
        <v>74</v>
      </c>
      <c r="AR31" s="1" t="s">
        <v>74</v>
      </c>
      <c r="AS31" s="1" t="s">
        <v>74</v>
      </c>
      <c r="AT31" s="1" t="s">
        <v>398</v>
      </c>
      <c r="AU31" s="1">
        <v>2020.0</v>
      </c>
      <c r="AV31" s="1">
        <v>101.0</v>
      </c>
      <c r="AW31" s="1">
        <v>10.0</v>
      </c>
      <c r="AX31" s="1" t="s">
        <v>74</v>
      </c>
      <c r="AY31" s="1" t="s">
        <v>74</v>
      </c>
      <c r="AZ31" s="1" t="s">
        <v>74</v>
      </c>
      <c r="BA31" s="1" t="s">
        <v>74</v>
      </c>
      <c r="BB31" s="1" t="s">
        <v>74</v>
      </c>
      <c r="BC31" s="1" t="s">
        <v>74</v>
      </c>
      <c r="BD31" s="1">
        <v>103009.0</v>
      </c>
      <c r="BE31" s="1" t="s">
        <v>399</v>
      </c>
      <c r="BF31" s="2" t="str">
        <f>HYPERLINK("http://dx.doi.org/10.1103/PhysRevD.101.103009","http://dx.doi.org/10.1103/PhysRevD.101.103009")</f>
        <v>http://dx.doi.org/10.1103/PhysRevD.101.103009</v>
      </c>
      <c r="BG31" s="1" t="s">
        <v>74</v>
      </c>
      <c r="BH31" s="1" t="s">
        <v>74</v>
      </c>
      <c r="BI31" s="1" t="s">
        <v>74</v>
      </c>
      <c r="BJ31" s="1" t="s">
        <v>74</v>
      </c>
      <c r="BK31" s="1" t="s">
        <v>74</v>
      </c>
      <c r="BL31" s="1" t="s">
        <v>74</v>
      </c>
      <c r="BM31" s="1" t="s">
        <v>74</v>
      </c>
      <c r="BN31" s="1" t="s">
        <v>74</v>
      </c>
      <c r="BO31" s="1" t="s">
        <v>74</v>
      </c>
      <c r="BP31" s="1" t="s">
        <v>74</v>
      </c>
      <c r="BQ31" s="1" t="s">
        <v>74</v>
      </c>
      <c r="BR31" s="1" t="s">
        <v>74</v>
      </c>
      <c r="BS31" s="1" t="s">
        <v>400</v>
      </c>
      <c r="BT31" s="1" t="str">
        <f>HYPERLINK("https%3A%2F%2Fwww.webofscience.com%2Fwos%2Fwoscc%2Ffull-record%2FWOS:000530635800003","View Full Record in Web of Science")</f>
        <v>View Full Record in Web of Science</v>
      </c>
    </row>
    <row r="32" ht="12.75" customHeight="1">
      <c r="A32" s="1" t="s">
        <v>72</v>
      </c>
      <c r="B32" s="1" t="s">
        <v>401</v>
      </c>
      <c r="C32" s="1" t="s">
        <v>74</v>
      </c>
      <c r="D32" s="1" t="s">
        <v>74</v>
      </c>
      <c r="E32" s="1" t="s">
        <v>74</v>
      </c>
      <c r="F32" s="1" t="s">
        <v>402</v>
      </c>
      <c r="G32" s="1" t="s">
        <v>74</v>
      </c>
      <c r="H32" s="1" t="s">
        <v>74</v>
      </c>
      <c r="I32" s="1" t="s">
        <v>403</v>
      </c>
      <c r="J32" s="1" t="s">
        <v>404</v>
      </c>
      <c r="K32" s="1" t="s">
        <v>74</v>
      </c>
      <c r="L32" s="1" t="s">
        <v>74</v>
      </c>
      <c r="M32" s="1" t="s">
        <v>74</v>
      </c>
      <c r="N32" s="1" t="s">
        <v>74</v>
      </c>
      <c r="O32" s="1" t="s">
        <v>74</v>
      </c>
      <c r="P32" s="1" t="s">
        <v>74</v>
      </c>
      <c r="Q32" s="1" t="s">
        <v>74</v>
      </c>
      <c r="R32" s="1" t="s">
        <v>74</v>
      </c>
      <c r="S32" s="1" t="s">
        <v>74</v>
      </c>
      <c r="T32" s="1" t="s">
        <v>74</v>
      </c>
      <c r="U32" s="1" t="s">
        <v>74</v>
      </c>
      <c r="V32" s="1" t="s">
        <v>405</v>
      </c>
      <c r="W32" s="1" t="s">
        <v>74</v>
      </c>
      <c r="X32" s="1" t="s">
        <v>74</v>
      </c>
      <c r="Y32" s="1" t="s">
        <v>74</v>
      </c>
      <c r="Z32" s="1" t="s">
        <v>74</v>
      </c>
      <c r="AA32" s="1" t="s">
        <v>406</v>
      </c>
      <c r="AB32" s="1" t="s">
        <v>407</v>
      </c>
      <c r="AC32" s="1" t="s">
        <v>74</v>
      </c>
      <c r="AD32" s="1" t="s">
        <v>74</v>
      </c>
      <c r="AE32" s="1" t="s">
        <v>74</v>
      </c>
      <c r="AF32" s="1" t="s">
        <v>74</v>
      </c>
      <c r="AG32" s="1" t="s">
        <v>74</v>
      </c>
      <c r="AH32" s="1" t="s">
        <v>74</v>
      </c>
      <c r="AI32" s="1" t="s">
        <v>74</v>
      </c>
      <c r="AJ32" s="1" t="s">
        <v>74</v>
      </c>
      <c r="AK32" s="1" t="s">
        <v>74</v>
      </c>
      <c r="AL32" s="1" t="s">
        <v>74</v>
      </c>
      <c r="AM32" s="1" t="s">
        <v>74</v>
      </c>
      <c r="AN32" s="1" t="s">
        <v>74</v>
      </c>
      <c r="AO32" s="1" t="s">
        <v>408</v>
      </c>
      <c r="AP32" s="1" t="s">
        <v>409</v>
      </c>
      <c r="AQ32" s="1" t="s">
        <v>74</v>
      </c>
      <c r="AR32" s="1" t="s">
        <v>74</v>
      </c>
      <c r="AS32" s="1" t="s">
        <v>74</v>
      </c>
      <c r="AT32" s="1" t="s">
        <v>176</v>
      </c>
      <c r="AU32" s="1">
        <v>2020.0</v>
      </c>
      <c r="AV32" s="1">
        <v>14.0</v>
      </c>
      <c r="AW32" s="1">
        <v>2.0</v>
      </c>
      <c r="AX32" s="1" t="s">
        <v>74</v>
      </c>
      <c r="AY32" s="1" t="s">
        <v>74</v>
      </c>
      <c r="AZ32" s="1" t="s">
        <v>74</v>
      </c>
      <c r="BA32" s="1" t="s">
        <v>74</v>
      </c>
      <c r="BB32" s="1">
        <v>344.0</v>
      </c>
      <c r="BC32" s="1">
        <v>356.0</v>
      </c>
      <c r="BD32" s="1" t="s">
        <v>74</v>
      </c>
      <c r="BE32" s="1" t="s">
        <v>410</v>
      </c>
      <c r="BF32" s="2" t="str">
        <f>HYPERLINK("http://dx.doi.org/10.1002/bbb.2085","http://dx.doi.org/10.1002/bbb.2085")</f>
        <v>http://dx.doi.org/10.1002/bbb.2085</v>
      </c>
      <c r="BG32" s="1" t="s">
        <v>74</v>
      </c>
      <c r="BH32" s="1" t="s">
        <v>411</v>
      </c>
      <c r="BI32" s="1" t="s">
        <v>74</v>
      </c>
      <c r="BJ32" s="1" t="s">
        <v>74</v>
      </c>
      <c r="BK32" s="1" t="s">
        <v>74</v>
      </c>
      <c r="BL32" s="1" t="s">
        <v>74</v>
      </c>
      <c r="BM32" s="1" t="s">
        <v>74</v>
      </c>
      <c r="BN32" s="1" t="s">
        <v>74</v>
      </c>
      <c r="BO32" s="1" t="s">
        <v>74</v>
      </c>
      <c r="BP32" s="1" t="s">
        <v>74</v>
      </c>
      <c r="BQ32" s="1" t="s">
        <v>74</v>
      </c>
      <c r="BR32" s="1" t="s">
        <v>74</v>
      </c>
      <c r="BS32" s="1" t="s">
        <v>412</v>
      </c>
      <c r="BT32" s="1" t="str">
        <f>HYPERLINK("https%3A%2F%2Fwww.webofscience.com%2Fwos%2Fwoscc%2Ffull-record%2FWOS:000506698100001","View Full Record in Web of Science")</f>
        <v>View Full Record in Web of Science</v>
      </c>
    </row>
    <row r="33" ht="12.75" customHeight="1">
      <c r="A33" s="1" t="s">
        <v>72</v>
      </c>
      <c r="B33" s="1" t="s">
        <v>413</v>
      </c>
      <c r="C33" s="1" t="s">
        <v>74</v>
      </c>
      <c r="D33" s="1" t="s">
        <v>74</v>
      </c>
      <c r="E33" s="1" t="s">
        <v>74</v>
      </c>
      <c r="F33" s="1" t="s">
        <v>414</v>
      </c>
      <c r="G33" s="1" t="s">
        <v>74</v>
      </c>
      <c r="H33" s="1" t="s">
        <v>74</v>
      </c>
      <c r="I33" s="1" t="s">
        <v>415</v>
      </c>
      <c r="J33" s="1" t="s">
        <v>416</v>
      </c>
      <c r="K33" s="1" t="s">
        <v>74</v>
      </c>
      <c r="L33" s="1" t="s">
        <v>74</v>
      </c>
      <c r="M33" s="1" t="s">
        <v>74</v>
      </c>
      <c r="N33" s="1" t="s">
        <v>74</v>
      </c>
      <c r="O33" s="1" t="s">
        <v>74</v>
      </c>
      <c r="P33" s="1" t="s">
        <v>74</v>
      </c>
      <c r="Q33" s="1" t="s">
        <v>74</v>
      </c>
      <c r="R33" s="1" t="s">
        <v>74</v>
      </c>
      <c r="S33" s="1" t="s">
        <v>74</v>
      </c>
      <c r="T33" s="1" t="s">
        <v>74</v>
      </c>
      <c r="U33" s="1" t="s">
        <v>74</v>
      </c>
      <c r="V33" s="1" t="s">
        <v>74</v>
      </c>
      <c r="W33" s="1" t="s">
        <v>74</v>
      </c>
      <c r="X33" s="1" t="s">
        <v>74</v>
      </c>
      <c r="Y33" s="1" t="s">
        <v>74</v>
      </c>
      <c r="Z33" s="1" t="s">
        <v>74</v>
      </c>
      <c r="AA33" s="1" t="s">
        <v>417</v>
      </c>
      <c r="AB33" s="1" t="s">
        <v>418</v>
      </c>
      <c r="AC33" s="1" t="s">
        <v>74</v>
      </c>
      <c r="AD33" s="1" t="s">
        <v>74</v>
      </c>
      <c r="AE33" s="1" t="s">
        <v>74</v>
      </c>
      <c r="AF33" s="1" t="s">
        <v>74</v>
      </c>
      <c r="AG33" s="1" t="s">
        <v>74</v>
      </c>
      <c r="AH33" s="1" t="s">
        <v>74</v>
      </c>
      <c r="AI33" s="1" t="s">
        <v>74</v>
      </c>
      <c r="AJ33" s="1" t="s">
        <v>74</v>
      </c>
      <c r="AK33" s="1" t="s">
        <v>74</v>
      </c>
      <c r="AL33" s="1" t="s">
        <v>74</v>
      </c>
      <c r="AM33" s="1" t="s">
        <v>74</v>
      </c>
      <c r="AN33" s="1" t="s">
        <v>74</v>
      </c>
      <c r="AO33" s="1" t="s">
        <v>419</v>
      </c>
      <c r="AP33" s="1" t="s">
        <v>420</v>
      </c>
      <c r="AQ33" s="1" t="s">
        <v>74</v>
      </c>
      <c r="AR33" s="1" t="s">
        <v>74</v>
      </c>
      <c r="AS33" s="1" t="s">
        <v>74</v>
      </c>
      <c r="AT33" s="1" t="s">
        <v>83</v>
      </c>
      <c r="AU33" s="1">
        <v>2019.0</v>
      </c>
      <c r="AV33" s="1">
        <v>64.0</v>
      </c>
      <c r="AW33" s="1" t="s">
        <v>74</v>
      </c>
      <c r="AX33" s="1" t="s">
        <v>74</v>
      </c>
      <c r="AY33" s="1">
        <v>1.0</v>
      </c>
      <c r="AZ33" s="1" t="s">
        <v>74</v>
      </c>
      <c r="BA33" s="1" t="s">
        <v>74</v>
      </c>
      <c r="BB33" s="1" t="s">
        <v>421</v>
      </c>
      <c r="BC33" s="1" t="s">
        <v>421</v>
      </c>
      <c r="BD33" s="1" t="s">
        <v>74</v>
      </c>
      <c r="BE33" s="1" t="s">
        <v>74</v>
      </c>
      <c r="BF33" s="1" t="s">
        <v>74</v>
      </c>
      <c r="BG33" s="1" t="s">
        <v>74</v>
      </c>
      <c r="BH33" s="1" t="s">
        <v>74</v>
      </c>
      <c r="BI33" s="1" t="s">
        <v>74</v>
      </c>
      <c r="BJ33" s="1" t="s">
        <v>74</v>
      </c>
      <c r="BK33" s="1" t="s">
        <v>74</v>
      </c>
      <c r="BL33" s="1" t="s">
        <v>74</v>
      </c>
      <c r="BM33" s="1" t="s">
        <v>74</v>
      </c>
      <c r="BN33" s="1" t="s">
        <v>74</v>
      </c>
      <c r="BO33" s="1" t="s">
        <v>74</v>
      </c>
      <c r="BP33" s="1" t="s">
        <v>74</v>
      </c>
      <c r="BQ33" s="1" t="s">
        <v>74</v>
      </c>
      <c r="BR33" s="1" t="s">
        <v>74</v>
      </c>
      <c r="BS33" s="1" t="s">
        <v>422</v>
      </c>
      <c r="BT33" s="1" t="str">
        <f>HYPERLINK("https%3A%2F%2Fwww.webofscience.com%2Fwos%2Fwoscc%2Ffull-record%2FWOS:000558768400791","View Full Record in Web of Science")</f>
        <v>View Full Record in Web of Science</v>
      </c>
    </row>
    <row r="34" ht="12.75" customHeight="1">
      <c r="A34" s="1" t="s">
        <v>72</v>
      </c>
      <c r="B34" s="1" t="s">
        <v>423</v>
      </c>
      <c r="C34" s="1" t="s">
        <v>74</v>
      </c>
      <c r="D34" s="1" t="s">
        <v>74</v>
      </c>
      <c r="E34" s="1" t="s">
        <v>74</v>
      </c>
      <c r="F34" s="1" t="s">
        <v>424</v>
      </c>
      <c r="G34" s="1" t="s">
        <v>74</v>
      </c>
      <c r="H34" s="1" t="s">
        <v>74</v>
      </c>
      <c r="I34" s="1" t="s">
        <v>425</v>
      </c>
      <c r="J34" s="1" t="s">
        <v>426</v>
      </c>
      <c r="K34" s="1" t="s">
        <v>74</v>
      </c>
      <c r="L34" s="1" t="s">
        <v>74</v>
      </c>
      <c r="M34" s="1" t="s">
        <v>74</v>
      </c>
      <c r="N34" s="1" t="s">
        <v>74</v>
      </c>
      <c r="O34" s="1" t="s">
        <v>74</v>
      </c>
      <c r="P34" s="1" t="s">
        <v>74</v>
      </c>
      <c r="Q34" s="1" t="s">
        <v>74</v>
      </c>
      <c r="R34" s="1" t="s">
        <v>74</v>
      </c>
      <c r="S34" s="1" t="s">
        <v>74</v>
      </c>
      <c r="T34" s="1" t="s">
        <v>74</v>
      </c>
      <c r="U34" s="1" t="s">
        <v>74</v>
      </c>
      <c r="V34" s="1" t="s">
        <v>427</v>
      </c>
      <c r="W34" s="1" t="s">
        <v>74</v>
      </c>
      <c r="X34" s="1" t="s">
        <v>74</v>
      </c>
      <c r="Y34" s="1" t="s">
        <v>74</v>
      </c>
      <c r="Z34" s="1" t="s">
        <v>74</v>
      </c>
      <c r="AA34" s="1" t="s">
        <v>428</v>
      </c>
      <c r="AB34" s="1" t="s">
        <v>429</v>
      </c>
      <c r="AC34" s="1" t="s">
        <v>74</v>
      </c>
      <c r="AD34" s="1" t="s">
        <v>74</v>
      </c>
      <c r="AE34" s="1" t="s">
        <v>74</v>
      </c>
      <c r="AF34" s="1" t="s">
        <v>74</v>
      </c>
      <c r="AG34" s="1" t="s">
        <v>74</v>
      </c>
      <c r="AH34" s="1" t="s">
        <v>74</v>
      </c>
      <c r="AI34" s="1" t="s">
        <v>74</v>
      </c>
      <c r="AJ34" s="1" t="s">
        <v>74</v>
      </c>
      <c r="AK34" s="1" t="s">
        <v>74</v>
      </c>
      <c r="AL34" s="1" t="s">
        <v>74</v>
      </c>
      <c r="AM34" s="1" t="s">
        <v>74</v>
      </c>
      <c r="AN34" s="1" t="s">
        <v>74</v>
      </c>
      <c r="AO34" s="1" t="s">
        <v>430</v>
      </c>
      <c r="AP34" s="1" t="s">
        <v>431</v>
      </c>
      <c r="AQ34" s="1" t="s">
        <v>74</v>
      </c>
      <c r="AR34" s="1" t="s">
        <v>74</v>
      </c>
      <c r="AS34" s="1" t="s">
        <v>74</v>
      </c>
      <c r="AT34" s="1" t="s">
        <v>432</v>
      </c>
      <c r="AU34" s="1">
        <v>2019.0</v>
      </c>
      <c r="AV34" s="1">
        <v>43.0</v>
      </c>
      <c r="AW34" s="1">
        <v>36.0</v>
      </c>
      <c r="AX34" s="1" t="s">
        <v>74</v>
      </c>
      <c r="AY34" s="1" t="s">
        <v>74</v>
      </c>
      <c r="AZ34" s="1" t="s">
        <v>74</v>
      </c>
      <c r="BA34" s="1" t="s">
        <v>74</v>
      </c>
      <c r="BB34" s="1">
        <v>14390.0</v>
      </c>
      <c r="BC34" s="1">
        <v>14401.0</v>
      </c>
      <c r="BD34" s="1" t="s">
        <v>74</v>
      </c>
      <c r="BE34" s="1" t="s">
        <v>433</v>
      </c>
      <c r="BF34" s="2" t="str">
        <f>HYPERLINK("http://dx.doi.org/10.1039/c9nj02585e","http://dx.doi.org/10.1039/c9nj02585e")</f>
        <v>http://dx.doi.org/10.1039/c9nj02585e</v>
      </c>
      <c r="BG34" s="1" t="s">
        <v>74</v>
      </c>
      <c r="BH34" s="1" t="s">
        <v>74</v>
      </c>
      <c r="BI34" s="1" t="s">
        <v>74</v>
      </c>
      <c r="BJ34" s="1" t="s">
        <v>74</v>
      </c>
      <c r="BK34" s="1" t="s">
        <v>74</v>
      </c>
      <c r="BL34" s="1" t="s">
        <v>74</v>
      </c>
      <c r="BM34" s="1" t="s">
        <v>74</v>
      </c>
      <c r="BN34" s="1" t="s">
        <v>74</v>
      </c>
      <c r="BO34" s="1" t="s">
        <v>74</v>
      </c>
      <c r="BP34" s="1" t="s">
        <v>74</v>
      </c>
      <c r="BQ34" s="1" t="s">
        <v>74</v>
      </c>
      <c r="BR34" s="1" t="s">
        <v>74</v>
      </c>
      <c r="BS34" s="1" t="s">
        <v>434</v>
      </c>
      <c r="BT34" s="1" t="str">
        <f>HYPERLINK("https%3A%2F%2Fwww.webofscience.com%2Fwos%2Fwoscc%2Ffull-record%2FWOS:000486223200018","View Full Record in Web of Science")</f>
        <v>View Full Record in Web of Science</v>
      </c>
    </row>
    <row r="35" ht="12.75" customHeight="1">
      <c r="A35" s="1" t="s">
        <v>72</v>
      </c>
      <c r="B35" s="1" t="s">
        <v>435</v>
      </c>
      <c r="C35" s="1" t="s">
        <v>74</v>
      </c>
      <c r="D35" s="1" t="s">
        <v>74</v>
      </c>
      <c r="E35" s="1" t="s">
        <v>74</v>
      </c>
      <c r="F35" s="1" t="s">
        <v>436</v>
      </c>
      <c r="G35" s="1" t="s">
        <v>74</v>
      </c>
      <c r="H35" s="1" t="s">
        <v>74</v>
      </c>
      <c r="I35" s="1" t="s">
        <v>437</v>
      </c>
      <c r="J35" s="1" t="s">
        <v>438</v>
      </c>
      <c r="K35" s="1" t="s">
        <v>74</v>
      </c>
      <c r="L35" s="1" t="s">
        <v>74</v>
      </c>
      <c r="M35" s="1" t="s">
        <v>74</v>
      </c>
      <c r="N35" s="1" t="s">
        <v>74</v>
      </c>
      <c r="O35" s="1" t="s">
        <v>74</v>
      </c>
      <c r="P35" s="1" t="s">
        <v>74</v>
      </c>
      <c r="Q35" s="1" t="s">
        <v>74</v>
      </c>
      <c r="R35" s="1" t="s">
        <v>74</v>
      </c>
      <c r="S35" s="1" t="s">
        <v>74</v>
      </c>
      <c r="T35" s="1" t="s">
        <v>74</v>
      </c>
      <c r="U35" s="1" t="s">
        <v>74</v>
      </c>
      <c r="V35" s="1" t="s">
        <v>439</v>
      </c>
      <c r="W35" s="1" t="s">
        <v>74</v>
      </c>
      <c r="X35" s="1" t="s">
        <v>74</v>
      </c>
      <c r="Y35" s="1" t="s">
        <v>74</v>
      </c>
      <c r="Z35" s="1" t="s">
        <v>74</v>
      </c>
      <c r="AA35" s="1" t="s">
        <v>440</v>
      </c>
      <c r="AB35" s="1" t="s">
        <v>441</v>
      </c>
      <c r="AC35" s="1" t="s">
        <v>74</v>
      </c>
      <c r="AD35" s="1" t="s">
        <v>74</v>
      </c>
      <c r="AE35" s="1" t="s">
        <v>74</v>
      </c>
      <c r="AF35" s="1" t="s">
        <v>74</v>
      </c>
      <c r="AG35" s="1" t="s">
        <v>74</v>
      </c>
      <c r="AH35" s="1" t="s">
        <v>74</v>
      </c>
      <c r="AI35" s="1" t="s">
        <v>74</v>
      </c>
      <c r="AJ35" s="1" t="s">
        <v>74</v>
      </c>
      <c r="AK35" s="1" t="s">
        <v>74</v>
      </c>
      <c r="AL35" s="1" t="s">
        <v>74</v>
      </c>
      <c r="AM35" s="1" t="s">
        <v>74</v>
      </c>
      <c r="AN35" s="1" t="s">
        <v>74</v>
      </c>
      <c r="AO35" s="1" t="s">
        <v>442</v>
      </c>
      <c r="AP35" s="1" t="s">
        <v>443</v>
      </c>
      <c r="AQ35" s="1" t="s">
        <v>74</v>
      </c>
      <c r="AR35" s="1" t="s">
        <v>74</v>
      </c>
      <c r="AS35" s="1" t="s">
        <v>74</v>
      </c>
      <c r="AT35" s="1" t="s">
        <v>444</v>
      </c>
      <c r="AU35" s="1">
        <v>2019.0</v>
      </c>
      <c r="AV35" s="1">
        <v>123.0</v>
      </c>
      <c r="AW35" s="1">
        <v>35.0</v>
      </c>
      <c r="AX35" s="1" t="s">
        <v>74</v>
      </c>
      <c r="AY35" s="1" t="s">
        <v>74</v>
      </c>
      <c r="AZ35" s="1" t="s">
        <v>74</v>
      </c>
      <c r="BA35" s="1" t="s">
        <v>74</v>
      </c>
      <c r="BB35" s="1">
        <v>21713.0</v>
      </c>
      <c r="BC35" s="1">
        <v>21720.0</v>
      </c>
      <c r="BD35" s="1" t="s">
        <v>74</v>
      </c>
      <c r="BE35" s="1" t="s">
        <v>445</v>
      </c>
      <c r="BF35" s="2" t="str">
        <f>HYPERLINK("http://dx.doi.org/10.1021/acs.jpcc.9b03422","http://dx.doi.org/10.1021/acs.jpcc.9b03422")</f>
        <v>http://dx.doi.org/10.1021/acs.jpcc.9b03422</v>
      </c>
      <c r="BG35" s="1" t="s">
        <v>74</v>
      </c>
      <c r="BH35" s="1" t="s">
        <v>74</v>
      </c>
      <c r="BI35" s="1" t="s">
        <v>74</v>
      </c>
      <c r="BJ35" s="1" t="s">
        <v>74</v>
      </c>
      <c r="BK35" s="1" t="s">
        <v>74</v>
      </c>
      <c r="BL35" s="1" t="s">
        <v>74</v>
      </c>
      <c r="BM35" s="1" t="s">
        <v>74</v>
      </c>
      <c r="BN35" s="1" t="s">
        <v>74</v>
      </c>
      <c r="BO35" s="1" t="s">
        <v>74</v>
      </c>
      <c r="BP35" s="1" t="s">
        <v>74</v>
      </c>
      <c r="BQ35" s="1" t="s">
        <v>74</v>
      </c>
      <c r="BR35" s="1" t="s">
        <v>74</v>
      </c>
      <c r="BS35" s="1" t="s">
        <v>446</v>
      </c>
      <c r="BT35" s="1" t="str">
        <f>HYPERLINK("https%3A%2F%2Fwww.webofscience.com%2Fwos%2Fwoscc%2Ffull-record%2FWOS:000484882500045","View Full Record in Web of Science")</f>
        <v>View Full Record in Web of Science</v>
      </c>
    </row>
    <row r="36" ht="12.75" customHeight="1">
      <c r="A36" s="1" t="s">
        <v>72</v>
      </c>
      <c r="B36" s="1" t="s">
        <v>447</v>
      </c>
      <c r="C36" s="1" t="s">
        <v>74</v>
      </c>
      <c r="D36" s="1" t="s">
        <v>74</v>
      </c>
      <c r="E36" s="1" t="s">
        <v>74</v>
      </c>
      <c r="F36" s="1" t="s">
        <v>448</v>
      </c>
      <c r="G36" s="1" t="s">
        <v>74</v>
      </c>
      <c r="H36" s="1" t="s">
        <v>74</v>
      </c>
      <c r="I36" s="1" t="s">
        <v>449</v>
      </c>
      <c r="J36" s="1" t="s">
        <v>450</v>
      </c>
      <c r="K36" s="1" t="s">
        <v>74</v>
      </c>
      <c r="L36" s="1" t="s">
        <v>74</v>
      </c>
      <c r="M36" s="1" t="s">
        <v>74</v>
      </c>
      <c r="N36" s="1" t="s">
        <v>74</v>
      </c>
      <c r="O36" s="1" t="s">
        <v>74</v>
      </c>
      <c r="P36" s="1" t="s">
        <v>74</v>
      </c>
      <c r="Q36" s="1" t="s">
        <v>74</v>
      </c>
      <c r="R36" s="1" t="s">
        <v>74</v>
      </c>
      <c r="S36" s="1" t="s">
        <v>74</v>
      </c>
      <c r="T36" s="1" t="s">
        <v>74</v>
      </c>
      <c r="U36" s="1" t="s">
        <v>74</v>
      </c>
      <c r="V36" s="1" t="s">
        <v>451</v>
      </c>
      <c r="W36" s="1" t="s">
        <v>74</v>
      </c>
      <c r="X36" s="1" t="s">
        <v>74</v>
      </c>
      <c r="Y36" s="1" t="s">
        <v>74</v>
      </c>
      <c r="Z36" s="1" t="s">
        <v>74</v>
      </c>
      <c r="AA36" s="1" t="s">
        <v>452</v>
      </c>
      <c r="AB36" s="1" t="s">
        <v>453</v>
      </c>
      <c r="AC36" s="1" t="s">
        <v>74</v>
      </c>
      <c r="AD36" s="1" t="s">
        <v>74</v>
      </c>
      <c r="AE36" s="1" t="s">
        <v>74</v>
      </c>
      <c r="AF36" s="1" t="s">
        <v>74</v>
      </c>
      <c r="AG36" s="1" t="s">
        <v>74</v>
      </c>
      <c r="AH36" s="1" t="s">
        <v>74</v>
      </c>
      <c r="AI36" s="1" t="s">
        <v>74</v>
      </c>
      <c r="AJ36" s="1" t="s">
        <v>74</v>
      </c>
      <c r="AK36" s="1" t="s">
        <v>74</v>
      </c>
      <c r="AL36" s="1" t="s">
        <v>74</v>
      </c>
      <c r="AM36" s="1" t="s">
        <v>74</v>
      </c>
      <c r="AN36" s="1" t="s">
        <v>74</v>
      </c>
      <c r="AO36" s="1" t="s">
        <v>454</v>
      </c>
      <c r="AP36" s="1" t="s">
        <v>74</v>
      </c>
      <c r="AQ36" s="1" t="s">
        <v>74</v>
      </c>
      <c r="AR36" s="1" t="s">
        <v>74</v>
      </c>
      <c r="AS36" s="1" t="s">
        <v>74</v>
      </c>
      <c r="AT36" s="1" t="s">
        <v>385</v>
      </c>
      <c r="AU36" s="1">
        <v>2019.0</v>
      </c>
      <c r="AV36" s="1">
        <v>4.0</v>
      </c>
      <c r="AW36" s="1">
        <v>6.0</v>
      </c>
      <c r="AX36" s="1" t="s">
        <v>74</v>
      </c>
      <c r="AY36" s="1" t="s">
        <v>74</v>
      </c>
      <c r="AZ36" s="1" t="s">
        <v>74</v>
      </c>
      <c r="BA36" s="1" t="s">
        <v>74</v>
      </c>
      <c r="BB36" s="1">
        <v>10510.0</v>
      </c>
      <c r="BC36" s="1">
        <v>10515.0</v>
      </c>
      <c r="BD36" s="1" t="s">
        <v>74</v>
      </c>
      <c r="BE36" s="1" t="s">
        <v>455</v>
      </c>
      <c r="BF36" s="2" t="str">
        <f>HYPERLINK("http://dx.doi.org/10.1021/acsomega.8b03357","http://dx.doi.org/10.1021/acsomega.8b03357")</f>
        <v>http://dx.doi.org/10.1021/acsomega.8b03357</v>
      </c>
      <c r="BG36" s="1" t="s">
        <v>74</v>
      </c>
      <c r="BH36" s="1" t="s">
        <v>74</v>
      </c>
      <c r="BI36" s="1" t="s">
        <v>74</v>
      </c>
      <c r="BJ36" s="1" t="s">
        <v>74</v>
      </c>
      <c r="BK36" s="1" t="s">
        <v>74</v>
      </c>
      <c r="BL36" s="1" t="s">
        <v>74</v>
      </c>
      <c r="BM36" s="1" t="s">
        <v>74</v>
      </c>
      <c r="BN36" s="1">
        <v>3.1460148E7</v>
      </c>
      <c r="BO36" s="1" t="s">
        <v>74</v>
      </c>
      <c r="BP36" s="1" t="s">
        <v>74</v>
      </c>
      <c r="BQ36" s="1" t="s">
        <v>74</v>
      </c>
      <c r="BR36" s="1" t="s">
        <v>74</v>
      </c>
      <c r="BS36" s="1" t="s">
        <v>456</v>
      </c>
      <c r="BT36" s="1" t="str">
        <f>HYPERLINK("https%3A%2F%2Fwww.webofscience.com%2Fwos%2Fwoscc%2Ffull-record%2FWOS:000473361500107","View Full Record in Web of Science")</f>
        <v>View Full Record in Web of Science</v>
      </c>
    </row>
    <row r="37" ht="12.75" customHeight="1">
      <c r="A37" s="1" t="s">
        <v>72</v>
      </c>
      <c r="B37" s="1" t="s">
        <v>457</v>
      </c>
      <c r="C37" s="1" t="s">
        <v>74</v>
      </c>
      <c r="D37" s="1" t="s">
        <v>74</v>
      </c>
      <c r="E37" s="1" t="s">
        <v>74</v>
      </c>
      <c r="F37" s="1" t="s">
        <v>458</v>
      </c>
      <c r="G37" s="1" t="s">
        <v>74</v>
      </c>
      <c r="H37" s="1" t="s">
        <v>74</v>
      </c>
      <c r="I37" s="1" t="s">
        <v>459</v>
      </c>
      <c r="J37" s="1" t="s">
        <v>460</v>
      </c>
      <c r="K37" s="1" t="s">
        <v>74</v>
      </c>
      <c r="L37" s="1" t="s">
        <v>74</v>
      </c>
      <c r="M37" s="1" t="s">
        <v>74</v>
      </c>
      <c r="N37" s="1" t="s">
        <v>74</v>
      </c>
      <c r="O37" s="1" t="s">
        <v>74</v>
      </c>
      <c r="P37" s="1" t="s">
        <v>74</v>
      </c>
      <c r="Q37" s="1" t="s">
        <v>74</v>
      </c>
      <c r="R37" s="1" t="s">
        <v>74</v>
      </c>
      <c r="S37" s="1" t="s">
        <v>74</v>
      </c>
      <c r="T37" s="1" t="s">
        <v>74</v>
      </c>
      <c r="U37" s="1" t="s">
        <v>74</v>
      </c>
      <c r="V37" s="1" t="s">
        <v>461</v>
      </c>
      <c r="W37" s="1" t="s">
        <v>74</v>
      </c>
      <c r="X37" s="1" t="s">
        <v>74</v>
      </c>
      <c r="Y37" s="1" t="s">
        <v>74</v>
      </c>
      <c r="Z37" s="1" t="s">
        <v>74</v>
      </c>
      <c r="AA37" s="1" t="s">
        <v>462</v>
      </c>
      <c r="AB37" s="1" t="s">
        <v>463</v>
      </c>
      <c r="AC37" s="1" t="s">
        <v>74</v>
      </c>
      <c r="AD37" s="1" t="s">
        <v>74</v>
      </c>
      <c r="AE37" s="1" t="s">
        <v>74</v>
      </c>
      <c r="AF37" s="1" t="s">
        <v>74</v>
      </c>
      <c r="AG37" s="1" t="s">
        <v>74</v>
      </c>
      <c r="AH37" s="1" t="s">
        <v>74</v>
      </c>
      <c r="AI37" s="1" t="s">
        <v>74</v>
      </c>
      <c r="AJ37" s="1" t="s">
        <v>74</v>
      </c>
      <c r="AK37" s="1" t="s">
        <v>74</v>
      </c>
      <c r="AL37" s="1" t="s">
        <v>74</v>
      </c>
      <c r="AM37" s="1" t="s">
        <v>74</v>
      </c>
      <c r="AN37" s="1" t="s">
        <v>74</v>
      </c>
      <c r="AO37" s="1" t="s">
        <v>464</v>
      </c>
      <c r="AP37" s="1" t="s">
        <v>465</v>
      </c>
      <c r="AQ37" s="1" t="s">
        <v>74</v>
      </c>
      <c r="AR37" s="1" t="s">
        <v>74</v>
      </c>
      <c r="AS37" s="1" t="s">
        <v>74</v>
      </c>
      <c r="AT37" s="1" t="s">
        <v>94</v>
      </c>
      <c r="AU37" s="1">
        <v>2019.0</v>
      </c>
      <c r="AV37" s="1">
        <v>19.0</v>
      </c>
      <c r="AW37" s="1">
        <v>3.0</v>
      </c>
      <c r="AX37" s="1" t="s">
        <v>74</v>
      </c>
      <c r="AY37" s="1" t="s">
        <v>74</v>
      </c>
      <c r="AZ37" s="1" t="s">
        <v>74</v>
      </c>
      <c r="BA37" s="1" t="s">
        <v>74</v>
      </c>
      <c r="BB37" s="1" t="s">
        <v>74</v>
      </c>
      <c r="BC37" s="1" t="s">
        <v>74</v>
      </c>
      <c r="BD37" s="1" t="s">
        <v>466</v>
      </c>
      <c r="BE37" s="1" t="s">
        <v>467</v>
      </c>
      <c r="BF37" s="2" t="str">
        <f>HYPERLINK("http://dx.doi.org/10.1093/femsyr/foz022","http://dx.doi.org/10.1093/femsyr/foz022")</f>
        <v>http://dx.doi.org/10.1093/femsyr/foz022</v>
      </c>
      <c r="BG37" s="1" t="s">
        <v>74</v>
      </c>
      <c r="BH37" s="1" t="s">
        <v>74</v>
      </c>
      <c r="BI37" s="1" t="s">
        <v>74</v>
      </c>
      <c r="BJ37" s="1" t="s">
        <v>74</v>
      </c>
      <c r="BK37" s="1" t="s">
        <v>74</v>
      </c>
      <c r="BL37" s="1" t="s">
        <v>74</v>
      </c>
      <c r="BM37" s="1" t="s">
        <v>74</v>
      </c>
      <c r="BN37" s="1">
        <v>3.0848782E7</v>
      </c>
      <c r="BO37" s="1" t="s">
        <v>74</v>
      </c>
      <c r="BP37" s="1" t="s">
        <v>74</v>
      </c>
      <c r="BQ37" s="1" t="s">
        <v>74</v>
      </c>
      <c r="BR37" s="1" t="s">
        <v>74</v>
      </c>
      <c r="BS37" s="1" t="s">
        <v>468</v>
      </c>
      <c r="BT37" s="1" t="str">
        <f>HYPERLINK("https%3A%2F%2Fwww.webofscience.com%2Fwos%2Fwoscc%2Ffull-record%2FWOS:000474809700011","View Full Record in Web of Science")</f>
        <v>View Full Record in Web of Science</v>
      </c>
    </row>
    <row r="38" ht="12.75" customHeight="1">
      <c r="A38" s="1" t="s">
        <v>72</v>
      </c>
      <c r="B38" s="1" t="s">
        <v>469</v>
      </c>
      <c r="C38" s="1" t="s">
        <v>74</v>
      </c>
      <c r="D38" s="1" t="s">
        <v>74</v>
      </c>
      <c r="E38" s="1" t="s">
        <v>74</v>
      </c>
      <c r="F38" s="1" t="s">
        <v>470</v>
      </c>
      <c r="G38" s="1" t="s">
        <v>74</v>
      </c>
      <c r="H38" s="1" t="s">
        <v>74</v>
      </c>
      <c r="I38" s="1" t="s">
        <v>471</v>
      </c>
      <c r="J38" s="1" t="s">
        <v>472</v>
      </c>
      <c r="K38" s="1" t="s">
        <v>74</v>
      </c>
      <c r="L38" s="1" t="s">
        <v>74</v>
      </c>
      <c r="M38" s="1" t="s">
        <v>74</v>
      </c>
      <c r="N38" s="1" t="s">
        <v>74</v>
      </c>
      <c r="O38" s="1" t="s">
        <v>74</v>
      </c>
      <c r="P38" s="1" t="s">
        <v>74</v>
      </c>
      <c r="Q38" s="1" t="s">
        <v>74</v>
      </c>
      <c r="R38" s="1" t="s">
        <v>74</v>
      </c>
      <c r="S38" s="1" t="s">
        <v>74</v>
      </c>
      <c r="T38" s="1" t="s">
        <v>74</v>
      </c>
      <c r="U38" s="1" t="s">
        <v>74</v>
      </c>
      <c r="V38" s="1" t="s">
        <v>473</v>
      </c>
      <c r="W38" s="1" t="s">
        <v>74</v>
      </c>
      <c r="X38" s="1" t="s">
        <v>74</v>
      </c>
      <c r="Y38" s="1" t="s">
        <v>74</v>
      </c>
      <c r="Z38" s="1" t="s">
        <v>74</v>
      </c>
      <c r="AA38" s="1" t="s">
        <v>474</v>
      </c>
      <c r="AB38" s="1" t="s">
        <v>475</v>
      </c>
      <c r="AC38" s="1" t="s">
        <v>74</v>
      </c>
      <c r="AD38" s="1" t="s">
        <v>74</v>
      </c>
      <c r="AE38" s="1" t="s">
        <v>74</v>
      </c>
      <c r="AF38" s="1" t="s">
        <v>74</v>
      </c>
      <c r="AG38" s="1" t="s">
        <v>74</v>
      </c>
      <c r="AH38" s="1" t="s">
        <v>74</v>
      </c>
      <c r="AI38" s="1" t="s">
        <v>74</v>
      </c>
      <c r="AJ38" s="1" t="s">
        <v>74</v>
      </c>
      <c r="AK38" s="1" t="s">
        <v>74</v>
      </c>
      <c r="AL38" s="1" t="s">
        <v>74</v>
      </c>
      <c r="AM38" s="1" t="s">
        <v>74</v>
      </c>
      <c r="AN38" s="1" t="s">
        <v>74</v>
      </c>
      <c r="AO38" s="1" t="s">
        <v>476</v>
      </c>
      <c r="AP38" s="1" t="s">
        <v>477</v>
      </c>
      <c r="AQ38" s="1" t="s">
        <v>74</v>
      </c>
      <c r="AR38" s="1" t="s">
        <v>74</v>
      </c>
      <c r="AS38" s="1" t="s">
        <v>74</v>
      </c>
      <c r="AT38" s="1" t="s">
        <v>478</v>
      </c>
      <c r="AU38" s="1">
        <v>2019.0</v>
      </c>
      <c r="AV38" s="1">
        <v>99.0</v>
      </c>
      <c r="AW38" s="1">
        <v>4.0</v>
      </c>
      <c r="AX38" s="1" t="s">
        <v>74</v>
      </c>
      <c r="AY38" s="1" t="s">
        <v>74</v>
      </c>
      <c r="AZ38" s="1" t="s">
        <v>74</v>
      </c>
      <c r="BA38" s="1" t="s">
        <v>74</v>
      </c>
      <c r="BB38" s="1" t="s">
        <v>74</v>
      </c>
      <c r="BC38" s="1" t="s">
        <v>74</v>
      </c>
      <c r="BD38" s="1">
        <v>43001.0</v>
      </c>
      <c r="BE38" s="1" t="s">
        <v>479</v>
      </c>
      <c r="BF38" s="2" t="str">
        <f>HYPERLINK("http://dx.doi.org/10.1103/PhysRevE.99.043001","http://dx.doi.org/10.1103/PhysRevE.99.043001")</f>
        <v>http://dx.doi.org/10.1103/PhysRevE.99.043001</v>
      </c>
      <c r="BG38" s="1" t="s">
        <v>74</v>
      </c>
      <c r="BH38" s="1" t="s">
        <v>74</v>
      </c>
      <c r="BI38" s="1" t="s">
        <v>74</v>
      </c>
      <c r="BJ38" s="1" t="s">
        <v>74</v>
      </c>
      <c r="BK38" s="1" t="s">
        <v>74</v>
      </c>
      <c r="BL38" s="1" t="s">
        <v>74</v>
      </c>
      <c r="BM38" s="1" t="s">
        <v>74</v>
      </c>
      <c r="BN38" s="1">
        <v>3.1108605E7</v>
      </c>
      <c r="BO38" s="1" t="s">
        <v>74</v>
      </c>
      <c r="BP38" s="1" t="s">
        <v>74</v>
      </c>
      <c r="BQ38" s="1" t="s">
        <v>74</v>
      </c>
      <c r="BR38" s="1" t="s">
        <v>74</v>
      </c>
      <c r="BS38" s="1" t="s">
        <v>480</v>
      </c>
      <c r="BT38" s="1" t="str">
        <f>HYPERLINK("https%3A%2F%2Fwww.webofscience.com%2Fwos%2Fwoscc%2Ffull-record%2FWOS:000465178000007","View Full Record in Web of Science")</f>
        <v>View Full Record in Web of Science</v>
      </c>
    </row>
    <row r="39" ht="12.75" customHeight="1">
      <c r="A39" s="1" t="s">
        <v>72</v>
      </c>
      <c r="B39" s="1" t="s">
        <v>481</v>
      </c>
      <c r="C39" s="1" t="s">
        <v>74</v>
      </c>
      <c r="D39" s="1" t="s">
        <v>74</v>
      </c>
      <c r="E39" s="1" t="s">
        <v>74</v>
      </c>
      <c r="F39" s="1" t="s">
        <v>482</v>
      </c>
      <c r="G39" s="1" t="s">
        <v>74</v>
      </c>
      <c r="H39" s="1" t="s">
        <v>74</v>
      </c>
      <c r="I39" s="1" t="s">
        <v>483</v>
      </c>
      <c r="J39" s="1" t="s">
        <v>484</v>
      </c>
      <c r="K39" s="1" t="s">
        <v>74</v>
      </c>
      <c r="L39" s="1" t="s">
        <v>74</v>
      </c>
      <c r="M39" s="1" t="s">
        <v>74</v>
      </c>
      <c r="N39" s="1" t="s">
        <v>74</v>
      </c>
      <c r="O39" s="1" t="s">
        <v>74</v>
      </c>
      <c r="P39" s="1" t="s">
        <v>74</v>
      </c>
      <c r="Q39" s="1" t="s">
        <v>74</v>
      </c>
      <c r="R39" s="1" t="s">
        <v>74</v>
      </c>
      <c r="S39" s="1" t="s">
        <v>74</v>
      </c>
      <c r="T39" s="1" t="s">
        <v>74</v>
      </c>
      <c r="U39" s="1" t="s">
        <v>74</v>
      </c>
      <c r="V39" s="1" t="s">
        <v>485</v>
      </c>
      <c r="W39" s="1" t="s">
        <v>74</v>
      </c>
      <c r="X39" s="1" t="s">
        <v>74</v>
      </c>
      <c r="Y39" s="1" t="s">
        <v>74</v>
      </c>
      <c r="Z39" s="1" t="s">
        <v>74</v>
      </c>
      <c r="AA39" s="1" t="s">
        <v>486</v>
      </c>
      <c r="AB39" s="1" t="s">
        <v>487</v>
      </c>
      <c r="AC39" s="1" t="s">
        <v>74</v>
      </c>
      <c r="AD39" s="1" t="s">
        <v>74</v>
      </c>
      <c r="AE39" s="1" t="s">
        <v>74</v>
      </c>
      <c r="AF39" s="1" t="s">
        <v>74</v>
      </c>
      <c r="AG39" s="1" t="s">
        <v>74</v>
      </c>
      <c r="AH39" s="1" t="s">
        <v>74</v>
      </c>
      <c r="AI39" s="1" t="s">
        <v>74</v>
      </c>
      <c r="AJ39" s="1" t="s">
        <v>74</v>
      </c>
      <c r="AK39" s="1" t="s">
        <v>74</v>
      </c>
      <c r="AL39" s="1" t="s">
        <v>74</v>
      </c>
      <c r="AM39" s="1" t="s">
        <v>74</v>
      </c>
      <c r="AN39" s="1" t="s">
        <v>74</v>
      </c>
      <c r="AO39" s="1" t="s">
        <v>488</v>
      </c>
      <c r="AP39" s="1" t="s">
        <v>74</v>
      </c>
      <c r="AQ39" s="1" t="s">
        <v>74</v>
      </c>
      <c r="AR39" s="1" t="s">
        <v>74</v>
      </c>
      <c r="AS39" s="1" t="s">
        <v>74</v>
      </c>
      <c r="AT39" s="1" t="s">
        <v>489</v>
      </c>
      <c r="AU39" s="1">
        <v>2018.0</v>
      </c>
      <c r="AV39" s="1">
        <v>6.0</v>
      </c>
      <c r="AW39" s="1" t="s">
        <v>74</v>
      </c>
      <c r="AX39" s="1" t="s">
        <v>74</v>
      </c>
      <c r="AY39" s="1" t="s">
        <v>74</v>
      </c>
      <c r="AZ39" s="1" t="s">
        <v>74</v>
      </c>
      <c r="BA39" s="1" t="s">
        <v>74</v>
      </c>
      <c r="BB39" s="1" t="s">
        <v>74</v>
      </c>
      <c r="BC39" s="1" t="s">
        <v>74</v>
      </c>
      <c r="BD39" s="1">
        <v>345.0</v>
      </c>
      <c r="BE39" s="1" t="s">
        <v>490</v>
      </c>
      <c r="BF39" s="2" t="str">
        <f>HYPERLINK("http://dx.doi.org/10.3389/fchem.2018.00345","http://dx.doi.org/10.3389/fchem.2018.00345")</f>
        <v>http://dx.doi.org/10.3389/fchem.2018.00345</v>
      </c>
      <c r="BG39" s="1" t="s">
        <v>74</v>
      </c>
      <c r="BH39" s="1" t="s">
        <v>74</v>
      </c>
      <c r="BI39" s="1" t="s">
        <v>74</v>
      </c>
      <c r="BJ39" s="1" t="s">
        <v>74</v>
      </c>
      <c r="BK39" s="1" t="s">
        <v>74</v>
      </c>
      <c r="BL39" s="1" t="s">
        <v>74</v>
      </c>
      <c r="BM39" s="1" t="s">
        <v>74</v>
      </c>
      <c r="BN39" s="1">
        <v>3.0211148E7</v>
      </c>
      <c r="BO39" s="1" t="s">
        <v>74</v>
      </c>
      <c r="BP39" s="1" t="s">
        <v>74</v>
      </c>
      <c r="BQ39" s="1" t="s">
        <v>74</v>
      </c>
      <c r="BR39" s="1" t="s">
        <v>74</v>
      </c>
      <c r="BS39" s="1" t="s">
        <v>491</v>
      </c>
      <c r="BT39" s="1" t="str">
        <f>HYPERLINK("https%3A%2F%2Fwww.webofscience.com%2Fwos%2Fwoscc%2Ffull-record%2FWOS:000441553100001","View Full Record in Web of Science")</f>
        <v>View Full Record in Web of Science</v>
      </c>
    </row>
    <row r="40" ht="12.75" customHeight="1">
      <c r="A40" s="1" t="s">
        <v>72</v>
      </c>
      <c r="B40" s="1" t="s">
        <v>492</v>
      </c>
      <c r="C40" s="1" t="s">
        <v>74</v>
      </c>
      <c r="D40" s="1" t="s">
        <v>74</v>
      </c>
      <c r="E40" s="1" t="s">
        <v>74</v>
      </c>
      <c r="F40" s="1" t="s">
        <v>493</v>
      </c>
      <c r="G40" s="1" t="s">
        <v>74</v>
      </c>
      <c r="H40" s="1" t="s">
        <v>74</v>
      </c>
      <c r="I40" s="1" t="s">
        <v>494</v>
      </c>
      <c r="J40" s="1" t="s">
        <v>182</v>
      </c>
      <c r="K40" s="1" t="s">
        <v>74</v>
      </c>
      <c r="L40" s="1" t="s">
        <v>74</v>
      </c>
      <c r="M40" s="1" t="s">
        <v>74</v>
      </c>
      <c r="N40" s="1" t="s">
        <v>74</v>
      </c>
      <c r="O40" s="1" t="s">
        <v>74</v>
      </c>
      <c r="P40" s="1" t="s">
        <v>74</v>
      </c>
      <c r="Q40" s="1" t="s">
        <v>74</v>
      </c>
      <c r="R40" s="1" t="s">
        <v>74</v>
      </c>
      <c r="S40" s="1" t="s">
        <v>74</v>
      </c>
      <c r="T40" s="1" t="s">
        <v>74</v>
      </c>
      <c r="U40" s="1" t="s">
        <v>74</v>
      </c>
      <c r="V40" s="1" t="s">
        <v>495</v>
      </c>
      <c r="W40" s="1" t="s">
        <v>74</v>
      </c>
      <c r="X40" s="1" t="s">
        <v>74</v>
      </c>
      <c r="Y40" s="1" t="s">
        <v>74</v>
      </c>
      <c r="Z40" s="1" t="s">
        <v>74</v>
      </c>
      <c r="AA40" s="1" t="s">
        <v>496</v>
      </c>
      <c r="AB40" s="1" t="s">
        <v>497</v>
      </c>
      <c r="AC40" s="1" t="s">
        <v>74</v>
      </c>
      <c r="AD40" s="1" t="s">
        <v>74</v>
      </c>
      <c r="AE40" s="1" t="s">
        <v>74</v>
      </c>
      <c r="AF40" s="1" t="s">
        <v>74</v>
      </c>
      <c r="AG40" s="1" t="s">
        <v>74</v>
      </c>
      <c r="AH40" s="1" t="s">
        <v>74</v>
      </c>
      <c r="AI40" s="1" t="s">
        <v>74</v>
      </c>
      <c r="AJ40" s="1" t="s">
        <v>74</v>
      </c>
      <c r="AK40" s="1" t="s">
        <v>74</v>
      </c>
      <c r="AL40" s="1" t="s">
        <v>74</v>
      </c>
      <c r="AM40" s="1" t="s">
        <v>74</v>
      </c>
      <c r="AN40" s="1" t="s">
        <v>74</v>
      </c>
      <c r="AO40" s="1" t="s">
        <v>186</v>
      </c>
      <c r="AP40" s="1" t="s">
        <v>74</v>
      </c>
      <c r="AQ40" s="1" t="s">
        <v>74</v>
      </c>
      <c r="AR40" s="1" t="s">
        <v>74</v>
      </c>
      <c r="AS40" s="1" t="s">
        <v>74</v>
      </c>
      <c r="AT40" s="1" t="s">
        <v>498</v>
      </c>
      <c r="AU40" s="1">
        <v>2018.0</v>
      </c>
      <c r="AV40" s="1">
        <v>13.0</v>
      </c>
      <c r="AW40" s="1">
        <v>2.0</v>
      </c>
      <c r="AX40" s="1" t="s">
        <v>74</v>
      </c>
      <c r="AY40" s="1" t="s">
        <v>74</v>
      </c>
      <c r="AZ40" s="1" t="s">
        <v>74</v>
      </c>
      <c r="BA40" s="1" t="s">
        <v>74</v>
      </c>
      <c r="BB40" s="1" t="s">
        <v>74</v>
      </c>
      <c r="BC40" s="1" t="s">
        <v>74</v>
      </c>
      <c r="BD40" s="1" t="s">
        <v>499</v>
      </c>
      <c r="BE40" s="1" t="s">
        <v>500</v>
      </c>
      <c r="BF40" s="2" t="str">
        <f>HYPERLINK("http://dx.doi.org/10.1371/journal.pone.0193488","http://dx.doi.org/10.1371/journal.pone.0193488")</f>
        <v>http://dx.doi.org/10.1371/journal.pone.0193488</v>
      </c>
      <c r="BG40" s="1" t="s">
        <v>74</v>
      </c>
      <c r="BH40" s="1" t="s">
        <v>74</v>
      </c>
      <c r="BI40" s="1" t="s">
        <v>74</v>
      </c>
      <c r="BJ40" s="1" t="s">
        <v>74</v>
      </c>
      <c r="BK40" s="1" t="s">
        <v>74</v>
      </c>
      <c r="BL40" s="1" t="s">
        <v>74</v>
      </c>
      <c r="BM40" s="1" t="s">
        <v>74</v>
      </c>
      <c r="BN40" s="1">
        <v>2.9489918E7</v>
      </c>
      <c r="BO40" s="1" t="s">
        <v>74</v>
      </c>
      <c r="BP40" s="1" t="s">
        <v>74</v>
      </c>
      <c r="BQ40" s="1" t="s">
        <v>74</v>
      </c>
      <c r="BR40" s="1" t="s">
        <v>74</v>
      </c>
      <c r="BS40" s="1" t="s">
        <v>501</v>
      </c>
      <c r="BT40" s="1" t="str">
        <f>HYPERLINK("https%3A%2F%2Fwww.webofscience.com%2Fwos%2Fwoscc%2Ffull-record%2FWOS:000426276000082","View Full Record in Web of Science")</f>
        <v>View Full Record in Web of Science</v>
      </c>
    </row>
    <row r="41" ht="12.75" customHeight="1">
      <c r="A41" s="1" t="s">
        <v>72</v>
      </c>
      <c r="B41" s="1" t="s">
        <v>502</v>
      </c>
      <c r="C41" s="1" t="s">
        <v>74</v>
      </c>
      <c r="D41" s="1" t="s">
        <v>74</v>
      </c>
      <c r="E41" s="1" t="s">
        <v>74</v>
      </c>
      <c r="F41" s="1" t="s">
        <v>503</v>
      </c>
      <c r="G41" s="1" t="s">
        <v>74</v>
      </c>
      <c r="H41" s="1" t="s">
        <v>74</v>
      </c>
      <c r="I41" s="1" t="s">
        <v>504</v>
      </c>
      <c r="J41" s="1" t="s">
        <v>505</v>
      </c>
      <c r="K41" s="1" t="s">
        <v>74</v>
      </c>
      <c r="L41" s="1" t="s">
        <v>74</v>
      </c>
      <c r="M41" s="1" t="s">
        <v>74</v>
      </c>
      <c r="N41" s="1" t="s">
        <v>74</v>
      </c>
      <c r="O41" s="1" t="s">
        <v>74</v>
      </c>
      <c r="P41" s="1" t="s">
        <v>74</v>
      </c>
      <c r="Q41" s="1" t="s">
        <v>74</v>
      </c>
      <c r="R41" s="1" t="s">
        <v>74</v>
      </c>
      <c r="S41" s="1" t="s">
        <v>74</v>
      </c>
      <c r="T41" s="1" t="s">
        <v>74</v>
      </c>
      <c r="U41" s="1" t="s">
        <v>74</v>
      </c>
      <c r="V41" s="1" t="s">
        <v>506</v>
      </c>
      <c r="W41" s="1" t="s">
        <v>74</v>
      </c>
      <c r="X41" s="1" t="s">
        <v>74</v>
      </c>
      <c r="Y41" s="1" t="s">
        <v>74</v>
      </c>
      <c r="Z41" s="1" t="s">
        <v>74</v>
      </c>
      <c r="AA41" s="1" t="s">
        <v>507</v>
      </c>
      <c r="AB41" s="1" t="s">
        <v>508</v>
      </c>
      <c r="AC41" s="1" t="s">
        <v>74</v>
      </c>
      <c r="AD41" s="1" t="s">
        <v>74</v>
      </c>
      <c r="AE41" s="1" t="s">
        <v>74</v>
      </c>
      <c r="AF41" s="1" t="s">
        <v>74</v>
      </c>
      <c r="AG41" s="1" t="s">
        <v>74</v>
      </c>
      <c r="AH41" s="1" t="s">
        <v>74</v>
      </c>
      <c r="AI41" s="1" t="s">
        <v>74</v>
      </c>
      <c r="AJ41" s="1" t="s">
        <v>74</v>
      </c>
      <c r="AK41" s="1" t="s">
        <v>74</v>
      </c>
      <c r="AL41" s="1" t="s">
        <v>74</v>
      </c>
      <c r="AM41" s="1" t="s">
        <v>74</v>
      </c>
      <c r="AN41" s="1" t="s">
        <v>74</v>
      </c>
      <c r="AO41" s="1" t="s">
        <v>509</v>
      </c>
      <c r="AP41" s="1" t="s">
        <v>510</v>
      </c>
      <c r="AQ41" s="1" t="s">
        <v>74</v>
      </c>
      <c r="AR41" s="1" t="s">
        <v>74</v>
      </c>
      <c r="AS41" s="1" t="s">
        <v>74</v>
      </c>
      <c r="AT41" s="1" t="s">
        <v>74</v>
      </c>
      <c r="AU41" s="1">
        <v>2017.0</v>
      </c>
      <c r="AV41" s="1">
        <v>55.0</v>
      </c>
      <c r="AW41" s="1">
        <v>8.0</v>
      </c>
      <c r="AX41" s="1" t="s">
        <v>74</v>
      </c>
      <c r="AY41" s="1" t="s">
        <v>74</v>
      </c>
      <c r="AZ41" s="1" t="s">
        <v>74</v>
      </c>
      <c r="BA41" s="1" t="s">
        <v>74</v>
      </c>
      <c r="BB41" s="1">
        <v>1802.0</v>
      </c>
      <c r="BC41" s="1">
        <v>1823.0</v>
      </c>
      <c r="BD41" s="1" t="s">
        <v>74</v>
      </c>
      <c r="BE41" s="1" t="s">
        <v>511</v>
      </c>
      <c r="BF41" s="2" t="str">
        <f>HYPERLINK("http://dx.doi.org/10.1108/MD-08-2016-0597","http://dx.doi.org/10.1108/MD-08-2016-0597")</f>
        <v>http://dx.doi.org/10.1108/MD-08-2016-0597</v>
      </c>
      <c r="BG41" s="1" t="s">
        <v>74</v>
      </c>
      <c r="BH41" s="1" t="s">
        <v>74</v>
      </c>
      <c r="BI41" s="1" t="s">
        <v>74</v>
      </c>
      <c r="BJ41" s="1" t="s">
        <v>74</v>
      </c>
      <c r="BK41" s="1" t="s">
        <v>74</v>
      </c>
      <c r="BL41" s="1" t="s">
        <v>74</v>
      </c>
      <c r="BM41" s="1" t="s">
        <v>74</v>
      </c>
      <c r="BN41" s="1" t="s">
        <v>74</v>
      </c>
      <c r="BO41" s="1" t="s">
        <v>74</v>
      </c>
      <c r="BP41" s="1" t="s">
        <v>74</v>
      </c>
      <c r="BQ41" s="1" t="s">
        <v>74</v>
      </c>
      <c r="BR41" s="1" t="s">
        <v>74</v>
      </c>
      <c r="BS41" s="1" t="s">
        <v>512</v>
      </c>
      <c r="BT41" s="1" t="str">
        <f>HYPERLINK("https%3A%2F%2Fwww.webofscience.com%2Fwos%2Fwoscc%2Ffull-record%2FWOS:000409340400013","View Full Record in Web of Science")</f>
        <v>View Full Record in Web of Science</v>
      </c>
    </row>
    <row r="42" ht="12.75" customHeight="1">
      <c r="A42" s="1" t="s">
        <v>72</v>
      </c>
      <c r="B42" s="1" t="s">
        <v>513</v>
      </c>
      <c r="C42" s="1" t="s">
        <v>74</v>
      </c>
      <c r="D42" s="1" t="s">
        <v>74</v>
      </c>
      <c r="E42" s="1" t="s">
        <v>74</v>
      </c>
      <c r="F42" s="1" t="s">
        <v>514</v>
      </c>
      <c r="G42" s="1" t="s">
        <v>74</v>
      </c>
      <c r="H42" s="1" t="s">
        <v>74</v>
      </c>
      <c r="I42" s="1" t="s">
        <v>515</v>
      </c>
      <c r="J42" s="1" t="s">
        <v>516</v>
      </c>
      <c r="K42" s="1" t="s">
        <v>74</v>
      </c>
      <c r="L42" s="1" t="s">
        <v>74</v>
      </c>
      <c r="M42" s="1" t="s">
        <v>74</v>
      </c>
      <c r="N42" s="1" t="s">
        <v>74</v>
      </c>
      <c r="O42" s="1" t="s">
        <v>74</v>
      </c>
      <c r="P42" s="1" t="s">
        <v>74</v>
      </c>
      <c r="Q42" s="1" t="s">
        <v>74</v>
      </c>
      <c r="R42" s="1" t="s">
        <v>74</v>
      </c>
      <c r="S42" s="1" t="s">
        <v>74</v>
      </c>
      <c r="T42" s="1" t="s">
        <v>74</v>
      </c>
      <c r="U42" s="1" t="s">
        <v>74</v>
      </c>
      <c r="V42" s="1" t="s">
        <v>517</v>
      </c>
      <c r="W42" s="1" t="s">
        <v>74</v>
      </c>
      <c r="X42" s="1" t="s">
        <v>74</v>
      </c>
      <c r="Y42" s="1" t="s">
        <v>74</v>
      </c>
      <c r="Z42" s="1" t="s">
        <v>74</v>
      </c>
      <c r="AA42" s="1" t="s">
        <v>518</v>
      </c>
      <c r="AB42" s="1" t="s">
        <v>519</v>
      </c>
      <c r="AC42" s="1" t="s">
        <v>74</v>
      </c>
      <c r="AD42" s="1" t="s">
        <v>74</v>
      </c>
      <c r="AE42" s="1" t="s">
        <v>74</v>
      </c>
      <c r="AF42" s="1" t="s">
        <v>74</v>
      </c>
      <c r="AG42" s="1" t="s">
        <v>74</v>
      </c>
      <c r="AH42" s="1" t="s">
        <v>74</v>
      </c>
      <c r="AI42" s="1" t="s">
        <v>74</v>
      </c>
      <c r="AJ42" s="1" t="s">
        <v>74</v>
      </c>
      <c r="AK42" s="1" t="s">
        <v>74</v>
      </c>
      <c r="AL42" s="1" t="s">
        <v>74</v>
      </c>
      <c r="AM42" s="1" t="s">
        <v>74</v>
      </c>
      <c r="AN42" s="1" t="s">
        <v>74</v>
      </c>
      <c r="AO42" s="1" t="s">
        <v>520</v>
      </c>
      <c r="AP42" s="1" t="s">
        <v>74</v>
      </c>
      <c r="AQ42" s="1" t="s">
        <v>74</v>
      </c>
      <c r="AR42" s="1" t="s">
        <v>74</v>
      </c>
      <c r="AS42" s="1" t="s">
        <v>74</v>
      </c>
      <c r="AT42" s="1" t="s">
        <v>74</v>
      </c>
      <c r="AU42" s="1">
        <v>2017.0</v>
      </c>
      <c r="AV42" s="1" t="s">
        <v>74</v>
      </c>
      <c r="AW42" s="1">
        <v>516.0</v>
      </c>
      <c r="AX42" s="1" t="s">
        <v>74</v>
      </c>
      <c r="AY42" s="1" t="s">
        <v>74</v>
      </c>
      <c r="AZ42" s="1" t="s">
        <v>74</v>
      </c>
      <c r="BA42" s="1" t="s">
        <v>74</v>
      </c>
      <c r="BB42" s="1">
        <v>49.0</v>
      </c>
      <c r="BC42" s="1">
        <v>67.0</v>
      </c>
      <c r="BD42" s="1" t="s">
        <v>74</v>
      </c>
      <c r="BE42" s="1" t="s">
        <v>521</v>
      </c>
      <c r="BF42" s="2" t="str">
        <f>HYPERLINK("http://dx.doi.org/10.4067/S0718-04622017000200049","http://dx.doi.org/10.4067/S0718-04622017000200049")</f>
        <v>http://dx.doi.org/10.4067/S0718-04622017000200049</v>
      </c>
      <c r="BG42" s="1" t="s">
        <v>74</v>
      </c>
      <c r="BH42" s="1" t="s">
        <v>74</v>
      </c>
      <c r="BI42" s="1" t="s">
        <v>74</v>
      </c>
      <c r="BJ42" s="1" t="s">
        <v>74</v>
      </c>
      <c r="BK42" s="1" t="s">
        <v>74</v>
      </c>
      <c r="BL42" s="1" t="s">
        <v>74</v>
      </c>
      <c r="BM42" s="1" t="s">
        <v>74</v>
      </c>
      <c r="BN42" s="1" t="s">
        <v>74</v>
      </c>
      <c r="BO42" s="1" t="s">
        <v>74</v>
      </c>
      <c r="BP42" s="1" t="s">
        <v>74</v>
      </c>
      <c r="BQ42" s="1" t="s">
        <v>74</v>
      </c>
      <c r="BR42" s="1" t="s">
        <v>74</v>
      </c>
      <c r="BS42" s="1" t="s">
        <v>522</v>
      </c>
      <c r="BT42" s="1" t="str">
        <f>HYPERLINK("https%3A%2F%2Fwww.webofscience.com%2Fwos%2Fwoscc%2Ffull-record%2FWOS:000423550900004","View Full Record in Web of Science")</f>
        <v>View Full Record in Web of Science</v>
      </c>
    </row>
    <row r="43" ht="12.75" customHeight="1">
      <c r="A43" s="1" t="s">
        <v>72</v>
      </c>
      <c r="B43" s="1" t="s">
        <v>523</v>
      </c>
      <c r="C43" s="1" t="s">
        <v>74</v>
      </c>
      <c r="D43" s="1" t="s">
        <v>74</v>
      </c>
      <c r="E43" s="1" t="s">
        <v>74</v>
      </c>
      <c r="F43" s="1" t="s">
        <v>524</v>
      </c>
      <c r="G43" s="1" t="s">
        <v>74</v>
      </c>
      <c r="H43" s="1" t="s">
        <v>74</v>
      </c>
      <c r="I43" s="1" t="s">
        <v>525</v>
      </c>
      <c r="J43" s="1" t="s">
        <v>526</v>
      </c>
      <c r="K43" s="1" t="s">
        <v>74</v>
      </c>
      <c r="L43" s="1" t="s">
        <v>74</v>
      </c>
      <c r="M43" s="1" t="s">
        <v>74</v>
      </c>
      <c r="N43" s="1" t="s">
        <v>74</v>
      </c>
      <c r="O43" s="1" t="s">
        <v>74</v>
      </c>
      <c r="P43" s="1" t="s">
        <v>74</v>
      </c>
      <c r="Q43" s="1" t="s">
        <v>74</v>
      </c>
      <c r="R43" s="1" t="s">
        <v>74</v>
      </c>
      <c r="S43" s="1" t="s">
        <v>74</v>
      </c>
      <c r="T43" s="1" t="s">
        <v>74</v>
      </c>
      <c r="U43" s="1" t="s">
        <v>74</v>
      </c>
      <c r="V43" s="1" t="s">
        <v>527</v>
      </c>
      <c r="W43" s="1" t="s">
        <v>74</v>
      </c>
      <c r="X43" s="1" t="s">
        <v>74</v>
      </c>
      <c r="Y43" s="1" t="s">
        <v>74</v>
      </c>
      <c r="Z43" s="1" t="s">
        <v>74</v>
      </c>
      <c r="AA43" s="1" t="s">
        <v>74</v>
      </c>
      <c r="AB43" s="1" t="s">
        <v>528</v>
      </c>
      <c r="AC43" s="1" t="s">
        <v>74</v>
      </c>
      <c r="AD43" s="1" t="s">
        <v>74</v>
      </c>
      <c r="AE43" s="1" t="s">
        <v>74</v>
      </c>
      <c r="AF43" s="1" t="s">
        <v>74</v>
      </c>
      <c r="AG43" s="1" t="s">
        <v>74</v>
      </c>
      <c r="AH43" s="1" t="s">
        <v>74</v>
      </c>
      <c r="AI43" s="1" t="s">
        <v>74</v>
      </c>
      <c r="AJ43" s="1" t="s">
        <v>74</v>
      </c>
      <c r="AK43" s="1" t="s">
        <v>74</v>
      </c>
      <c r="AL43" s="1" t="s">
        <v>74</v>
      </c>
      <c r="AM43" s="1" t="s">
        <v>74</v>
      </c>
      <c r="AN43" s="1" t="s">
        <v>74</v>
      </c>
      <c r="AO43" s="1" t="s">
        <v>529</v>
      </c>
      <c r="AP43" s="1" t="s">
        <v>530</v>
      </c>
      <c r="AQ43" s="1" t="s">
        <v>74</v>
      </c>
      <c r="AR43" s="1" t="s">
        <v>74</v>
      </c>
      <c r="AS43" s="1" t="s">
        <v>74</v>
      </c>
      <c r="AT43" s="1" t="s">
        <v>531</v>
      </c>
      <c r="AU43" s="1">
        <v>2016.0</v>
      </c>
      <c r="AV43" s="1">
        <v>166.0</v>
      </c>
      <c r="AW43" s="1" t="s">
        <v>74</v>
      </c>
      <c r="AX43" s="1" t="s">
        <v>74</v>
      </c>
      <c r="AY43" s="1" t="s">
        <v>74</v>
      </c>
      <c r="AZ43" s="1" t="s">
        <v>74</v>
      </c>
      <c r="BA43" s="1" t="s">
        <v>74</v>
      </c>
      <c r="BB43" s="1">
        <v>196.0</v>
      </c>
      <c r="BC43" s="1">
        <v>204.0</v>
      </c>
      <c r="BD43" s="1" t="s">
        <v>74</v>
      </c>
      <c r="BE43" s="1" t="s">
        <v>532</v>
      </c>
      <c r="BF43" s="2" t="str">
        <f>HYPERLINK("http://dx.doi.org/10.1016/j.seppur.2016.04.041","http://dx.doi.org/10.1016/j.seppur.2016.04.041")</f>
        <v>http://dx.doi.org/10.1016/j.seppur.2016.04.041</v>
      </c>
      <c r="BG43" s="1" t="s">
        <v>74</v>
      </c>
      <c r="BH43" s="1" t="s">
        <v>74</v>
      </c>
      <c r="BI43" s="1" t="s">
        <v>74</v>
      </c>
      <c r="BJ43" s="1" t="s">
        <v>74</v>
      </c>
      <c r="BK43" s="1" t="s">
        <v>74</v>
      </c>
      <c r="BL43" s="1" t="s">
        <v>74</v>
      </c>
      <c r="BM43" s="1" t="s">
        <v>74</v>
      </c>
      <c r="BN43" s="1" t="s">
        <v>74</v>
      </c>
      <c r="BO43" s="1" t="s">
        <v>74</v>
      </c>
      <c r="BP43" s="1" t="s">
        <v>74</v>
      </c>
      <c r="BQ43" s="1" t="s">
        <v>74</v>
      </c>
      <c r="BR43" s="1" t="s">
        <v>74</v>
      </c>
      <c r="BS43" s="1" t="s">
        <v>533</v>
      </c>
      <c r="BT43" s="1" t="str">
        <f>HYPERLINK("https%3A%2F%2Fwww.webofscience.com%2Fwos%2Fwoscc%2Ffull-record%2FWOS:000376834400025","View Full Record in Web of Science")</f>
        <v>View Full Record in Web of Science</v>
      </c>
    </row>
    <row r="44" ht="12.75" customHeight="1">
      <c r="A44" s="1" t="s">
        <v>72</v>
      </c>
      <c r="B44" s="1" t="s">
        <v>534</v>
      </c>
      <c r="C44" s="1" t="s">
        <v>74</v>
      </c>
      <c r="D44" s="1" t="s">
        <v>74</v>
      </c>
      <c r="E44" s="1" t="s">
        <v>74</v>
      </c>
      <c r="F44" s="1" t="s">
        <v>535</v>
      </c>
      <c r="G44" s="1" t="s">
        <v>74</v>
      </c>
      <c r="H44" s="1" t="s">
        <v>74</v>
      </c>
      <c r="I44" s="1" t="s">
        <v>536</v>
      </c>
      <c r="J44" s="1" t="s">
        <v>537</v>
      </c>
      <c r="K44" s="1" t="s">
        <v>74</v>
      </c>
      <c r="L44" s="1" t="s">
        <v>74</v>
      </c>
      <c r="M44" s="1" t="s">
        <v>74</v>
      </c>
      <c r="N44" s="1" t="s">
        <v>74</v>
      </c>
      <c r="O44" s="1" t="s">
        <v>74</v>
      </c>
      <c r="P44" s="1" t="s">
        <v>74</v>
      </c>
      <c r="Q44" s="1" t="s">
        <v>74</v>
      </c>
      <c r="R44" s="1" t="s">
        <v>74</v>
      </c>
      <c r="S44" s="1" t="s">
        <v>74</v>
      </c>
      <c r="T44" s="1" t="s">
        <v>74</v>
      </c>
      <c r="U44" s="1" t="s">
        <v>74</v>
      </c>
      <c r="V44" s="1" t="s">
        <v>538</v>
      </c>
      <c r="W44" s="1" t="s">
        <v>74</v>
      </c>
      <c r="X44" s="1" t="s">
        <v>74</v>
      </c>
      <c r="Y44" s="1" t="s">
        <v>74</v>
      </c>
      <c r="Z44" s="1" t="s">
        <v>74</v>
      </c>
      <c r="AA44" s="1" t="s">
        <v>539</v>
      </c>
      <c r="AB44" s="1" t="s">
        <v>540</v>
      </c>
      <c r="AC44" s="1" t="s">
        <v>74</v>
      </c>
      <c r="AD44" s="1" t="s">
        <v>74</v>
      </c>
      <c r="AE44" s="1" t="s">
        <v>74</v>
      </c>
      <c r="AF44" s="1" t="s">
        <v>74</v>
      </c>
      <c r="AG44" s="1" t="s">
        <v>74</v>
      </c>
      <c r="AH44" s="1" t="s">
        <v>74</v>
      </c>
      <c r="AI44" s="1" t="s">
        <v>74</v>
      </c>
      <c r="AJ44" s="1" t="s">
        <v>74</v>
      </c>
      <c r="AK44" s="1" t="s">
        <v>74</v>
      </c>
      <c r="AL44" s="1" t="s">
        <v>74</v>
      </c>
      <c r="AM44" s="1" t="s">
        <v>74</v>
      </c>
      <c r="AN44" s="1" t="s">
        <v>74</v>
      </c>
      <c r="AO44" s="1" t="s">
        <v>541</v>
      </c>
      <c r="AP44" s="1" t="s">
        <v>74</v>
      </c>
      <c r="AQ44" s="1" t="s">
        <v>74</v>
      </c>
      <c r="AR44" s="1" t="s">
        <v>74</v>
      </c>
      <c r="AS44" s="1" t="s">
        <v>74</v>
      </c>
      <c r="AT44" s="1" t="s">
        <v>542</v>
      </c>
      <c r="AU44" s="1">
        <v>2016.0</v>
      </c>
      <c r="AV44" s="1">
        <v>8.0</v>
      </c>
      <c r="AW44" s="1" t="s">
        <v>74</v>
      </c>
      <c r="AX44" s="1" t="s">
        <v>74</v>
      </c>
      <c r="AY44" s="1" t="s">
        <v>74</v>
      </c>
      <c r="AZ44" s="1" t="s">
        <v>74</v>
      </c>
      <c r="BA44" s="1" t="s">
        <v>74</v>
      </c>
      <c r="BB44" s="1" t="s">
        <v>74</v>
      </c>
      <c r="BC44" s="1" t="s">
        <v>74</v>
      </c>
      <c r="BD44" s="1">
        <v>19.0</v>
      </c>
      <c r="BE44" s="1" t="s">
        <v>543</v>
      </c>
      <c r="BF44" s="2" t="str">
        <f>HYPERLINK("http://dx.doi.org/10.1186/s13321-016-0131-9","http://dx.doi.org/10.1186/s13321-016-0131-9")</f>
        <v>http://dx.doi.org/10.1186/s13321-016-0131-9</v>
      </c>
      <c r="BG44" s="1" t="s">
        <v>74</v>
      </c>
      <c r="BH44" s="1" t="s">
        <v>74</v>
      </c>
      <c r="BI44" s="1" t="s">
        <v>74</v>
      </c>
      <c r="BJ44" s="1" t="s">
        <v>74</v>
      </c>
      <c r="BK44" s="1" t="s">
        <v>74</v>
      </c>
      <c r="BL44" s="1" t="s">
        <v>74</v>
      </c>
      <c r="BM44" s="1" t="s">
        <v>74</v>
      </c>
      <c r="BN44" s="1">
        <v>2.7092185E7</v>
      </c>
      <c r="BO44" s="1" t="s">
        <v>74</v>
      </c>
      <c r="BP44" s="1" t="s">
        <v>74</v>
      </c>
      <c r="BQ44" s="1" t="s">
        <v>74</v>
      </c>
      <c r="BR44" s="1" t="s">
        <v>74</v>
      </c>
      <c r="BS44" s="1" t="s">
        <v>544</v>
      </c>
      <c r="BT44" s="1" t="str">
        <f>HYPERLINK("https%3A%2F%2Fwww.webofscience.com%2Fwos%2Fwoscc%2Ffull-record%2FWOS:000374529500001","View Full Record in Web of Science")</f>
        <v>View Full Record in Web of Science</v>
      </c>
    </row>
    <row r="45" ht="12.75" customHeight="1">
      <c r="A45" s="1" t="s">
        <v>154</v>
      </c>
      <c r="B45" s="1" t="s">
        <v>545</v>
      </c>
      <c r="C45" s="1" t="s">
        <v>74</v>
      </c>
      <c r="D45" s="1" t="s">
        <v>74</v>
      </c>
      <c r="E45" s="1" t="s">
        <v>323</v>
      </c>
      <c r="F45" s="1" t="s">
        <v>546</v>
      </c>
      <c r="G45" s="1" t="s">
        <v>74</v>
      </c>
      <c r="H45" s="1" t="s">
        <v>74</v>
      </c>
      <c r="I45" s="1" t="s">
        <v>547</v>
      </c>
      <c r="J45" s="1" t="s">
        <v>548</v>
      </c>
      <c r="K45" s="1" t="s">
        <v>549</v>
      </c>
      <c r="L45" s="1" t="s">
        <v>74</v>
      </c>
      <c r="M45" s="1" t="s">
        <v>74</v>
      </c>
      <c r="N45" s="1" t="s">
        <v>74</v>
      </c>
      <c r="O45" s="1" t="s">
        <v>550</v>
      </c>
      <c r="P45" s="1" t="s">
        <v>551</v>
      </c>
      <c r="Q45" s="1" t="s">
        <v>552</v>
      </c>
      <c r="R45" s="1" t="s">
        <v>74</v>
      </c>
      <c r="S45" s="1" t="s">
        <v>74</v>
      </c>
      <c r="T45" s="1" t="s">
        <v>74</v>
      </c>
      <c r="U45" s="1" t="s">
        <v>74</v>
      </c>
      <c r="V45" s="1" t="s">
        <v>553</v>
      </c>
      <c r="W45" s="1" t="s">
        <v>74</v>
      </c>
      <c r="X45" s="1" t="s">
        <v>74</v>
      </c>
      <c r="Y45" s="1" t="s">
        <v>74</v>
      </c>
      <c r="Z45" s="1" t="s">
        <v>74</v>
      </c>
      <c r="AA45" s="1" t="s">
        <v>554</v>
      </c>
      <c r="AB45" s="1" t="s">
        <v>555</v>
      </c>
      <c r="AC45" s="1" t="s">
        <v>74</v>
      </c>
      <c r="AD45" s="1" t="s">
        <v>74</v>
      </c>
      <c r="AE45" s="1" t="s">
        <v>74</v>
      </c>
      <c r="AF45" s="1" t="s">
        <v>74</v>
      </c>
      <c r="AG45" s="1" t="s">
        <v>74</v>
      </c>
      <c r="AH45" s="1" t="s">
        <v>74</v>
      </c>
      <c r="AI45" s="1" t="s">
        <v>74</v>
      </c>
      <c r="AJ45" s="1" t="s">
        <v>74</v>
      </c>
      <c r="AK45" s="1" t="s">
        <v>74</v>
      </c>
      <c r="AL45" s="1" t="s">
        <v>74</v>
      </c>
      <c r="AM45" s="1" t="s">
        <v>74</v>
      </c>
      <c r="AN45" s="1" t="s">
        <v>74</v>
      </c>
      <c r="AO45" s="1" t="s">
        <v>556</v>
      </c>
      <c r="AP45" s="1" t="s">
        <v>74</v>
      </c>
      <c r="AQ45" s="1" t="s">
        <v>74</v>
      </c>
      <c r="AR45" s="1" t="s">
        <v>74</v>
      </c>
      <c r="AS45" s="1" t="s">
        <v>74</v>
      </c>
      <c r="AT45" s="1" t="s">
        <v>74</v>
      </c>
      <c r="AU45" s="1">
        <v>2016.0</v>
      </c>
      <c r="AV45" s="1" t="s">
        <v>74</v>
      </c>
      <c r="AW45" s="1" t="s">
        <v>74</v>
      </c>
      <c r="AX45" s="1" t="s">
        <v>74</v>
      </c>
      <c r="AY45" s="1" t="s">
        <v>74</v>
      </c>
      <c r="AZ45" s="1" t="s">
        <v>74</v>
      </c>
      <c r="BA45" s="1" t="s">
        <v>74</v>
      </c>
      <c r="BB45" s="1" t="s">
        <v>74</v>
      </c>
      <c r="BC45" s="1" t="s">
        <v>74</v>
      </c>
      <c r="BD45" s="1" t="s">
        <v>74</v>
      </c>
      <c r="BE45" s="1" t="s">
        <v>74</v>
      </c>
      <c r="BF45" s="1" t="s">
        <v>74</v>
      </c>
      <c r="BG45" s="1" t="s">
        <v>74</v>
      </c>
      <c r="BH45" s="1" t="s">
        <v>74</v>
      </c>
      <c r="BI45" s="1" t="s">
        <v>74</v>
      </c>
      <c r="BJ45" s="1" t="s">
        <v>74</v>
      </c>
      <c r="BK45" s="1" t="s">
        <v>74</v>
      </c>
      <c r="BL45" s="1" t="s">
        <v>74</v>
      </c>
      <c r="BM45" s="1" t="s">
        <v>74</v>
      </c>
      <c r="BN45" s="1" t="s">
        <v>74</v>
      </c>
      <c r="BO45" s="1" t="s">
        <v>74</v>
      </c>
      <c r="BP45" s="1" t="s">
        <v>74</v>
      </c>
      <c r="BQ45" s="1" t="s">
        <v>74</v>
      </c>
      <c r="BR45" s="1" t="s">
        <v>74</v>
      </c>
      <c r="BS45" s="1" t="s">
        <v>557</v>
      </c>
      <c r="BT45" s="1" t="str">
        <f>HYPERLINK("https%3A%2F%2Fwww.webofscience.com%2Fwos%2Fwoscc%2Ffull-record%2FWOS:000386637300306","View Full Record in Web of Science")</f>
        <v>View Full Record in Web of Science</v>
      </c>
    </row>
    <row r="46" ht="12.75" customHeight="1">
      <c r="A46" s="1" t="s">
        <v>72</v>
      </c>
      <c r="B46" s="1" t="s">
        <v>558</v>
      </c>
      <c r="C46" s="1" t="s">
        <v>74</v>
      </c>
      <c r="D46" s="1" t="s">
        <v>74</v>
      </c>
      <c r="E46" s="1" t="s">
        <v>74</v>
      </c>
      <c r="F46" s="1" t="s">
        <v>559</v>
      </c>
      <c r="G46" s="1" t="s">
        <v>74</v>
      </c>
      <c r="H46" s="1" t="s">
        <v>74</v>
      </c>
      <c r="I46" s="1" t="s">
        <v>560</v>
      </c>
      <c r="J46" s="1" t="s">
        <v>561</v>
      </c>
      <c r="K46" s="1" t="s">
        <v>74</v>
      </c>
      <c r="L46" s="1" t="s">
        <v>74</v>
      </c>
      <c r="M46" s="1" t="s">
        <v>74</v>
      </c>
      <c r="N46" s="1" t="s">
        <v>74</v>
      </c>
      <c r="O46" s="1" t="s">
        <v>74</v>
      </c>
      <c r="P46" s="1" t="s">
        <v>74</v>
      </c>
      <c r="Q46" s="1" t="s">
        <v>74</v>
      </c>
      <c r="R46" s="1" t="s">
        <v>74</v>
      </c>
      <c r="S46" s="1" t="s">
        <v>74</v>
      </c>
      <c r="T46" s="1" t="s">
        <v>74</v>
      </c>
      <c r="U46" s="1" t="s">
        <v>74</v>
      </c>
      <c r="V46" s="1" t="s">
        <v>562</v>
      </c>
      <c r="W46" s="1" t="s">
        <v>74</v>
      </c>
      <c r="X46" s="1" t="s">
        <v>74</v>
      </c>
      <c r="Y46" s="1" t="s">
        <v>74</v>
      </c>
      <c r="Z46" s="1" t="s">
        <v>74</v>
      </c>
      <c r="AA46" s="1" t="s">
        <v>563</v>
      </c>
      <c r="AB46" s="1" t="s">
        <v>564</v>
      </c>
      <c r="AC46" s="1" t="s">
        <v>74</v>
      </c>
      <c r="AD46" s="1" t="s">
        <v>74</v>
      </c>
      <c r="AE46" s="1" t="s">
        <v>74</v>
      </c>
      <c r="AF46" s="1" t="s">
        <v>74</v>
      </c>
      <c r="AG46" s="1" t="s">
        <v>74</v>
      </c>
      <c r="AH46" s="1" t="s">
        <v>74</v>
      </c>
      <c r="AI46" s="1" t="s">
        <v>74</v>
      </c>
      <c r="AJ46" s="1" t="s">
        <v>74</v>
      </c>
      <c r="AK46" s="1" t="s">
        <v>74</v>
      </c>
      <c r="AL46" s="1" t="s">
        <v>74</v>
      </c>
      <c r="AM46" s="1" t="s">
        <v>74</v>
      </c>
      <c r="AN46" s="1" t="s">
        <v>74</v>
      </c>
      <c r="AO46" s="1" t="s">
        <v>565</v>
      </c>
      <c r="AP46" s="1" t="s">
        <v>566</v>
      </c>
      <c r="AQ46" s="1" t="s">
        <v>74</v>
      </c>
      <c r="AR46" s="1" t="s">
        <v>74</v>
      </c>
      <c r="AS46" s="1" t="s">
        <v>74</v>
      </c>
      <c r="AT46" s="1" t="s">
        <v>385</v>
      </c>
      <c r="AU46" s="1">
        <v>2015.0</v>
      </c>
      <c r="AV46" s="1">
        <v>163.0</v>
      </c>
      <c r="AW46" s="1" t="s">
        <v>74</v>
      </c>
      <c r="AX46" s="1" t="s">
        <v>74</v>
      </c>
      <c r="AY46" s="1" t="s">
        <v>74</v>
      </c>
      <c r="AZ46" s="1" t="s">
        <v>74</v>
      </c>
      <c r="BA46" s="1" t="s">
        <v>74</v>
      </c>
      <c r="BB46" s="1">
        <v>102.0</v>
      </c>
      <c r="BC46" s="1">
        <v>108.0</v>
      </c>
      <c r="BD46" s="1" t="s">
        <v>74</v>
      </c>
      <c r="BE46" s="1" t="s">
        <v>567</v>
      </c>
      <c r="BF46" s="2" t="str">
        <f>HYPERLINK("http://dx.doi.org/10.1016/j.aquatox.2015.03.022","http://dx.doi.org/10.1016/j.aquatox.2015.03.022")</f>
        <v>http://dx.doi.org/10.1016/j.aquatox.2015.03.022</v>
      </c>
      <c r="BG46" s="1" t="s">
        <v>74</v>
      </c>
      <c r="BH46" s="1" t="s">
        <v>74</v>
      </c>
      <c r="BI46" s="1" t="s">
        <v>74</v>
      </c>
      <c r="BJ46" s="1" t="s">
        <v>74</v>
      </c>
      <c r="BK46" s="1" t="s">
        <v>74</v>
      </c>
      <c r="BL46" s="1" t="s">
        <v>74</v>
      </c>
      <c r="BM46" s="1" t="s">
        <v>74</v>
      </c>
      <c r="BN46" s="1">
        <v>2.5885475E7</v>
      </c>
      <c r="BO46" s="1" t="s">
        <v>74</v>
      </c>
      <c r="BP46" s="1" t="s">
        <v>74</v>
      </c>
      <c r="BQ46" s="1" t="s">
        <v>74</v>
      </c>
      <c r="BR46" s="1" t="s">
        <v>74</v>
      </c>
      <c r="BS46" s="1" t="s">
        <v>568</v>
      </c>
      <c r="BT46" s="1" t="str">
        <f>HYPERLINK("https%3A%2F%2Fwww.webofscience.com%2Fwos%2Fwoscc%2Ffull-record%2FWOS:000355050900011","View Full Record in Web of Science")</f>
        <v>View Full Record in Web of Science</v>
      </c>
    </row>
    <row r="47" ht="12.75" customHeight="1">
      <c r="A47" s="1" t="s">
        <v>72</v>
      </c>
      <c r="B47" s="1" t="s">
        <v>569</v>
      </c>
      <c r="C47" s="1" t="s">
        <v>74</v>
      </c>
      <c r="D47" s="1" t="s">
        <v>74</v>
      </c>
      <c r="E47" s="1" t="s">
        <v>74</v>
      </c>
      <c r="F47" s="1" t="s">
        <v>570</v>
      </c>
      <c r="G47" s="1" t="s">
        <v>74</v>
      </c>
      <c r="H47" s="1" t="s">
        <v>74</v>
      </c>
      <c r="I47" s="1" t="s">
        <v>571</v>
      </c>
      <c r="J47" s="1" t="s">
        <v>572</v>
      </c>
      <c r="K47" s="1" t="s">
        <v>74</v>
      </c>
      <c r="L47" s="1" t="s">
        <v>74</v>
      </c>
      <c r="M47" s="1" t="s">
        <v>74</v>
      </c>
      <c r="N47" s="1" t="s">
        <v>74</v>
      </c>
      <c r="O47" s="1" t="s">
        <v>74</v>
      </c>
      <c r="P47" s="1" t="s">
        <v>74</v>
      </c>
      <c r="Q47" s="1" t="s">
        <v>74</v>
      </c>
      <c r="R47" s="1" t="s">
        <v>74</v>
      </c>
      <c r="S47" s="1" t="s">
        <v>74</v>
      </c>
      <c r="T47" s="1" t="s">
        <v>74</v>
      </c>
      <c r="U47" s="1" t="s">
        <v>74</v>
      </c>
      <c r="V47" s="1" t="s">
        <v>573</v>
      </c>
      <c r="W47" s="1" t="s">
        <v>74</v>
      </c>
      <c r="X47" s="1" t="s">
        <v>74</v>
      </c>
      <c r="Y47" s="1" t="s">
        <v>74</v>
      </c>
      <c r="Z47" s="1" t="s">
        <v>74</v>
      </c>
      <c r="AA47" s="1" t="s">
        <v>574</v>
      </c>
      <c r="AB47" s="1" t="s">
        <v>575</v>
      </c>
      <c r="AC47" s="1" t="s">
        <v>74</v>
      </c>
      <c r="AD47" s="1" t="s">
        <v>74</v>
      </c>
      <c r="AE47" s="1" t="s">
        <v>74</v>
      </c>
      <c r="AF47" s="1" t="s">
        <v>74</v>
      </c>
      <c r="AG47" s="1" t="s">
        <v>74</v>
      </c>
      <c r="AH47" s="1" t="s">
        <v>74</v>
      </c>
      <c r="AI47" s="1" t="s">
        <v>74</v>
      </c>
      <c r="AJ47" s="1" t="s">
        <v>74</v>
      </c>
      <c r="AK47" s="1" t="s">
        <v>74</v>
      </c>
      <c r="AL47" s="1" t="s">
        <v>74</v>
      </c>
      <c r="AM47" s="1" t="s">
        <v>74</v>
      </c>
      <c r="AN47" s="1" t="s">
        <v>74</v>
      </c>
      <c r="AO47" s="1" t="s">
        <v>576</v>
      </c>
      <c r="AP47" s="1" t="s">
        <v>577</v>
      </c>
      <c r="AQ47" s="1" t="s">
        <v>74</v>
      </c>
      <c r="AR47" s="1" t="s">
        <v>74</v>
      </c>
      <c r="AS47" s="1" t="s">
        <v>74</v>
      </c>
      <c r="AT47" s="1" t="s">
        <v>385</v>
      </c>
      <c r="AU47" s="1">
        <v>2014.0</v>
      </c>
      <c r="AV47" s="1">
        <v>129.0</v>
      </c>
      <c r="AW47" s="1">
        <v>5.0</v>
      </c>
      <c r="AX47" s="1" t="s">
        <v>74</v>
      </c>
      <c r="AY47" s="1" t="s">
        <v>74</v>
      </c>
      <c r="AZ47" s="1" t="s">
        <v>74</v>
      </c>
      <c r="BA47" s="1" t="s">
        <v>74</v>
      </c>
      <c r="BB47" s="1">
        <v>864.0</v>
      </c>
      <c r="BC47" s="1">
        <v>876.0</v>
      </c>
      <c r="BD47" s="1" t="s">
        <v>74</v>
      </c>
      <c r="BE47" s="1" t="s">
        <v>578</v>
      </c>
      <c r="BF47" s="2" t="str">
        <f>HYPERLINK("http://dx.doi.org/10.1111/jnc.12685","http://dx.doi.org/10.1111/jnc.12685")</f>
        <v>http://dx.doi.org/10.1111/jnc.12685</v>
      </c>
      <c r="BG47" s="1" t="s">
        <v>74</v>
      </c>
      <c r="BH47" s="1" t="s">
        <v>74</v>
      </c>
      <c r="BI47" s="1" t="s">
        <v>74</v>
      </c>
      <c r="BJ47" s="1" t="s">
        <v>74</v>
      </c>
      <c r="BK47" s="1" t="s">
        <v>74</v>
      </c>
      <c r="BL47" s="1" t="s">
        <v>74</v>
      </c>
      <c r="BM47" s="1" t="s">
        <v>74</v>
      </c>
      <c r="BN47" s="1">
        <v>2.467325E7</v>
      </c>
      <c r="BO47" s="1" t="s">
        <v>74</v>
      </c>
      <c r="BP47" s="1" t="s">
        <v>74</v>
      </c>
      <c r="BQ47" s="1" t="s">
        <v>74</v>
      </c>
      <c r="BR47" s="1" t="s">
        <v>74</v>
      </c>
      <c r="BS47" s="1" t="s">
        <v>579</v>
      </c>
      <c r="BT47" s="1" t="str">
        <f>HYPERLINK("https%3A%2F%2Fwww.webofscience.com%2Fwos%2Fwoscc%2Ffull-record%2FWOS:000335951400011","View Full Record in Web of Science")</f>
        <v>View Full Record in Web of Science</v>
      </c>
    </row>
    <row r="48" ht="12.75" customHeight="1">
      <c r="A48" s="1" t="s">
        <v>72</v>
      </c>
      <c r="B48" s="1" t="s">
        <v>580</v>
      </c>
      <c r="C48" s="1" t="s">
        <v>74</v>
      </c>
      <c r="D48" s="1" t="s">
        <v>74</v>
      </c>
      <c r="E48" s="1" t="s">
        <v>74</v>
      </c>
      <c r="F48" s="1" t="s">
        <v>581</v>
      </c>
      <c r="G48" s="1" t="s">
        <v>74</v>
      </c>
      <c r="H48" s="1" t="s">
        <v>74</v>
      </c>
      <c r="I48" s="1" t="s">
        <v>582</v>
      </c>
      <c r="J48" s="1" t="s">
        <v>583</v>
      </c>
      <c r="K48" s="1" t="s">
        <v>74</v>
      </c>
      <c r="L48" s="1" t="s">
        <v>74</v>
      </c>
      <c r="M48" s="1" t="s">
        <v>74</v>
      </c>
      <c r="N48" s="1" t="s">
        <v>74</v>
      </c>
      <c r="O48" s="1" t="s">
        <v>74</v>
      </c>
      <c r="P48" s="1" t="s">
        <v>74</v>
      </c>
      <c r="Q48" s="1" t="s">
        <v>74</v>
      </c>
      <c r="R48" s="1" t="s">
        <v>74</v>
      </c>
      <c r="S48" s="1" t="s">
        <v>74</v>
      </c>
      <c r="T48" s="1" t="s">
        <v>74</v>
      </c>
      <c r="U48" s="1" t="s">
        <v>74</v>
      </c>
      <c r="V48" s="1" t="s">
        <v>584</v>
      </c>
      <c r="W48" s="1" t="s">
        <v>74</v>
      </c>
      <c r="X48" s="1" t="s">
        <v>74</v>
      </c>
      <c r="Y48" s="1" t="s">
        <v>74</v>
      </c>
      <c r="Z48" s="1" t="s">
        <v>74</v>
      </c>
      <c r="AA48" s="1" t="s">
        <v>585</v>
      </c>
      <c r="AB48" s="1" t="s">
        <v>586</v>
      </c>
      <c r="AC48" s="1" t="s">
        <v>74</v>
      </c>
      <c r="AD48" s="1" t="s">
        <v>74</v>
      </c>
      <c r="AE48" s="1" t="s">
        <v>74</v>
      </c>
      <c r="AF48" s="1" t="s">
        <v>74</v>
      </c>
      <c r="AG48" s="1" t="s">
        <v>74</v>
      </c>
      <c r="AH48" s="1" t="s">
        <v>74</v>
      </c>
      <c r="AI48" s="1" t="s">
        <v>74</v>
      </c>
      <c r="AJ48" s="1" t="s">
        <v>74</v>
      </c>
      <c r="AK48" s="1" t="s">
        <v>74</v>
      </c>
      <c r="AL48" s="1" t="s">
        <v>74</v>
      </c>
      <c r="AM48" s="1" t="s">
        <v>74</v>
      </c>
      <c r="AN48" s="1" t="s">
        <v>74</v>
      </c>
      <c r="AO48" s="1" t="s">
        <v>587</v>
      </c>
      <c r="AP48" s="1" t="s">
        <v>588</v>
      </c>
      <c r="AQ48" s="1" t="s">
        <v>74</v>
      </c>
      <c r="AR48" s="1" t="s">
        <v>74</v>
      </c>
      <c r="AS48" s="1" t="s">
        <v>74</v>
      </c>
      <c r="AT48" s="1" t="s">
        <v>589</v>
      </c>
      <c r="AU48" s="1">
        <v>2013.0</v>
      </c>
      <c r="AV48" s="1">
        <v>66.0</v>
      </c>
      <c r="AW48" s="1">
        <v>10.0</v>
      </c>
      <c r="AX48" s="1" t="s">
        <v>74</v>
      </c>
      <c r="AY48" s="1" t="s">
        <v>74</v>
      </c>
      <c r="AZ48" s="1" t="s">
        <v>74</v>
      </c>
      <c r="BA48" s="1" t="s">
        <v>74</v>
      </c>
      <c r="BB48" s="1">
        <v>1830.0</v>
      </c>
      <c r="BC48" s="1">
        <v>1836.0</v>
      </c>
      <c r="BD48" s="1" t="s">
        <v>74</v>
      </c>
      <c r="BE48" s="1" t="s">
        <v>590</v>
      </c>
      <c r="BF48" s="2" t="str">
        <f>HYPERLINK("http://dx.doi.org/10.1080/00958972.2013.791685","http://dx.doi.org/10.1080/00958972.2013.791685")</f>
        <v>http://dx.doi.org/10.1080/00958972.2013.791685</v>
      </c>
      <c r="BG48" s="1" t="s">
        <v>74</v>
      </c>
      <c r="BH48" s="1" t="s">
        <v>74</v>
      </c>
      <c r="BI48" s="1" t="s">
        <v>74</v>
      </c>
      <c r="BJ48" s="1" t="s">
        <v>74</v>
      </c>
      <c r="BK48" s="1" t="s">
        <v>74</v>
      </c>
      <c r="BL48" s="1" t="s">
        <v>74</v>
      </c>
      <c r="BM48" s="1" t="s">
        <v>74</v>
      </c>
      <c r="BN48" s="1" t="s">
        <v>74</v>
      </c>
      <c r="BO48" s="1" t="s">
        <v>74</v>
      </c>
      <c r="BP48" s="1" t="s">
        <v>74</v>
      </c>
      <c r="BQ48" s="1" t="s">
        <v>74</v>
      </c>
      <c r="BR48" s="1" t="s">
        <v>74</v>
      </c>
      <c r="BS48" s="1" t="s">
        <v>591</v>
      </c>
      <c r="BT48" s="1" t="str">
        <f>HYPERLINK("https%3A%2F%2Fwww.webofscience.com%2Fwos%2Fwoscc%2Ffull-record%2FWOS:000318292600016","View Full Record in Web of Science")</f>
        <v>View Full Record in Web of Science</v>
      </c>
    </row>
    <row r="49" ht="12.75" customHeight="1">
      <c r="A49" s="1" t="s">
        <v>72</v>
      </c>
      <c r="B49" s="1" t="s">
        <v>592</v>
      </c>
      <c r="C49" s="1" t="s">
        <v>74</v>
      </c>
      <c r="D49" s="1" t="s">
        <v>74</v>
      </c>
      <c r="E49" s="1" t="s">
        <v>74</v>
      </c>
      <c r="F49" s="1" t="s">
        <v>593</v>
      </c>
      <c r="G49" s="1" t="s">
        <v>74</v>
      </c>
      <c r="H49" s="1" t="s">
        <v>74</v>
      </c>
      <c r="I49" s="1" t="s">
        <v>594</v>
      </c>
      <c r="J49" s="1" t="s">
        <v>595</v>
      </c>
      <c r="K49" s="1" t="s">
        <v>74</v>
      </c>
      <c r="L49" s="1" t="s">
        <v>74</v>
      </c>
      <c r="M49" s="1" t="s">
        <v>74</v>
      </c>
      <c r="N49" s="1" t="s">
        <v>74</v>
      </c>
      <c r="O49" s="1" t="s">
        <v>74</v>
      </c>
      <c r="P49" s="1" t="s">
        <v>74</v>
      </c>
      <c r="Q49" s="1" t="s">
        <v>74</v>
      </c>
      <c r="R49" s="1" t="s">
        <v>74</v>
      </c>
      <c r="S49" s="1" t="s">
        <v>74</v>
      </c>
      <c r="T49" s="1" t="s">
        <v>74</v>
      </c>
      <c r="U49" s="1" t="s">
        <v>74</v>
      </c>
      <c r="V49" s="1" t="s">
        <v>596</v>
      </c>
      <c r="W49" s="1" t="s">
        <v>74</v>
      </c>
      <c r="X49" s="1" t="s">
        <v>74</v>
      </c>
      <c r="Y49" s="1" t="s">
        <v>74</v>
      </c>
      <c r="Z49" s="1" t="s">
        <v>74</v>
      </c>
      <c r="AA49" s="1" t="s">
        <v>74</v>
      </c>
      <c r="AB49" s="1" t="s">
        <v>597</v>
      </c>
      <c r="AC49" s="1" t="s">
        <v>74</v>
      </c>
      <c r="AD49" s="1" t="s">
        <v>74</v>
      </c>
      <c r="AE49" s="1" t="s">
        <v>74</v>
      </c>
      <c r="AF49" s="1" t="s">
        <v>74</v>
      </c>
      <c r="AG49" s="1" t="s">
        <v>74</v>
      </c>
      <c r="AH49" s="1" t="s">
        <v>74</v>
      </c>
      <c r="AI49" s="1" t="s">
        <v>74</v>
      </c>
      <c r="AJ49" s="1" t="s">
        <v>74</v>
      </c>
      <c r="AK49" s="1" t="s">
        <v>74</v>
      </c>
      <c r="AL49" s="1" t="s">
        <v>74</v>
      </c>
      <c r="AM49" s="1" t="s">
        <v>74</v>
      </c>
      <c r="AN49" s="1" t="s">
        <v>74</v>
      </c>
      <c r="AO49" s="1" t="s">
        <v>598</v>
      </c>
      <c r="AP49" s="1" t="s">
        <v>599</v>
      </c>
      <c r="AQ49" s="1" t="s">
        <v>74</v>
      </c>
      <c r="AR49" s="1" t="s">
        <v>74</v>
      </c>
      <c r="AS49" s="1" t="s">
        <v>74</v>
      </c>
      <c r="AT49" s="1" t="s">
        <v>600</v>
      </c>
      <c r="AU49" s="1">
        <v>2012.0</v>
      </c>
      <c r="AV49" s="1">
        <v>18.0</v>
      </c>
      <c r="AW49" s="1">
        <v>1.0</v>
      </c>
      <c r="AX49" s="1" t="s">
        <v>74</v>
      </c>
      <c r="AY49" s="1" t="s">
        <v>74</v>
      </c>
      <c r="AZ49" s="1" t="s">
        <v>74</v>
      </c>
      <c r="BA49" s="1" t="s">
        <v>74</v>
      </c>
      <c r="BB49" s="1">
        <v>146.0</v>
      </c>
      <c r="BC49" s="1">
        <v>181.0</v>
      </c>
      <c r="BD49" s="1" t="s">
        <v>74</v>
      </c>
      <c r="BE49" s="1" t="s">
        <v>601</v>
      </c>
      <c r="BF49" s="2" t="str">
        <f>HYPERLINK("http://dx.doi.org/10.1007/s00041-011-9192-3","http://dx.doi.org/10.1007/s00041-011-9192-3")</f>
        <v>http://dx.doi.org/10.1007/s00041-011-9192-3</v>
      </c>
      <c r="BG49" s="1" t="s">
        <v>74</v>
      </c>
      <c r="BH49" s="1" t="s">
        <v>74</v>
      </c>
      <c r="BI49" s="1" t="s">
        <v>74</v>
      </c>
      <c r="BJ49" s="1" t="s">
        <v>74</v>
      </c>
      <c r="BK49" s="1" t="s">
        <v>74</v>
      </c>
      <c r="BL49" s="1" t="s">
        <v>74</v>
      </c>
      <c r="BM49" s="1" t="s">
        <v>74</v>
      </c>
      <c r="BN49" s="1" t="s">
        <v>74</v>
      </c>
      <c r="BO49" s="1" t="s">
        <v>74</v>
      </c>
      <c r="BP49" s="1" t="s">
        <v>74</v>
      </c>
      <c r="BQ49" s="1" t="s">
        <v>74</v>
      </c>
      <c r="BR49" s="1" t="s">
        <v>74</v>
      </c>
      <c r="BS49" s="1" t="s">
        <v>602</v>
      </c>
      <c r="BT49" s="1" t="str">
        <f>HYPERLINK("https%3A%2F%2Fwww.webofscience.com%2Fwos%2Fwoscc%2Ffull-record%2FWOS:000299525200008","View Full Record in Web of Science")</f>
        <v>View Full Record in Web of Science</v>
      </c>
    </row>
    <row r="50" ht="12.75" customHeight="1">
      <c r="A50" s="1" t="s">
        <v>72</v>
      </c>
      <c r="B50" s="1" t="s">
        <v>603</v>
      </c>
      <c r="C50" s="1" t="s">
        <v>74</v>
      </c>
      <c r="D50" s="1" t="s">
        <v>74</v>
      </c>
      <c r="E50" s="1" t="s">
        <v>74</v>
      </c>
      <c r="F50" s="1" t="s">
        <v>604</v>
      </c>
      <c r="G50" s="1" t="s">
        <v>74</v>
      </c>
      <c r="H50" s="1" t="s">
        <v>74</v>
      </c>
      <c r="I50" s="1" t="s">
        <v>605</v>
      </c>
      <c r="J50" s="1" t="s">
        <v>606</v>
      </c>
      <c r="K50" s="1" t="s">
        <v>74</v>
      </c>
      <c r="L50" s="1" t="s">
        <v>74</v>
      </c>
      <c r="M50" s="1" t="s">
        <v>74</v>
      </c>
      <c r="N50" s="1" t="s">
        <v>74</v>
      </c>
      <c r="O50" s="1" t="s">
        <v>74</v>
      </c>
      <c r="P50" s="1" t="s">
        <v>74</v>
      </c>
      <c r="Q50" s="1" t="s">
        <v>74</v>
      </c>
      <c r="R50" s="1" t="s">
        <v>74</v>
      </c>
      <c r="S50" s="1" t="s">
        <v>74</v>
      </c>
      <c r="T50" s="1" t="s">
        <v>74</v>
      </c>
      <c r="U50" s="1" t="s">
        <v>74</v>
      </c>
      <c r="V50" s="1" t="s">
        <v>607</v>
      </c>
      <c r="W50" s="1" t="s">
        <v>74</v>
      </c>
      <c r="X50" s="1" t="s">
        <v>74</v>
      </c>
      <c r="Y50" s="1" t="s">
        <v>74</v>
      </c>
      <c r="Z50" s="1" t="s">
        <v>74</v>
      </c>
      <c r="AA50" s="1" t="s">
        <v>608</v>
      </c>
      <c r="AB50" s="1" t="s">
        <v>609</v>
      </c>
      <c r="AC50" s="1" t="s">
        <v>74</v>
      </c>
      <c r="AD50" s="1" t="s">
        <v>74</v>
      </c>
      <c r="AE50" s="1" t="s">
        <v>74</v>
      </c>
      <c r="AF50" s="1" t="s">
        <v>74</v>
      </c>
      <c r="AG50" s="1" t="s">
        <v>74</v>
      </c>
      <c r="AH50" s="1" t="s">
        <v>74</v>
      </c>
      <c r="AI50" s="1" t="s">
        <v>74</v>
      </c>
      <c r="AJ50" s="1" t="s">
        <v>74</v>
      </c>
      <c r="AK50" s="1" t="s">
        <v>74</v>
      </c>
      <c r="AL50" s="1" t="s">
        <v>74</v>
      </c>
      <c r="AM50" s="1" t="s">
        <v>74</v>
      </c>
      <c r="AN50" s="1" t="s">
        <v>74</v>
      </c>
      <c r="AO50" s="1" t="s">
        <v>610</v>
      </c>
      <c r="AP50" s="1" t="s">
        <v>611</v>
      </c>
      <c r="AQ50" s="1" t="s">
        <v>74</v>
      </c>
      <c r="AR50" s="1" t="s">
        <v>74</v>
      </c>
      <c r="AS50" s="1" t="s">
        <v>74</v>
      </c>
      <c r="AT50" s="1" t="s">
        <v>612</v>
      </c>
      <c r="AU50" s="1">
        <v>2012.0</v>
      </c>
      <c r="AV50" s="1">
        <v>45.0</v>
      </c>
      <c r="AW50" s="1">
        <v>1.0</v>
      </c>
      <c r="AX50" s="1" t="s">
        <v>74</v>
      </c>
      <c r="AY50" s="1" t="s">
        <v>74</v>
      </c>
      <c r="AZ50" s="1" t="s">
        <v>74</v>
      </c>
      <c r="BA50" s="1" t="s">
        <v>74</v>
      </c>
      <c r="BB50" s="1" t="s">
        <v>74</v>
      </c>
      <c r="BC50" s="1" t="s">
        <v>74</v>
      </c>
      <c r="BD50" s="1">
        <v>15503.0</v>
      </c>
      <c r="BE50" s="1" t="s">
        <v>613</v>
      </c>
      <c r="BF50" s="2" t="str">
        <f>HYPERLINK("http://dx.doi.org/10.1088/0953-4075/45/1/015503","http://dx.doi.org/10.1088/0953-4075/45/1/015503")</f>
        <v>http://dx.doi.org/10.1088/0953-4075/45/1/015503</v>
      </c>
      <c r="BG50" s="1" t="s">
        <v>74</v>
      </c>
      <c r="BH50" s="1" t="s">
        <v>74</v>
      </c>
      <c r="BI50" s="1" t="s">
        <v>74</v>
      </c>
      <c r="BJ50" s="1" t="s">
        <v>74</v>
      </c>
      <c r="BK50" s="1" t="s">
        <v>74</v>
      </c>
      <c r="BL50" s="1" t="s">
        <v>74</v>
      </c>
      <c r="BM50" s="1" t="s">
        <v>74</v>
      </c>
      <c r="BN50" s="1" t="s">
        <v>74</v>
      </c>
      <c r="BO50" s="1" t="s">
        <v>74</v>
      </c>
      <c r="BP50" s="1" t="s">
        <v>74</v>
      </c>
      <c r="BQ50" s="1" t="s">
        <v>74</v>
      </c>
      <c r="BR50" s="1" t="s">
        <v>74</v>
      </c>
      <c r="BS50" s="1" t="s">
        <v>614</v>
      </c>
      <c r="BT50" s="1" t="str">
        <f>HYPERLINK("https%3A%2F%2Fwww.webofscience.com%2Fwos%2Fwoscc%2Ffull-record%2FWOS:000298613800014","View Full Record in Web of Science")</f>
        <v>View Full Record in Web of Science</v>
      </c>
    </row>
    <row r="51" ht="12.75" customHeight="1">
      <c r="A51" s="1" t="s">
        <v>72</v>
      </c>
      <c r="B51" s="1" t="s">
        <v>615</v>
      </c>
      <c r="C51" s="1" t="s">
        <v>74</v>
      </c>
      <c r="D51" s="1" t="s">
        <v>74</v>
      </c>
      <c r="E51" s="1" t="s">
        <v>74</v>
      </c>
      <c r="F51" s="1" t="s">
        <v>616</v>
      </c>
      <c r="G51" s="1" t="s">
        <v>74</v>
      </c>
      <c r="H51" s="1" t="s">
        <v>74</v>
      </c>
      <c r="I51" s="1" t="s">
        <v>617</v>
      </c>
      <c r="J51" s="1" t="s">
        <v>618</v>
      </c>
      <c r="K51" s="1" t="s">
        <v>74</v>
      </c>
      <c r="L51" s="1" t="s">
        <v>74</v>
      </c>
      <c r="M51" s="1" t="s">
        <v>74</v>
      </c>
      <c r="N51" s="1" t="s">
        <v>74</v>
      </c>
      <c r="O51" s="1" t="s">
        <v>74</v>
      </c>
      <c r="P51" s="1" t="s">
        <v>74</v>
      </c>
      <c r="Q51" s="1" t="s">
        <v>74</v>
      </c>
      <c r="R51" s="1" t="s">
        <v>74</v>
      </c>
      <c r="S51" s="1" t="s">
        <v>74</v>
      </c>
      <c r="T51" s="1" t="s">
        <v>74</v>
      </c>
      <c r="U51" s="1" t="s">
        <v>74</v>
      </c>
      <c r="V51" s="1" t="s">
        <v>619</v>
      </c>
      <c r="W51" s="1" t="s">
        <v>74</v>
      </c>
      <c r="X51" s="1" t="s">
        <v>74</v>
      </c>
      <c r="Y51" s="1" t="s">
        <v>74</v>
      </c>
      <c r="Z51" s="1" t="s">
        <v>74</v>
      </c>
      <c r="AA51" s="1" t="s">
        <v>620</v>
      </c>
      <c r="AB51" s="1" t="s">
        <v>621</v>
      </c>
      <c r="AC51" s="1" t="s">
        <v>74</v>
      </c>
      <c r="AD51" s="1" t="s">
        <v>74</v>
      </c>
      <c r="AE51" s="1" t="s">
        <v>74</v>
      </c>
      <c r="AF51" s="1" t="s">
        <v>74</v>
      </c>
      <c r="AG51" s="1" t="s">
        <v>74</v>
      </c>
      <c r="AH51" s="1" t="s">
        <v>74</v>
      </c>
      <c r="AI51" s="1" t="s">
        <v>74</v>
      </c>
      <c r="AJ51" s="1" t="s">
        <v>74</v>
      </c>
      <c r="AK51" s="1" t="s">
        <v>74</v>
      </c>
      <c r="AL51" s="1" t="s">
        <v>74</v>
      </c>
      <c r="AM51" s="1" t="s">
        <v>74</v>
      </c>
      <c r="AN51" s="1" t="s">
        <v>74</v>
      </c>
      <c r="AO51" s="1" t="s">
        <v>622</v>
      </c>
      <c r="AP51" s="1" t="s">
        <v>623</v>
      </c>
      <c r="AQ51" s="1" t="s">
        <v>74</v>
      </c>
      <c r="AR51" s="1" t="s">
        <v>74</v>
      </c>
      <c r="AS51" s="1" t="s">
        <v>74</v>
      </c>
      <c r="AT51" s="1" t="s">
        <v>308</v>
      </c>
      <c r="AU51" s="1">
        <v>2011.0</v>
      </c>
      <c r="AV51" s="1">
        <v>58.0</v>
      </c>
      <c r="AW51" s="1">
        <v>4.0</v>
      </c>
      <c r="AX51" s="1" t="s">
        <v>74</v>
      </c>
      <c r="AY51" s="1" t="s">
        <v>74</v>
      </c>
      <c r="AZ51" s="1" t="s">
        <v>74</v>
      </c>
      <c r="BA51" s="1" t="s">
        <v>74</v>
      </c>
      <c r="BB51" s="1">
        <v>1081.0</v>
      </c>
      <c r="BC51" s="1">
        <v>1095.0</v>
      </c>
      <c r="BD51" s="1" t="s">
        <v>74</v>
      </c>
      <c r="BE51" s="1" t="s">
        <v>624</v>
      </c>
      <c r="BF51" s="2" t="str">
        <f>HYPERLINK("http://dx.doi.org/10.1109/TIE.2010.2103910","http://dx.doi.org/10.1109/TIE.2010.2103910")</f>
        <v>http://dx.doi.org/10.1109/TIE.2010.2103910</v>
      </c>
      <c r="BG51" s="1" t="s">
        <v>74</v>
      </c>
      <c r="BH51" s="1" t="s">
        <v>74</v>
      </c>
      <c r="BI51" s="1" t="s">
        <v>74</v>
      </c>
      <c r="BJ51" s="1" t="s">
        <v>74</v>
      </c>
      <c r="BK51" s="1" t="s">
        <v>74</v>
      </c>
      <c r="BL51" s="1" t="s">
        <v>74</v>
      </c>
      <c r="BM51" s="1" t="s">
        <v>74</v>
      </c>
      <c r="BN51" s="1" t="s">
        <v>74</v>
      </c>
      <c r="BO51" s="1" t="s">
        <v>74</v>
      </c>
      <c r="BP51" s="1" t="s">
        <v>74</v>
      </c>
      <c r="BQ51" s="1" t="s">
        <v>74</v>
      </c>
      <c r="BR51" s="1" t="s">
        <v>74</v>
      </c>
      <c r="BS51" s="1" t="s">
        <v>625</v>
      </c>
      <c r="BT51" s="1" t="str">
        <f>HYPERLINK("https%3A%2F%2Fwww.webofscience.com%2Fwos%2Fwoscc%2Ffull-record%2FWOS:000288334300002","View Full Record in Web of Science")</f>
        <v>View Full Record in Web of Science</v>
      </c>
    </row>
    <row r="52" ht="12.75" customHeight="1">
      <c r="A52" s="1" t="s">
        <v>72</v>
      </c>
      <c r="B52" s="1" t="s">
        <v>626</v>
      </c>
      <c r="C52" s="1" t="s">
        <v>74</v>
      </c>
      <c r="D52" s="1" t="s">
        <v>74</v>
      </c>
      <c r="E52" s="1" t="s">
        <v>74</v>
      </c>
      <c r="F52" s="1" t="s">
        <v>627</v>
      </c>
      <c r="G52" s="1" t="s">
        <v>74</v>
      </c>
      <c r="H52" s="1" t="s">
        <v>74</v>
      </c>
      <c r="I52" s="1" t="s">
        <v>628</v>
      </c>
      <c r="J52" s="1" t="s">
        <v>629</v>
      </c>
      <c r="K52" s="1" t="s">
        <v>74</v>
      </c>
      <c r="L52" s="1" t="s">
        <v>74</v>
      </c>
      <c r="M52" s="1" t="s">
        <v>74</v>
      </c>
      <c r="N52" s="1" t="s">
        <v>74</v>
      </c>
      <c r="O52" s="1" t="s">
        <v>74</v>
      </c>
      <c r="P52" s="1" t="s">
        <v>74</v>
      </c>
      <c r="Q52" s="1" t="s">
        <v>74</v>
      </c>
      <c r="R52" s="1" t="s">
        <v>74</v>
      </c>
      <c r="S52" s="1" t="s">
        <v>74</v>
      </c>
      <c r="T52" s="1" t="s">
        <v>74</v>
      </c>
      <c r="U52" s="1" t="s">
        <v>74</v>
      </c>
      <c r="V52" s="1" t="s">
        <v>630</v>
      </c>
      <c r="W52" s="1" t="s">
        <v>74</v>
      </c>
      <c r="X52" s="1" t="s">
        <v>74</v>
      </c>
      <c r="Y52" s="1" t="s">
        <v>74</v>
      </c>
      <c r="Z52" s="1" t="s">
        <v>74</v>
      </c>
      <c r="AA52" s="1" t="s">
        <v>631</v>
      </c>
      <c r="AB52" s="1" t="s">
        <v>632</v>
      </c>
      <c r="AC52" s="1" t="s">
        <v>74</v>
      </c>
      <c r="AD52" s="1" t="s">
        <v>74</v>
      </c>
      <c r="AE52" s="1" t="s">
        <v>74</v>
      </c>
      <c r="AF52" s="1" t="s">
        <v>74</v>
      </c>
      <c r="AG52" s="1" t="s">
        <v>74</v>
      </c>
      <c r="AH52" s="1" t="s">
        <v>74</v>
      </c>
      <c r="AI52" s="1" t="s">
        <v>74</v>
      </c>
      <c r="AJ52" s="1" t="s">
        <v>74</v>
      </c>
      <c r="AK52" s="1" t="s">
        <v>74</v>
      </c>
      <c r="AL52" s="1" t="s">
        <v>74</v>
      </c>
      <c r="AM52" s="1" t="s">
        <v>74</v>
      </c>
      <c r="AN52" s="1" t="s">
        <v>74</v>
      </c>
      <c r="AO52" s="1" t="s">
        <v>633</v>
      </c>
      <c r="AP52" s="1" t="s">
        <v>634</v>
      </c>
      <c r="AQ52" s="1" t="s">
        <v>74</v>
      </c>
      <c r="AR52" s="1" t="s">
        <v>74</v>
      </c>
      <c r="AS52" s="1" t="s">
        <v>74</v>
      </c>
      <c r="AT52" s="1" t="s">
        <v>374</v>
      </c>
      <c r="AU52" s="1">
        <v>2010.0</v>
      </c>
      <c r="AV52" s="1">
        <v>504.0</v>
      </c>
      <c r="AW52" s="1">
        <v>1.0</v>
      </c>
      <c r="AX52" s="1" t="s">
        <v>74</v>
      </c>
      <c r="AY52" s="1" t="s">
        <v>74</v>
      </c>
      <c r="AZ52" s="1" t="s">
        <v>74</v>
      </c>
      <c r="BA52" s="1" t="s">
        <v>74</v>
      </c>
      <c r="BB52" s="1">
        <v>102.0</v>
      </c>
      <c r="BC52" s="1">
        <v>109.0</v>
      </c>
      <c r="BD52" s="1" t="s">
        <v>74</v>
      </c>
      <c r="BE52" s="1" t="s">
        <v>635</v>
      </c>
      <c r="BF52" s="2" t="str">
        <f>HYPERLINK("http://dx.doi.org/10.1016/j.jallcom.2010.05.061","http://dx.doi.org/10.1016/j.jallcom.2010.05.061")</f>
        <v>http://dx.doi.org/10.1016/j.jallcom.2010.05.061</v>
      </c>
      <c r="BG52" s="1" t="s">
        <v>74</v>
      </c>
      <c r="BH52" s="1" t="s">
        <v>74</v>
      </c>
      <c r="BI52" s="1" t="s">
        <v>74</v>
      </c>
      <c r="BJ52" s="1" t="s">
        <v>74</v>
      </c>
      <c r="BK52" s="1" t="s">
        <v>74</v>
      </c>
      <c r="BL52" s="1" t="s">
        <v>74</v>
      </c>
      <c r="BM52" s="1" t="s">
        <v>74</v>
      </c>
      <c r="BN52" s="1" t="s">
        <v>74</v>
      </c>
      <c r="BO52" s="1" t="s">
        <v>74</v>
      </c>
      <c r="BP52" s="1" t="s">
        <v>74</v>
      </c>
      <c r="BQ52" s="1" t="s">
        <v>74</v>
      </c>
      <c r="BR52" s="1" t="s">
        <v>74</v>
      </c>
      <c r="BS52" s="1" t="s">
        <v>636</v>
      </c>
      <c r="BT52" s="1" t="str">
        <f>HYPERLINK("https%3A%2F%2Fwww.webofscience.com%2Fwos%2Fwoscc%2Ffull-record%2FWOS:000280928400023","View Full Record in Web of Science")</f>
        <v>View Full Record in Web of Science</v>
      </c>
    </row>
    <row r="53" ht="12.75" customHeight="1">
      <c r="A53" s="1" t="s">
        <v>72</v>
      </c>
      <c r="B53" s="1" t="s">
        <v>637</v>
      </c>
      <c r="C53" s="1" t="s">
        <v>74</v>
      </c>
      <c r="D53" s="1" t="s">
        <v>74</v>
      </c>
      <c r="E53" s="1" t="s">
        <v>74</v>
      </c>
      <c r="F53" s="1" t="s">
        <v>638</v>
      </c>
      <c r="G53" s="1" t="s">
        <v>74</v>
      </c>
      <c r="H53" s="1" t="s">
        <v>74</v>
      </c>
      <c r="I53" s="1" t="s">
        <v>639</v>
      </c>
      <c r="J53" s="1" t="s">
        <v>640</v>
      </c>
      <c r="K53" s="1" t="s">
        <v>74</v>
      </c>
      <c r="L53" s="1" t="s">
        <v>74</v>
      </c>
      <c r="M53" s="1" t="s">
        <v>74</v>
      </c>
      <c r="N53" s="1" t="s">
        <v>74</v>
      </c>
      <c r="O53" s="1" t="s">
        <v>74</v>
      </c>
      <c r="P53" s="1" t="s">
        <v>74</v>
      </c>
      <c r="Q53" s="1" t="s">
        <v>74</v>
      </c>
      <c r="R53" s="1" t="s">
        <v>74</v>
      </c>
      <c r="S53" s="1" t="s">
        <v>74</v>
      </c>
      <c r="T53" s="1" t="s">
        <v>74</v>
      </c>
      <c r="U53" s="1" t="s">
        <v>74</v>
      </c>
      <c r="V53" s="1" t="s">
        <v>641</v>
      </c>
      <c r="W53" s="1" t="s">
        <v>74</v>
      </c>
      <c r="X53" s="1" t="s">
        <v>74</v>
      </c>
      <c r="Y53" s="1" t="s">
        <v>74</v>
      </c>
      <c r="Z53" s="1" t="s">
        <v>74</v>
      </c>
      <c r="AA53" s="1" t="s">
        <v>196</v>
      </c>
      <c r="AB53" s="1" t="s">
        <v>642</v>
      </c>
      <c r="AC53" s="1" t="s">
        <v>74</v>
      </c>
      <c r="AD53" s="1" t="s">
        <v>74</v>
      </c>
      <c r="AE53" s="1" t="s">
        <v>74</v>
      </c>
      <c r="AF53" s="1" t="s">
        <v>74</v>
      </c>
      <c r="AG53" s="1" t="s">
        <v>74</v>
      </c>
      <c r="AH53" s="1" t="s">
        <v>74</v>
      </c>
      <c r="AI53" s="1" t="s">
        <v>74</v>
      </c>
      <c r="AJ53" s="1" t="s">
        <v>74</v>
      </c>
      <c r="AK53" s="1" t="s">
        <v>74</v>
      </c>
      <c r="AL53" s="1" t="s">
        <v>74</v>
      </c>
      <c r="AM53" s="1" t="s">
        <v>74</v>
      </c>
      <c r="AN53" s="1" t="s">
        <v>74</v>
      </c>
      <c r="AO53" s="1" t="s">
        <v>643</v>
      </c>
      <c r="AP53" s="1" t="s">
        <v>644</v>
      </c>
      <c r="AQ53" s="1" t="s">
        <v>74</v>
      </c>
      <c r="AR53" s="1" t="s">
        <v>74</v>
      </c>
      <c r="AS53" s="1" t="s">
        <v>74</v>
      </c>
      <c r="AT53" s="1" t="s">
        <v>645</v>
      </c>
      <c r="AU53" s="1">
        <v>2010.0</v>
      </c>
      <c r="AV53" s="1">
        <v>58.0</v>
      </c>
      <c r="AW53" s="1">
        <v>11.0</v>
      </c>
      <c r="AX53" s="1" t="s">
        <v>74</v>
      </c>
      <c r="AY53" s="1" t="s">
        <v>74</v>
      </c>
      <c r="AZ53" s="1" t="s">
        <v>74</v>
      </c>
      <c r="BA53" s="1" t="s">
        <v>74</v>
      </c>
      <c r="BB53" s="1">
        <v>6864.0</v>
      </c>
      <c r="BC53" s="1">
        <v>6869.0</v>
      </c>
      <c r="BD53" s="1" t="s">
        <v>74</v>
      </c>
      <c r="BE53" s="1" t="s">
        <v>646</v>
      </c>
      <c r="BF53" s="2" t="str">
        <f>HYPERLINK("http://dx.doi.org/10.1021/jf904191z","http://dx.doi.org/10.1021/jf904191z")</f>
        <v>http://dx.doi.org/10.1021/jf904191z</v>
      </c>
      <c r="BG53" s="1" t="s">
        <v>74</v>
      </c>
      <c r="BH53" s="1" t="s">
        <v>74</v>
      </c>
      <c r="BI53" s="1" t="s">
        <v>74</v>
      </c>
      <c r="BJ53" s="1" t="s">
        <v>74</v>
      </c>
      <c r="BK53" s="1" t="s">
        <v>74</v>
      </c>
      <c r="BL53" s="1" t="s">
        <v>74</v>
      </c>
      <c r="BM53" s="1" t="s">
        <v>74</v>
      </c>
      <c r="BN53" s="1">
        <v>2.0455566E7</v>
      </c>
      <c r="BO53" s="1" t="s">
        <v>74</v>
      </c>
      <c r="BP53" s="1" t="s">
        <v>74</v>
      </c>
      <c r="BQ53" s="1" t="s">
        <v>74</v>
      </c>
      <c r="BR53" s="1" t="s">
        <v>74</v>
      </c>
      <c r="BS53" s="1" t="s">
        <v>647</v>
      </c>
      <c r="BT53" s="1" t="str">
        <f>HYPERLINK("https%3A%2F%2Fwww.webofscience.com%2Fwos%2Fwoscc%2Ffull-record%2FWOS:000278149500046","View Full Record in Web of Science")</f>
        <v>View Full Record in Web of Science</v>
      </c>
    </row>
    <row r="54" ht="12.75" customHeight="1">
      <c r="A54" s="1" t="s">
        <v>154</v>
      </c>
      <c r="B54" s="1" t="s">
        <v>648</v>
      </c>
      <c r="C54" s="1" t="s">
        <v>74</v>
      </c>
      <c r="D54" s="1" t="s">
        <v>74</v>
      </c>
      <c r="E54" s="1" t="s">
        <v>323</v>
      </c>
      <c r="F54" s="1" t="s">
        <v>649</v>
      </c>
      <c r="G54" s="1" t="s">
        <v>74</v>
      </c>
      <c r="H54" s="1" t="s">
        <v>74</v>
      </c>
      <c r="I54" s="1" t="s">
        <v>650</v>
      </c>
      <c r="J54" s="1" t="s">
        <v>651</v>
      </c>
      <c r="K54" s="1" t="s">
        <v>652</v>
      </c>
      <c r="L54" s="1" t="s">
        <v>74</v>
      </c>
      <c r="M54" s="1" t="s">
        <v>74</v>
      </c>
      <c r="N54" s="1" t="s">
        <v>74</v>
      </c>
      <c r="O54" s="1" t="s">
        <v>653</v>
      </c>
      <c r="P54" s="1" t="s">
        <v>654</v>
      </c>
      <c r="Q54" s="1" t="s">
        <v>655</v>
      </c>
      <c r="R54" s="1" t="s">
        <v>74</v>
      </c>
      <c r="S54" s="1" t="s">
        <v>656</v>
      </c>
      <c r="T54" s="1" t="s">
        <v>74</v>
      </c>
      <c r="U54" s="1" t="s">
        <v>74</v>
      </c>
      <c r="V54" s="1" t="s">
        <v>657</v>
      </c>
      <c r="W54" s="1" t="s">
        <v>74</v>
      </c>
      <c r="X54" s="1" t="s">
        <v>74</v>
      </c>
      <c r="Y54" s="1" t="s">
        <v>74</v>
      </c>
      <c r="Z54" s="1" t="s">
        <v>74</v>
      </c>
      <c r="AA54" s="1" t="s">
        <v>658</v>
      </c>
      <c r="AB54" s="1" t="s">
        <v>659</v>
      </c>
      <c r="AC54" s="1" t="s">
        <v>74</v>
      </c>
      <c r="AD54" s="1" t="s">
        <v>74</v>
      </c>
      <c r="AE54" s="1" t="s">
        <v>74</v>
      </c>
      <c r="AF54" s="1" t="s">
        <v>74</v>
      </c>
      <c r="AG54" s="1" t="s">
        <v>74</v>
      </c>
      <c r="AH54" s="1" t="s">
        <v>74</v>
      </c>
      <c r="AI54" s="1" t="s">
        <v>74</v>
      </c>
      <c r="AJ54" s="1" t="s">
        <v>74</v>
      </c>
      <c r="AK54" s="1" t="s">
        <v>74</v>
      </c>
      <c r="AL54" s="1" t="s">
        <v>74</v>
      </c>
      <c r="AM54" s="1" t="s">
        <v>74</v>
      </c>
      <c r="AN54" s="1" t="s">
        <v>74</v>
      </c>
      <c r="AO54" s="1" t="s">
        <v>660</v>
      </c>
      <c r="AP54" s="1" t="s">
        <v>74</v>
      </c>
      <c r="AQ54" s="1" t="s">
        <v>661</v>
      </c>
      <c r="AR54" s="1" t="s">
        <v>74</v>
      </c>
      <c r="AS54" s="1" t="s">
        <v>74</v>
      </c>
      <c r="AT54" s="1" t="s">
        <v>74</v>
      </c>
      <c r="AU54" s="1">
        <v>2007.0</v>
      </c>
      <c r="AV54" s="1" t="s">
        <v>74</v>
      </c>
      <c r="AW54" s="1" t="s">
        <v>74</v>
      </c>
      <c r="AX54" s="1" t="s">
        <v>74</v>
      </c>
      <c r="AY54" s="1" t="s">
        <v>74</v>
      </c>
      <c r="AZ54" s="1" t="s">
        <v>74</v>
      </c>
      <c r="BA54" s="1" t="s">
        <v>74</v>
      </c>
      <c r="BB54" s="1">
        <v>93.0</v>
      </c>
      <c r="BC54" s="1" t="s">
        <v>662</v>
      </c>
      <c r="BD54" s="1" t="s">
        <v>74</v>
      </c>
      <c r="BE54" s="1" t="s">
        <v>74</v>
      </c>
      <c r="BF54" s="1" t="s">
        <v>74</v>
      </c>
      <c r="BG54" s="1" t="s">
        <v>74</v>
      </c>
      <c r="BH54" s="1" t="s">
        <v>74</v>
      </c>
      <c r="BI54" s="1" t="s">
        <v>74</v>
      </c>
      <c r="BJ54" s="1" t="s">
        <v>74</v>
      </c>
      <c r="BK54" s="1" t="s">
        <v>74</v>
      </c>
      <c r="BL54" s="1" t="s">
        <v>74</v>
      </c>
      <c r="BM54" s="1" t="s">
        <v>74</v>
      </c>
      <c r="BN54" s="1" t="s">
        <v>74</v>
      </c>
      <c r="BO54" s="1" t="s">
        <v>74</v>
      </c>
      <c r="BP54" s="1" t="s">
        <v>74</v>
      </c>
      <c r="BQ54" s="1" t="s">
        <v>74</v>
      </c>
      <c r="BR54" s="1" t="s">
        <v>74</v>
      </c>
      <c r="BS54" s="1" t="s">
        <v>663</v>
      </c>
      <c r="BT54" s="1" t="str">
        <f>HYPERLINK("https%3A%2F%2Fwww.webofscience.com%2Fwos%2Fwoscc%2Ffull-record%2FWOS:000251014300047","View Full Record in Web of Science")</f>
        <v>View Full Record in Web of Science</v>
      </c>
    </row>
    <row r="55" ht="12.75" customHeight="1">
      <c r="A55" s="1" t="s">
        <v>72</v>
      </c>
      <c r="B55" s="1" t="s">
        <v>664</v>
      </c>
      <c r="C55" s="1" t="s">
        <v>74</v>
      </c>
      <c r="D55" s="1" t="s">
        <v>74</v>
      </c>
      <c r="E55" s="1" t="s">
        <v>74</v>
      </c>
      <c r="F55" s="1" t="s">
        <v>664</v>
      </c>
      <c r="G55" s="1" t="s">
        <v>74</v>
      </c>
      <c r="H55" s="1" t="s">
        <v>74</v>
      </c>
      <c r="I55" s="1" t="s">
        <v>665</v>
      </c>
      <c r="J55" s="1" t="s">
        <v>666</v>
      </c>
      <c r="K55" s="1" t="s">
        <v>74</v>
      </c>
      <c r="L55" s="1" t="s">
        <v>74</v>
      </c>
      <c r="M55" s="1" t="s">
        <v>74</v>
      </c>
      <c r="N55" s="1" t="s">
        <v>74</v>
      </c>
      <c r="O55" s="1" t="s">
        <v>74</v>
      </c>
      <c r="P55" s="1" t="s">
        <v>74</v>
      </c>
      <c r="Q55" s="1" t="s">
        <v>74</v>
      </c>
      <c r="R55" s="1" t="s">
        <v>74</v>
      </c>
      <c r="S55" s="1" t="s">
        <v>74</v>
      </c>
      <c r="T55" s="1" t="s">
        <v>74</v>
      </c>
      <c r="U55" s="1" t="s">
        <v>74</v>
      </c>
      <c r="V55" s="1" t="s">
        <v>667</v>
      </c>
      <c r="W55" s="1" t="s">
        <v>74</v>
      </c>
      <c r="X55" s="1" t="s">
        <v>74</v>
      </c>
      <c r="Y55" s="1" t="s">
        <v>74</v>
      </c>
      <c r="Z55" s="1" t="s">
        <v>74</v>
      </c>
      <c r="AA55" s="1" t="s">
        <v>74</v>
      </c>
      <c r="AB55" s="1" t="s">
        <v>668</v>
      </c>
      <c r="AC55" s="1" t="s">
        <v>74</v>
      </c>
      <c r="AD55" s="1" t="s">
        <v>74</v>
      </c>
      <c r="AE55" s="1" t="s">
        <v>74</v>
      </c>
      <c r="AF55" s="1" t="s">
        <v>74</v>
      </c>
      <c r="AG55" s="1" t="s">
        <v>74</v>
      </c>
      <c r="AH55" s="1" t="s">
        <v>74</v>
      </c>
      <c r="AI55" s="1" t="s">
        <v>74</v>
      </c>
      <c r="AJ55" s="1" t="s">
        <v>74</v>
      </c>
      <c r="AK55" s="1" t="s">
        <v>74</v>
      </c>
      <c r="AL55" s="1" t="s">
        <v>74</v>
      </c>
      <c r="AM55" s="1" t="s">
        <v>74</v>
      </c>
      <c r="AN55" s="1" t="s">
        <v>74</v>
      </c>
      <c r="AO55" s="1" t="s">
        <v>669</v>
      </c>
      <c r="AP55" s="1" t="s">
        <v>670</v>
      </c>
      <c r="AQ55" s="1" t="s">
        <v>74</v>
      </c>
      <c r="AR55" s="1" t="s">
        <v>74</v>
      </c>
      <c r="AS55" s="1" t="s">
        <v>74</v>
      </c>
      <c r="AT55" s="1" t="s">
        <v>241</v>
      </c>
      <c r="AU55" s="1">
        <v>2006.0</v>
      </c>
      <c r="AV55" s="1">
        <v>5.0</v>
      </c>
      <c r="AW55" s="1">
        <v>3.0</v>
      </c>
      <c r="AX55" s="1" t="s">
        <v>74</v>
      </c>
      <c r="AY55" s="1" t="s">
        <v>74</v>
      </c>
      <c r="AZ55" s="1" t="s">
        <v>74</v>
      </c>
      <c r="BA55" s="1" t="s">
        <v>74</v>
      </c>
      <c r="BB55" s="1">
        <v>571.0</v>
      </c>
      <c r="BC55" s="1">
        <v>581.0</v>
      </c>
      <c r="BD55" s="1" t="s">
        <v>74</v>
      </c>
      <c r="BE55" s="1" t="s">
        <v>74</v>
      </c>
      <c r="BF55" s="1" t="s">
        <v>74</v>
      </c>
      <c r="BG55" s="1" t="s">
        <v>74</v>
      </c>
      <c r="BH55" s="1" t="s">
        <v>74</v>
      </c>
      <c r="BI55" s="1" t="s">
        <v>74</v>
      </c>
      <c r="BJ55" s="1" t="s">
        <v>74</v>
      </c>
      <c r="BK55" s="1" t="s">
        <v>74</v>
      </c>
      <c r="BL55" s="1" t="s">
        <v>74</v>
      </c>
      <c r="BM55" s="1" t="s">
        <v>74</v>
      </c>
      <c r="BN55" s="1" t="s">
        <v>74</v>
      </c>
      <c r="BO55" s="1" t="s">
        <v>74</v>
      </c>
      <c r="BP55" s="1" t="s">
        <v>74</v>
      </c>
      <c r="BQ55" s="1" t="s">
        <v>74</v>
      </c>
      <c r="BR55" s="1" t="s">
        <v>74</v>
      </c>
      <c r="BS55" s="1" t="s">
        <v>671</v>
      </c>
      <c r="BT55" s="1" t="str">
        <f>HYPERLINK("https%3A%2F%2Fwww.webofscience.com%2Fwos%2Fwoscc%2Ffull-record%2FWOS:000237358600013","View Full Record in Web of Science")</f>
        <v>View Full Record in Web of Science</v>
      </c>
    </row>
    <row r="56" ht="12.75" customHeight="1">
      <c r="A56" s="1" t="s">
        <v>72</v>
      </c>
      <c r="B56" s="1" t="s">
        <v>672</v>
      </c>
      <c r="C56" s="1" t="s">
        <v>74</v>
      </c>
      <c r="D56" s="1" t="s">
        <v>74</v>
      </c>
      <c r="E56" s="1" t="s">
        <v>74</v>
      </c>
      <c r="F56" s="1" t="s">
        <v>672</v>
      </c>
      <c r="G56" s="1" t="s">
        <v>74</v>
      </c>
      <c r="H56" s="1" t="s">
        <v>74</v>
      </c>
      <c r="I56" s="1" t="s">
        <v>673</v>
      </c>
      <c r="J56" s="1" t="s">
        <v>674</v>
      </c>
      <c r="K56" s="1" t="s">
        <v>74</v>
      </c>
      <c r="L56" s="1" t="s">
        <v>74</v>
      </c>
      <c r="M56" s="1" t="s">
        <v>74</v>
      </c>
      <c r="N56" s="1" t="s">
        <v>74</v>
      </c>
      <c r="O56" s="1" t="s">
        <v>74</v>
      </c>
      <c r="P56" s="1" t="s">
        <v>74</v>
      </c>
      <c r="Q56" s="1" t="s">
        <v>74</v>
      </c>
      <c r="R56" s="1" t="s">
        <v>74</v>
      </c>
      <c r="S56" s="1" t="s">
        <v>74</v>
      </c>
      <c r="T56" s="1" t="s">
        <v>74</v>
      </c>
      <c r="U56" s="1" t="s">
        <v>74</v>
      </c>
      <c r="V56" s="1" t="s">
        <v>675</v>
      </c>
      <c r="W56" s="1" t="s">
        <v>74</v>
      </c>
      <c r="X56" s="1" t="s">
        <v>74</v>
      </c>
      <c r="Y56" s="1" t="s">
        <v>74</v>
      </c>
      <c r="Z56" s="1" t="s">
        <v>74</v>
      </c>
      <c r="AA56" s="1" t="s">
        <v>676</v>
      </c>
      <c r="AB56" s="1" t="s">
        <v>677</v>
      </c>
      <c r="AC56" s="1" t="s">
        <v>74</v>
      </c>
      <c r="AD56" s="1" t="s">
        <v>74</v>
      </c>
      <c r="AE56" s="1" t="s">
        <v>74</v>
      </c>
      <c r="AF56" s="1" t="s">
        <v>74</v>
      </c>
      <c r="AG56" s="1" t="s">
        <v>74</v>
      </c>
      <c r="AH56" s="1" t="s">
        <v>74</v>
      </c>
      <c r="AI56" s="1" t="s">
        <v>74</v>
      </c>
      <c r="AJ56" s="1" t="s">
        <v>74</v>
      </c>
      <c r="AK56" s="1" t="s">
        <v>74</v>
      </c>
      <c r="AL56" s="1" t="s">
        <v>74</v>
      </c>
      <c r="AM56" s="1" t="s">
        <v>74</v>
      </c>
      <c r="AN56" s="1" t="s">
        <v>74</v>
      </c>
      <c r="AO56" s="1" t="s">
        <v>678</v>
      </c>
      <c r="AP56" s="1" t="s">
        <v>74</v>
      </c>
      <c r="AQ56" s="1" t="s">
        <v>74</v>
      </c>
      <c r="AR56" s="1" t="s">
        <v>74</v>
      </c>
      <c r="AS56" s="1" t="s">
        <v>74</v>
      </c>
      <c r="AT56" s="1" t="s">
        <v>241</v>
      </c>
      <c r="AU56" s="1">
        <v>2003.0</v>
      </c>
      <c r="AV56" s="1">
        <v>10.0</v>
      </c>
      <c r="AW56" s="1">
        <v>9.0</v>
      </c>
      <c r="AX56" s="1" t="s">
        <v>74</v>
      </c>
      <c r="AY56" s="1" t="s">
        <v>74</v>
      </c>
      <c r="AZ56" s="1" t="s">
        <v>74</v>
      </c>
      <c r="BA56" s="1" t="s">
        <v>74</v>
      </c>
      <c r="BB56" s="1">
        <v>1036.0</v>
      </c>
      <c r="BC56" s="1">
        <v>1044.0</v>
      </c>
      <c r="BD56" s="1" t="s">
        <v>74</v>
      </c>
      <c r="BE56" s="1" t="s">
        <v>679</v>
      </c>
      <c r="BF56" s="2" t="str">
        <f>HYPERLINK("http://dx.doi.org/10.1016/S1076-6332(03)00105-3","http://dx.doi.org/10.1016/S1076-6332(03)00105-3")</f>
        <v>http://dx.doi.org/10.1016/S1076-6332(03)00105-3</v>
      </c>
      <c r="BG56" s="1" t="s">
        <v>74</v>
      </c>
      <c r="BH56" s="1" t="s">
        <v>74</v>
      </c>
      <c r="BI56" s="1" t="s">
        <v>74</v>
      </c>
      <c r="BJ56" s="1" t="s">
        <v>74</v>
      </c>
      <c r="BK56" s="1" t="s">
        <v>74</v>
      </c>
      <c r="BL56" s="1" t="s">
        <v>74</v>
      </c>
      <c r="BM56" s="1" t="s">
        <v>74</v>
      </c>
      <c r="BN56" s="1">
        <v>1.3678093E7</v>
      </c>
      <c r="BO56" s="1" t="s">
        <v>74</v>
      </c>
      <c r="BP56" s="1" t="s">
        <v>74</v>
      </c>
      <c r="BQ56" s="1" t="s">
        <v>74</v>
      </c>
      <c r="BR56" s="1" t="s">
        <v>74</v>
      </c>
      <c r="BS56" s="1" t="s">
        <v>680</v>
      </c>
      <c r="BT56" s="1" t="str">
        <f>HYPERLINK("https%3A%2F%2Fwww.webofscience.com%2Fwos%2Fwoscc%2Ffull-record%2FWOS:000185068400011","View Full Record in Web of Science")</f>
        <v>View Full Record in Web of Science</v>
      </c>
    </row>
    <row r="57" ht="12.75" customHeight="1">
      <c r="A57" s="1" t="s">
        <v>72</v>
      </c>
      <c r="B57" s="1" t="s">
        <v>681</v>
      </c>
      <c r="C57" s="1" t="s">
        <v>74</v>
      </c>
      <c r="D57" s="1" t="s">
        <v>74</v>
      </c>
      <c r="E57" s="1" t="s">
        <v>74</v>
      </c>
      <c r="F57" s="1" t="s">
        <v>681</v>
      </c>
      <c r="G57" s="1" t="s">
        <v>74</v>
      </c>
      <c r="H57" s="1" t="s">
        <v>74</v>
      </c>
      <c r="I57" s="1" t="s">
        <v>682</v>
      </c>
      <c r="J57" s="1" t="s">
        <v>392</v>
      </c>
      <c r="K57" s="1" t="s">
        <v>74</v>
      </c>
      <c r="L57" s="1" t="s">
        <v>74</v>
      </c>
      <c r="M57" s="1" t="s">
        <v>74</v>
      </c>
      <c r="N57" s="1" t="s">
        <v>74</v>
      </c>
      <c r="O57" s="1" t="s">
        <v>74</v>
      </c>
      <c r="P57" s="1" t="s">
        <v>74</v>
      </c>
      <c r="Q57" s="1" t="s">
        <v>74</v>
      </c>
      <c r="R57" s="1" t="s">
        <v>74</v>
      </c>
      <c r="S57" s="1" t="s">
        <v>74</v>
      </c>
      <c r="T57" s="1" t="s">
        <v>74</v>
      </c>
      <c r="U57" s="1" t="s">
        <v>74</v>
      </c>
      <c r="V57" s="1" t="s">
        <v>683</v>
      </c>
      <c r="W57" s="1" t="s">
        <v>74</v>
      </c>
      <c r="X57" s="1" t="s">
        <v>74</v>
      </c>
      <c r="Y57" s="1" t="s">
        <v>74</v>
      </c>
      <c r="Z57" s="1" t="s">
        <v>74</v>
      </c>
      <c r="AA57" s="1" t="s">
        <v>684</v>
      </c>
      <c r="AB57" s="1" t="s">
        <v>685</v>
      </c>
      <c r="AC57" s="1" t="s">
        <v>74</v>
      </c>
      <c r="AD57" s="1" t="s">
        <v>74</v>
      </c>
      <c r="AE57" s="1" t="s">
        <v>74</v>
      </c>
      <c r="AF57" s="1" t="s">
        <v>74</v>
      </c>
      <c r="AG57" s="1" t="s">
        <v>74</v>
      </c>
      <c r="AH57" s="1" t="s">
        <v>74</v>
      </c>
      <c r="AI57" s="1" t="s">
        <v>74</v>
      </c>
      <c r="AJ57" s="1" t="s">
        <v>74</v>
      </c>
      <c r="AK57" s="1" t="s">
        <v>74</v>
      </c>
      <c r="AL57" s="1" t="s">
        <v>74</v>
      </c>
      <c r="AM57" s="1" t="s">
        <v>74</v>
      </c>
      <c r="AN57" s="1" t="s">
        <v>74</v>
      </c>
      <c r="AO57" s="1" t="s">
        <v>396</v>
      </c>
      <c r="AP57" s="1" t="s">
        <v>397</v>
      </c>
      <c r="AQ57" s="1" t="s">
        <v>74</v>
      </c>
      <c r="AR57" s="1" t="s">
        <v>74</v>
      </c>
      <c r="AS57" s="1" t="s">
        <v>74</v>
      </c>
      <c r="AT57" s="1" t="s">
        <v>489</v>
      </c>
      <c r="AU57" s="1">
        <v>2002.0</v>
      </c>
      <c r="AV57" s="1">
        <v>66.0</v>
      </c>
      <c r="AW57" s="1">
        <v>4.0</v>
      </c>
      <c r="AX57" s="1" t="s">
        <v>74</v>
      </c>
      <c r="AY57" s="1" t="s">
        <v>74</v>
      </c>
      <c r="AZ57" s="1" t="s">
        <v>74</v>
      </c>
      <c r="BA57" s="1" t="s">
        <v>74</v>
      </c>
      <c r="BB57" s="1" t="s">
        <v>74</v>
      </c>
      <c r="BC57" s="1" t="s">
        <v>74</v>
      </c>
      <c r="BD57" s="1">
        <v>45018.0</v>
      </c>
      <c r="BE57" s="1" t="s">
        <v>686</v>
      </c>
      <c r="BF57" s="2" t="str">
        <f>HYPERLINK("http://dx.doi.org/10.1103/PhysRevD.66.045018","http://dx.doi.org/10.1103/PhysRevD.66.045018")</f>
        <v>http://dx.doi.org/10.1103/PhysRevD.66.045018</v>
      </c>
      <c r="BG57" s="1" t="s">
        <v>74</v>
      </c>
      <c r="BH57" s="1" t="s">
        <v>74</v>
      </c>
      <c r="BI57" s="1" t="s">
        <v>74</v>
      </c>
      <c r="BJ57" s="1" t="s">
        <v>74</v>
      </c>
      <c r="BK57" s="1" t="s">
        <v>74</v>
      </c>
      <c r="BL57" s="1" t="s">
        <v>74</v>
      </c>
      <c r="BM57" s="1" t="s">
        <v>74</v>
      </c>
      <c r="BN57" s="1" t="s">
        <v>74</v>
      </c>
      <c r="BO57" s="1" t="s">
        <v>74</v>
      </c>
      <c r="BP57" s="1" t="s">
        <v>74</v>
      </c>
      <c r="BQ57" s="1" t="s">
        <v>74</v>
      </c>
      <c r="BR57" s="1" t="s">
        <v>74</v>
      </c>
      <c r="BS57" s="1" t="s">
        <v>687</v>
      </c>
      <c r="BT57" s="1" t="str">
        <f>HYPERLINK("https%3A%2F%2Fwww.webofscience.com%2Fwos%2Fwoscc%2Ffull-record%2FWOS:000177912000080","View Full Record in Web of Science")</f>
        <v>View Full Record in Web of Science</v>
      </c>
    </row>
    <row r="58" ht="12.75" customHeight="1">
      <c r="A58" s="1" t="s">
        <v>72</v>
      </c>
      <c r="B58" s="1" t="s">
        <v>688</v>
      </c>
      <c r="C58" s="1" t="s">
        <v>74</v>
      </c>
      <c r="D58" s="1" t="s">
        <v>74</v>
      </c>
      <c r="E58" s="1" t="s">
        <v>74</v>
      </c>
      <c r="F58" s="1" t="s">
        <v>689</v>
      </c>
      <c r="G58" s="1" t="s">
        <v>74</v>
      </c>
      <c r="H58" s="1" t="s">
        <v>74</v>
      </c>
      <c r="I58" s="1" t="s">
        <v>690</v>
      </c>
      <c r="J58" s="1" t="s">
        <v>691</v>
      </c>
      <c r="K58" s="1" t="s">
        <v>74</v>
      </c>
      <c r="L58" s="1" t="s">
        <v>74</v>
      </c>
      <c r="M58" s="1" t="s">
        <v>74</v>
      </c>
      <c r="N58" s="1" t="s">
        <v>74</v>
      </c>
      <c r="O58" s="1" t="s">
        <v>74</v>
      </c>
      <c r="P58" s="1" t="s">
        <v>74</v>
      </c>
      <c r="Q58" s="1" t="s">
        <v>74</v>
      </c>
      <c r="R58" s="1" t="s">
        <v>74</v>
      </c>
      <c r="S58" s="1" t="s">
        <v>74</v>
      </c>
      <c r="T58" s="1" t="s">
        <v>74</v>
      </c>
      <c r="U58" s="1" t="s">
        <v>74</v>
      </c>
      <c r="V58" s="1" t="s">
        <v>692</v>
      </c>
      <c r="W58" s="1" t="s">
        <v>74</v>
      </c>
      <c r="X58" s="1" t="s">
        <v>74</v>
      </c>
      <c r="Y58" s="1" t="s">
        <v>74</v>
      </c>
      <c r="Z58" s="1" t="s">
        <v>74</v>
      </c>
      <c r="AA58" s="1" t="s">
        <v>74</v>
      </c>
      <c r="AB58" s="1" t="s">
        <v>693</v>
      </c>
      <c r="AC58" s="1" t="s">
        <v>74</v>
      </c>
      <c r="AD58" s="1" t="s">
        <v>74</v>
      </c>
      <c r="AE58" s="1" t="s">
        <v>74</v>
      </c>
      <c r="AF58" s="1" t="s">
        <v>74</v>
      </c>
      <c r="AG58" s="1" t="s">
        <v>74</v>
      </c>
      <c r="AH58" s="1" t="s">
        <v>74</v>
      </c>
      <c r="AI58" s="1" t="s">
        <v>74</v>
      </c>
      <c r="AJ58" s="1" t="s">
        <v>74</v>
      </c>
      <c r="AK58" s="1" t="s">
        <v>74</v>
      </c>
      <c r="AL58" s="1" t="s">
        <v>74</v>
      </c>
      <c r="AM58" s="1" t="s">
        <v>74</v>
      </c>
      <c r="AN58" s="1" t="s">
        <v>74</v>
      </c>
      <c r="AO58" s="1" t="s">
        <v>74</v>
      </c>
      <c r="AP58" s="1" t="s">
        <v>694</v>
      </c>
      <c r="AQ58" s="1" t="s">
        <v>74</v>
      </c>
      <c r="AR58" s="1" t="s">
        <v>74</v>
      </c>
      <c r="AS58" s="1" t="s">
        <v>74</v>
      </c>
      <c r="AT58" s="1" t="s">
        <v>241</v>
      </c>
      <c r="AU58" s="1">
        <v>2024.0</v>
      </c>
      <c r="AV58" s="1">
        <v>14.0</v>
      </c>
      <c r="AW58" s="1">
        <v>17.0</v>
      </c>
      <c r="AX58" s="1" t="s">
        <v>74</v>
      </c>
      <c r="AY58" s="1" t="s">
        <v>74</v>
      </c>
      <c r="AZ58" s="1" t="s">
        <v>74</v>
      </c>
      <c r="BA58" s="1" t="s">
        <v>74</v>
      </c>
      <c r="BB58" s="1" t="s">
        <v>74</v>
      </c>
      <c r="BC58" s="1" t="s">
        <v>74</v>
      </c>
      <c r="BD58" s="1">
        <v>8082.0</v>
      </c>
      <c r="BE58" s="1" t="s">
        <v>695</v>
      </c>
      <c r="BF58" s="2" t="str">
        <f>HYPERLINK("http://dx.doi.org/10.3390/app14178082","http://dx.doi.org/10.3390/app14178082")</f>
        <v>http://dx.doi.org/10.3390/app14178082</v>
      </c>
      <c r="BG58" s="1" t="s">
        <v>74</v>
      </c>
      <c r="BH58" s="1" t="s">
        <v>74</v>
      </c>
      <c r="BI58" s="1" t="s">
        <v>74</v>
      </c>
      <c r="BJ58" s="1" t="s">
        <v>74</v>
      </c>
      <c r="BK58" s="1" t="s">
        <v>74</v>
      </c>
      <c r="BL58" s="1" t="s">
        <v>74</v>
      </c>
      <c r="BM58" s="1" t="s">
        <v>74</v>
      </c>
      <c r="BN58" s="1" t="s">
        <v>74</v>
      </c>
      <c r="BO58" s="1" t="s">
        <v>74</v>
      </c>
      <c r="BP58" s="1" t="s">
        <v>74</v>
      </c>
      <c r="BQ58" s="1" t="s">
        <v>74</v>
      </c>
      <c r="BR58" s="1" t="s">
        <v>74</v>
      </c>
      <c r="BS58" s="1" t="s">
        <v>696</v>
      </c>
      <c r="BT58" s="1" t="str">
        <f>HYPERLINK("https%3A%2F%2Fwww.webofscience.com%2Fwos%2Fwoscc%2Ffull-record%2FWOS:001310928000001","View Full Record in Web of Science")</f>
        <v>View Full Record in Web of Science</v>
      </c>
    </row>
    <row r="59" ht="12.75" customHeight="1">
      <c r="A59" s="1" t="s">
        <v>72</v>
      </c>
      <c r="B59" s="1" t="s">
        <v>697</v>
      </c>
      <c r="C59" s="1" t="s">
        <v>74</v>
      </c>
      <c r="D59" s="1" t="s">
        <v>74</v>
      </c>
      <c r="E59" s="1" t="s">
        <v>74</v>
      </c>
      <c r="F59" s="1" t="s">
        <v>698</v>
      </c>
      <c r="G59" s="1" t="s">
        <v>74</v>
      </c>
      <c r="H59" s="1" t="s">
        <v>74</v>
      </c>
      <c r="I59" s="1" t="s">
        <v>699</v>
      </c>
      <c r="J59" s="1" t="s">
        <v>700</v>
      </c>
      <c r="K59" s="1" t="s">
        <v>74</v>
      </c>
      <c r="L59" s="1" t="s">
        <v>74</v>
      </c>
      <c r="M59" s="1" t="s">
        <v>74</v>
      </c>
      <c r="N59" s="1" t="s">
        <v>74</v>
      </c>
      <c r="O59" s="1" t="s">
        <v>74</v>
      </c>
      <c r="P59" s="1" t="s">
        <v>74</v>
      </c>
      <c r="Q59" s="1" t="s">
        <v>74</v>
      </c>
      <c r="R59" s="1" t="s">
        <v>74</v>
      </c>
      <c r="S59" s="1" t="s">
        <v>74</v>
      </c>
      <c r="T59" s="1" t="s">
        <v>74</v>
      </c>
      <c r="U59" s="1" t="s">
        <v>74</v>
      </c>
      <c r="V59" s="1" t="s">
        <v>701</v>
      </c>
      <c r="W59" s="1" t="s">
        <v>74</v>
      </c>
      <c r="X59" s="1" t="s">
        <v>74</v>
      </c>
      <c r="Y59" s="1" t="s">
        <v>74</v>
      </c>
      <c r="Z59" s="1" t="s">
        <v>74</v>
      </c>
      <c r="AA59" s="1" t="s">
        <v>702</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703</v>
      </c>
      <c r="AP59" s="1" t="s">
        <v>704</v>
      </c>
      <c r="AQ59" s="1" t="s">
        <v>74</v>
      </c>
      <c r="AR59" s="1" t="s">
        <v>74</v>
      </c>
      <c r="AS59" s="1" t="s">
        <v>74</v>
      </c>
      <c r="AT59" s="1" t="s">
        <v>151</v>
      </c>
      <c r="AU59" s="1">
        <v>2024.0</v>
      </c>
      <c r="AV59" s="1">
        <v>156.0</v>
      </c>
      <c r="AW59" s="1" t="s">
        <v>74</v>
      </c>
      <c r="AX59" s="1" t="s">
        <v>74</v>
      </c>
      <c r="AY59" s="1" t="s">
        <v>74</v>
      </c>
      <c r="AZ59" s="1" t="s">
        <v>74</v>
      </c>
      <c r="BA59" s="1" t="s">
        <v>74</v>
      </c>
      <c r="BB59" s="1" t="s">
        <v>74</v>
      </c>
      <c r="BC59" s="1" t="s">
        <v>74</v>
      </c>
      <c r="BD59" s="1">
        <v>109141.0</v>
      </c>
      <c r="BE59" s="1" t="s">
        <v>705</v>
      </c>
      <c r="BF59" s="2" t="str">
        <f>HYPERLINK("http://dx.doi.org/10.1016/j.aml.2024.109141","http://dx.doi.org/10.1016/j.aml.2024.109141")</f>
        <v>http://dx.doi.org/10.1016/j.aml.2024.109141</v>
      </c>
      <c r="BG59" s="1" t="s">
        <v>74</v>
      </c>
      <c r="BH59" s="1" t="s">
        <v>706</v>
      </c>
      <c r="BI59" s="1" t="s">
        <v>74</v>
      </c>
      <c r="BJ59" s="1" t="s">
        <v>74</v>
      </c>
      <c r="BK59" s="1" t="s">
        <v>74</v>
      </c>
      <c r="BL59" s="1" t="s">
        <v>74</v>
      </c>
      <c r="BM59" s="1" t="s">
        <v>74</v>
      </c>
      <c r="BN59" s="1" t="s">
        <v>74</v>
      </c>
      <c r="BO59" s="1" t="s">
        <v>74</v>
      </c>
      <c r="BP59" s="1" t="s">
        <v>74</v>
      </c>
      <c r="BQ59" s="1" t="s">
        <v>74</v>
      </c>
      <c r="BR59" s="1" t="s">
        <v>74</v>
      </c>
      <c r="BS59" s="1" t="s">
        <v>707</v>
      </c>
      <c r="BT59" s="1" t="str">
        <f>HYPERLINK("https%3A%2F%2Fwww.webofscience.com%2Fwos%2Fwoscc%2Ffull-record%2FWOS:001243303200002","View Full Record in Web of Science")</f>
        <v>View Full Record in Web of Science</v>
      </c>
    </row>
    <row r="60" ht="12.75" customHeight="1">
      <c r="A60" s="1" t="s">
        <v>154</v>
      </c>
      <c r="B60" s="1" t="s">
        <v>708</v>
      </c>
      <c r="C60" s="1" t="s">
        <v>74</v>
      </c>
      <c r="D60" s="1" t="s">
        <v>74</v>
      </c>
      <c r="E60" s="1" t="s">
        <v>323</v>
      </c>
      <c r="F60" s="1" t="s">
        <v>709</v>
      </c>
      <c r="G60" s="1" t="s">
        <v>74</v>
      </c>
      <c r="H60" s="1" t="s">
        <v>74</v>
      </c>
      <c r="I60" s="1" t="s">
        <v>710</v>
      </c>
      <c r="J60" s="1" t="s">
        <v>711</v>
      </c>
      <c r="K60" s="1" t="s">
        <v>712</v>
      </c>
      <c r="L60" s="1" t="s">
        <v>74</v>
      </c>
      <c r="M60" s="1" t="s">
        <v>74</v>
      </c>
      <c r="N60" s="1" t="s">
        <v>74</v>
      </c>
      <c r="O60" s="1" t="s">
        <v>713</v>
      </c>
      <c r="P60" s="1" t="s">
        <v>714</v>
      </c>
      <c r="Q60" s="1" t="s">
        <v>715</v>
      </c>
      <c r="R60" s="1" t="s">
        <v>74</v>
      </c>
      <c r="S60" s="1" t="s">
        <v>74</v>
      </c>
      <c r="T60" s="1" t="s">
        <v>74</v>
      </c>
      <c r="U60" s="1" t="s">
        <v>74</v>
      </c>
      <c r="V60" s="1" t="s">
        <v>716</v>
      </c>
      <c r="W60" s="1" t="s">
        <v>74</v>
      </c>
      <c r="X60" s="1" t="s">
        <v>74</v>
      </c>
      <c r="Y60" s="1" t="s">
        <v>74</v>
      </c>
      <c r="Z60" s="1" t="s">
        <v>74</v>
      </c>
      <c r="AA60" s="1" t="s">
        <v>717</v>
      </c>
      <c r="AB60" s="1" t="s">
        <v>74</v>
      </c>
      <c r="AC60" s="1" t="s">
        <v>74</v>
      </c>
      <c r="AD60" s="1" t="s">
        <v>74</v>
      </c>
      <c r="AE60" s="1" t="s">
        <v>74</v>
      </c>
      <c r="AF60" s="1" t="s">
        <v>74</v>
      </c>
      <c r="AG60" s="1" t="s">
        <v>74</v>
      </c>
      <c r="AH60" s="1" t="s">
        <v>74</v>
      </c>
      <c r="AI60" s="1" t="s">
        <v>74</v>
      </c>
      <c r="AJ60" s="1" t="s">
        <v>74</v>
      </c>
      <c r="AK60" s="1" t="s">
        <v>74</v>
      </c>
      <c r="AL60" s="1" t="s">
        <v>74</v>
      </c>
      <c r="AM60" s="1" t="s">
        <v>74</v>
      </c>
      <c r="AN60" s="1" t="s">
        <v>74</v>
      </c>
      <c r="AO60" s="1" t="s">
        <v>718</v>
      </c>
      <c r="AP60" s="1" t="s">
        <v>74</v>
      </c>
      <c r="AQ60" s="1" t="s">
        <v>719</v>
      </c>
      <c r="AR60" s="1" t="s">
        <v>74</v>
      </c>
      <c r="AS60" s="1" t="s">
        <v>74</v>
      </c>
      <c r="AT60" s="1" t="s">
        <v>74</v>
      </c>
      <c r="AU60" s="1">
        <v>2024.0</v>
      </c>
      <c r="AV60" s="1" t="s">
        <v>74</v>
      </c>
      <c r="AW60" s="1" t="s">
        <v>74</v>
      </c>
      <c r="AX60" s="1" t="s">
        <v>74</v>
      </c>
      <c r="AY60" s="1" t="s">
        <v>74</v>
      </c>
      <c r="AZ60" s="1" t="s">
        <v>74</v>
      </c>
      <c r="BA60" s="1" t="s">
        <v>74</v>
      </c>
      <c r="BB60" s="1">
        <v>587.0</v>
      </c>
      <c r="BC60" s="1">
        <v>591.0</v>
      </c>
      <c r="BD60" s="1" t="s">
        <v>74</v>
      </c>
      <c r="BE60" s="1" t="s">
        <v>720</v>
      </c>
      <c r="BF60" s="2" t="str">
        <f>HYPERLINK("http://dx.doi.org/10.1109/CSNDSP60683.2024.10636659","http://dx.doi.org/10.1109/CSNDSP60683.2024.10636659")</f>
        <v>http://dx.doi.org/10.1109/CSNDSP60683.2024.10636659</v>
      </c>
      <c r="BG60" s="1" t="s">
        <v>74</v>
      </c>
      <c r="BH60" s="1" t="s">
        <v>74</v>
      </c>
      <c r="BI60" s="1" t="s">
        <v>74</v>
      </c>
      <c r="BJ60" s="1" t="s">
        <v>74</v>
      </c>
      <c r="BK60" s="1" t="s">
        <v>74</v>
      </c>
      <c r="BL60" s="1" t="s">
        <v>74</v>
      </c>
      <c r="BM60" s="1" t="s">
        <v>74</v>
      </c>
      <c r="BN60" s="1" t="s">
        <v>74</v>
      </c>
      <c r="BO60" s="1" t="s">
        <v>74</v>
      </c>
      <c r="BP60" s="1" t="s">
        <v>74</v>
      </c>
      <c r="BQ60" s="1" t="s">
        <v>74</v>
      </c>
      <c r="BR60" s="1" t="s">
        <v>74</v>
      </c>
      <c r="BS60" s="1" t="s">
        <v>721</v>
      </c>
      <c r="BT60" s="1" t="str">
        <f>HYPERLINK("https%3A%2F%2Fwww.webofscience.com%2Fwos%2Fwoscc%2Ffull-record%2FWOS:001324588800110","View Full Record in Web of Science")</f>
        <v>View Full Record in Web of Science</v>
      </c>
    </row>
    <row r="61" ht="12.75" customHeight="1">
      <c r="A61" s="1" t="s">
        <v>72</v>
      </c>
      <c r="B61" s="1" t="s">
        <v>722</v>
      </c>
      <c r="C61" s="1" t="s">
        <v>74</v>
      </c>
      <c r="D61" s="1" t="s">
        <v>74</v>
      </c>
      <c r="E61" s="1" t="s">
        <v>74</v>
      </c>
      <c r="F61" s="1" t="s">
        <v>723</v>
      </c>
      <c r="G61" s="1" t="s">
        <v>74</v>
      </c>
      <c r="H61" s="1" t="s">
        <v>74</v>
      </c>
      <c r="I61" s="1" t="s">
        <v>724</v>
      </c>
      <c r="J61" s="1" t="s">
        <v>725</v>
      </c>
      <c r="K61" s="1" t="s">
        <v>74</v>
      </c>
      <c r="L61" s="1" t="s">
        <v>74</v>
      </c>
      <c r="M61" s="1" t="s">
        <v>74</v>
      </c>
      <c r="N61" s="1" t="s">
        <v>74</v>
      </c>
      <c r="O61" s="1" t="s">
        <v>74</v>
      </c>
      <c r="P61" s="1" t="s">
        <v>74</v>
      </c>
      <c r="Q61" s="1" t="s">
        <v>74</v>
      </c>
      <c r="R61" s="1" t="s">
        <v>74</v>
      </c>
      <c r="S61" s="1" t="s">
        <v>74</v>
      </c>
      <c r="T61" s="1" t="s">
        <v>74</v>
      </c>
      <c r="U61" s="1" t="s">
        <v>74</v>
      </c>
      <c r="V61" s="1" t="s">
        <v>726</v>
      </c>
      <c r="W61" s="1" t="s">
        <v>74</v>
      </c>
      <c r="X61" s="1" t="s">
        <v>74</v>
      </c>
      <c r="Y61" s="1" t="s">
        <v>74</v>
      </c>
      <c r="Z61" s="1" t="s">
        <v>74</v>
      </c>
      <c r="AA61" s="1" t="s">
        <v>727</v>
      </c>
      <c r="AB61" s="1" t="s">
        <v>728</v>
      </c>
      <c r="AC61" s="1" t="s">
        <v>74</v>
      </c>
      <c r="AD61" s="1" t="s">
        <v>74</v>
      </c>
      <c r="AE61" s="1" t="s">
        <v>74</v>
      </c>
      <c r="AF61" s="1" t="s">
        <v>74</v>
      </c>
      <c r="AG61" s="1" t="s">
        <v>74</v>
      </c>
      <c r="AH61" s="1" t="s">
        <v>74</v>
      </c>
      <c r="AI61" s="1" t="s">
        <v>74</v>
      </c>
      <c r="AJ61" s="1" t="s">
        <v>74</v>
      </c>
      <c r="AK61" s="1" t="s">
        <v>74</v>
      </c>
      <c r="AL61" s="1" t="s">
        <v>74</v>
      </c>
      <c r="AM61" s="1" t="s">
        <v>74</v>
      </c>
      <c r="AN61" s="1" t="s">
        <v>74</v>
      </c>
      <c r="AO61" s="1" t="s">
        <v>729</v>
      </c>
      <c r="AP61" s="1" t="s">
        <v>730</v>
      </c>
      <c r="AQ61" s="1" t="s">
        <v>74</v>
      </c>
      <c r="AR61" s="1" t="s">
        <v>74</v>
      </c>
      <c r="AS61" s="1" t="s">
        <v>74</v>
      </c>
      <c r="AT61" s="1" t="s">
        <v>151</v>
      </c>
      <c r="AU61" s="1">
        <v>2022.0</v>
      </c>
      <c r="AV61" s="1">
        <v>561.0</v>
      </c>
      <c r="AW61" s="1" t="s">
        <v>74</v>
      </c>
      <c r="AX61" s="1" t="s">
        <v>74</v>
      </c>
      <c r="AY61" s="1" t="s">
        <v>74</v>
      </c>
      <c r="AZ61" s="1" t="s">
        <v>74</v>
      </c>
      <c r="BA61" s="1" t="s">
        <v>74</v>
      </c>
      <c r="BB61" s="1" t="s">
        <v>74</v>
      </c>
      <c r="BC61" s="1" t="s">
        <v>74</v>
      </c>
      <c r="BD61" s="1">
        <v>113518.0</v>
      </c>
      <c r="BE61" s="1" t="s">
        <v>731</v>
      </c>
      <c r="BF61" s="2" t="str">
        <f>HYPERLINK("http://dx.doi.org/10.1016/j.fluid.2022.113518","http://dx.doi.org/10.1016/j.fluid.2022.113518")</f>
        <v>http://dx.doi.org/10.1016/j.fluid.2022.113518</v>
      </c>
      <c r="BG61" s="1" t="s">
        <v>74</v>
      </c>
      <c r="BH61" s="1" t="s">
        <v>732</v>
      </c>
      <c r="BI61" s="1" t="s">
        <v>74</v>
      </c>
      <c r="BJ61" s="1" t="s">
        <v>74</v>
      </c>
      <c r="BK61" s="1" t="s">
        <v>74</v>
      </c>
      <c r="BL61" s="1" t="s">
        <v>74</v>
      </c>
      <c r="BM61" s="1" t="s">
        <v>74</v>
      </c>
      <c r="BN61" s="1" t="s">
        <v>74</v>
      </c>
      <c r="BO61" s="1" t="s">
        <v>74</v>
      </c>
      <c r="BP61" s="1" t="s">
        <v>74</v>
      </c>
      <c r="BQ61" s="1" t="s">
        <v>74</v>
      </c>
      <c r="BR61" s="1" t="s">
        <v>74</v>
      </c>
      <c r="BS61" s="1" t="s">
        <v>733</v>
      </c>
      <c r="BT61" s="1" t="str">
        <f>HYPERLINK("https%3A%2F%2Fwww.webofscience.com%2Fwos%2Fwoscc%2Ffull-record%2FWOS:000877467700002","View Full Record in Web of Science")</f>
        <v>View Full Record in Web of Science</v>
      </c>
    </row>
    <row r="62" ht="12.75" customHeight="1">
      <c r="A62" s="1" t="s">
        <v>72</v>
      </c>
      <c r="B62" s="1" t="s">
        <v>734</v>
      </c>
      <c r="C62" s="1" t="s">
        <v>74</v>
      </c>
      <c r="D62" s="1" t="s">
        <v>74</v>
      </c>
      <c r="E62" s="1" t="s">
        <v>74</v>
      </c>
      <c r="F62" s="1" t="s">
        <v>735</v>
      </c>
      <c r="G62" s="1" t="s">
        <v>74</v>
      </c>
      <c r="H62" s="1" t="s">
        <v>74</v>
      </c>
      <c r="I62" s="1" t="s">
        <v>736</v>
      </c>
      <c r="J62" s="1" t="s">
        <v>737</v>
      </c>
      <c r="K62" s="1" t="s">
        <v>74</v>
      </c>
      <c r="L62" s="1" t="s">
        <v>74</v>
      </c>
      <c r="M62" s="1" t="s">
        <v>74</v>
      </c>
      <c r="N62" s="1" t="s">
        <v>74</v>
      </c>
      <c r="O62" s="1" t="s">
        <v>74</v>
      </c>
      <c r="P62" s="1" t="s">
        <v>74</v>
      </c>
      <c r="Q62" s="1" t="s">
        <v>74</v>
      </c>
      <c r="R62" s="1" t="s">
        <v>74</v>
      </c>
      <c r="S62" s="1" t="s">
        <v>74</v>
      </c>
      <c r="T62" s="1" t="s">
        <v>74</v>
      </c>
      <c r="U62" s="1" t="s">
        <v>74</v>
      </c>
      <c r="V62" s="1" t="s">
        <v>738</v>
      </c>
      <c r="W62" s="1" t="s">
        <v>74</v>
      </c>
      <c r="X62" s="1" t="s">
        <v>74</v>
      </c>
      <c r="Y62" s="1" t="s">
        <v>74</v>
      </c>
      <c r="Z62" s="1" t="s">
        <v>74</v>
      </c>
      <c r="AA62" s="1" t="s">
        <v>739</v>
      </c>
      <c r="AB62" s="1" t="s">
        <v>740</v>
      </c>
      <c r="AC62" s="1" t="s">
        <v>74</v>
      </c>
      <c r="AD62" s="1" t="s">
        <v>74</v>
      </c>
      <c r="AE62" s="1" t="s">
        <v>74</v>
      </c>
      <c r="AF62" s="1" t="s">
        <v>74</v>
      </c>
      <c r="AG62" s="1" t="s">
        <v>74</v>
      </c>
      <c r="AH62" s="1" t="s">
        <v>74</v>
      </c>
      <c r="AI62" s="1" t="s">
        <v>74</v>
      </c>
      <c r="AJ62" s="1" t="s">
        <v>74</v>
      </c>
      <c r="AK62" s="1" t="s">
        <v>74</v>
      </c>
      <c r="AL62" s="1" t="s">
        <v>74</v>
      </c>
      <c r="AM62" s="1" t="s">
        <v>74</v>
      </c>
      <c r="AN62" s="1" t="s">
        <v>74</v>
      </c>
      <c r="AO62" s="1" t="s">
        <v>741</v>
      </c>
      <c r="AP62" s="1" t="s">
        <v>742</v>
      </c>
      <c r="AQ62" s="1" t="s">
        <v>74</v>
      </c>
      <c r="AR62" s="1" t="s">
        <v>74</v>
      </c>
      <c r="AS62" s="1" t="s">
        <v>74</v>
      </c>
      <c r="AT62" s="1" t="s">
        <v>743</v>
      </c>
      <c r="AU62" s="1">
        <v>2022.0</v>
      </c>
      <c r="AV62" s="1">
        <v>297.0</v>
      </c>
      <c r="AW62" s="1" t="s">
        <v>74</v>
      </c>
      <c r="AX62" s="1" t="s">
        <v>74</v>
      </c>
      <c r="AY62" s="1" t="s">
        <v>74</v>
      </c>
      <c r="AZ62" s="1" t="s">
        <v>74</v>
      </c>
      <c r="BA62" s="1" t="s">
        <v>74</v>
      </c>
      <c r="BB62" s="1">
        <v>381.0</v>
      </c>
      <c r="BC62" s="1">
        <v>385.0</v>
      </c>
      <c r="BD62" s="1" t="s">
        <v>74</v>
      </c>
      <c r="BE62" s="1" t="s">
        <v>744</v>
      </c>
      <c r="BF62" s="2" t="str">
        <f>HYPERLINK("http://dx.doi.org/10.1016/j.jad.2021.10.014","http://dx.doi.org/10.1016/j.jad.2021.10.014")</f>
        <v>http://dx.doi.org/10.1016/j.jad.2021.10.014</v>
      </c>
      <c r="BG62" s="1" t="s">
        <v>74</v>
      </c>
      <c r="BH62" s="1" t="s">
        <v>74</v>
      </c>
      <c r="BI62" s="1" t="s">
        <v>74</v>
      </c>
      <c r="BJ62" s="1" t="s">
        <v>74</v>
      </c>
      <c r="BK62" s="1" t="s">
        <v>74</v>
      </c>
      <c r="BL62" s="1" t="s">
        <v>74</v>
      </c>
      <c r="BM62" s="1" t="s">
        <v>74</v>
      </c>
      <c r="BN62" s="1">
        <v>3.4656672E7</v>
      </c>
      <c r="BO62" s="1" t="s">
        <v>74</v>
      </c>
      <c r="BP62" s="1" t="s">
        <v>74</v>
      </c>
      <c r="BQ62" s="1" t="s">
        <v>74</v>
      </c>
      <c r="BR62" s="1" t="s">
        <v>74</v>
      </c>
      <c r="BS62" s="1" t="s">
        <v>745</v>
      </c>
      <c r="BT62" s="1" t="str">
        <f>HYPERLINK("https%3A%2F%2Fwww.webofscience.com%2Fwos%2Fwoscc%2Ffull-record%2FWOS:000808544900025","View Full Record in Web of Science")</f>
        <v>View Full Record in Web of Science</v>
      </c>
    </row>
    <row r="63" ht="12.75" customHeight="1">
      <c r="A63" s="1" t="s">
        <v>72</v>
      </c>
      <c r="B63" s="1" t="s">
        <v>746</v>
      </c>
      <c r="C63" s="1" t="s">
        <v>74</v>
      </c>
      <c r="D63" s="1" t="s">
        <v>74</v>
      </c>
      <c r="E63" s="1" t="s">
        <v>74</v>
      </c>
      <c r="F63" s="1" t="s">
        <v>747</v>
      </c>
      <c r="G63" s="1" t="s">
        <v>74</v>
      </c>
      <c r="H63" s="1" t="s">
        <v>74</v>
      </c>
      <c r="I63" s="1" t="s">
        <v>748</v>
      </c>
      <c r="J63" s="1" t="s">
        <v>749</v>
      </c>
      <c r="K63" s="1" t="s">
        <v>74</v>
      </c>
      <c r="L63" s="1" t="s">
        <v>74</v>
      </c>
      <c r="M63" s="1" t="s">
        <v>74</v>
      </c>
      <c r="N63" s="1" t="s">
        <v>74</v>
      </c>
      <c r="O63" s="1" t="s">
        <v>74</v>
      </c>
      <c r="P63" s="1" t="s">
        <v>74</v>
      </c>
      <c r="Q63" s="1" t="s">
        <v>74</v>
      </c>
      <c r="R63" s="1" t="s">
        <v>74</v>
      </c>
      <c r="S63" s="1" t="s">
        <v>74</v>
      </c>
      <c r="T63" s="1" t="s">
        <v>74</v>
      </c>
      <c r="U63" s="1" t="s">
        <v>74</v>
      </c>
      <c r="V63" s="1" t="s">
        <v>750</v>
      </c>
      <c r="W63" s="1" t="s">
        <v>74</v>
      </c>
      <c r="X63" s="1" t="s">
        <v>74</v>
      </c>
      <c r="Y63" s="1" t="s">
        <v>74</v>
      </c>
      <c r="Z63" s="1" t="s">
        <v>74</v>
      </c>
      <c r="AA63" s="1" t="s">
        <v>751</v>
      </c>
      <c r="AB63" s="1" t="s">
        <v>752</v>
      </c>
      <c r="AC63" s="1" t="s">
        <v>74</v>
      </c>
      <c r="AD63" s="1" t="s">
        <v>74</v>
      </c>
      <c r="AE63" s="1" t="s">
        <v>74</v>
      </c>
      <c r="AF63" s="1" t="s">
        <v>74</v>
      </c>
      <c r="AG63" s="1" t="s">
        <v>74</v>
      </c>
      <c r="AH63" s="1" t="s">
        <v>74</v>
      </c>
      <c r="AI63" s="1" t="s">
        <v>74</v>
      </c>
      <c r="AJ63" s="1" t="s">
        <v>74</v>
      </c>
      <c r="AK63" s="1" t="s">
        <v>74</v>
      </c>
      <c r="AL63" s="1" t="s">
        <v>74</v>
      </c>
      <c r="AM63" s="1" t="s">
        <v>74</v>
      </c>
      <c r="AN63" s="1" t="s">
        <v>74</v>
      </c>
      <c r="AO63" s="1" t="s">
        <v>753</v>
      </c>
      <c r="AP63" s="1" t="s">
        <v>74</v>
      </c>
      <c r="AQ63" s="1" t="s">
        <v>74</v>
      </c>
      <c r="AR63" s="1" t="s">
        <v>74</v>
      </c>
      <c r="AS63" s="1" t="s">
        <v>74</v>
      </c>
      <c r="AT63" s="1" t="s">
        <v>74</v>
      </c>
      <c r="AU63" s="1">
        <v>2022.0</v>
      </c>
      <c r="AV63" s="1">
        <v>24.0</v>
      </c>
      <c r="AW63" s="1">
        <v>10.0</v>
      </c>
      <c r="AX63" s="1" t="s">
        <v>74</v>
      </c>
      <c r="AY63" s="1" t="s">
        <v>74</v>
      </c>
      <c r="AZ63" s="1" t="s">
        <v>74</v>
      </c>
      <c r="BA63" s="1" t="s">
        <v>74</v>
      </c>
      <c r="BB63" s="1">
        <v>3439.0</v>
      </c>
      <c r="BC63" s="1">
        <v>3503.0</v>
      </c>
      <c r="BD63" s="1" t="s">
        <v>74</v>
      </c>
      <c r="BE63" s="1" t="s">
        <v>754</v>
      </c>
      <c r="BF63" s="2" t="str">
        <f>HYPERLINK("http://dx.doi.org/10.4171/JEMS/1165","http://dx.doi.org/10.4171/JEMS/1165")</f>
        <v>http://dx.doi.org/10.4171/JEMS/1165</v>
      </c>
      <c r="BG63" s="1" t="s">
        <v>74</v>
      </c>
      <c r="BH63" s="1" t="s">
        <v>74</v>
      </c>
      <c r="BI63" s="1" t="s">
        <v>74</v>
      </c>
      <c r="BJ63" s="1" t="s">
        <v>74</v>
      </c>
      <c r="BK63" s="1" t="s">
        <v>74</v>
      </c>
      <c r="BL63" s="1" t="s">
        <v>74</v>
      </c>
      <c r="BM63" s="1" t="s">
        <v>74</v>
      </c>
      <c r="BN63" s="1" t="s">
        <v>74</v>
      </c>
      <c r="BO63" s="1" t="s">
        <v>74</v>
      </c>
      <c r="BP63" s="1" t="s">
        <v>74</v>
      </c>
      <c r="BQ63" s="1" t="s">
        <v>74</v>
      </c>
      <c r="BR63" s="1" t="s">
        <v>74</v>
      </c>
      <c r="BS63" s="1" t="s">
        <v>755</v>
      </c>
      <c r="BT63" s="1" t="str">
        <f>HYPERLINK("https%3A%2F%2Fwww.webofscience.com%2Fwos%2Fwoscc%2Ffull-record%2FWOS:000809339300001","View Full Record in Web of Science")</f>
        <v>View Full Record in Web of Science</v>
      </c>
    </row>
    <row r="64" ht="12.75" customHeight="1">
      <c r="A64" s="1" t="s">
        <v>72</v>
      </c>
      <c r="B64" s="1" t="s">
        <v>756</v>
      </c>
      <c r="C64" s="1" t="s">
        <v>74</v>
      </c>
      <c r="D64" s="1" t="s">
        <v>74</v>
      </c>
      <c r="E64" s="1" t="s">
        <v>74</v>
      </c>
      <c r="F64" s="1" t="s">
        <v>757</v>
      </c>
      <c r="G64" s="1" t="s">
        <v>74</v>
      </c>
      <c r="H64" s="1" t="s">
        <v>74</v>
      </c>
      <c r="I64" s="1" t="s">
        <v>758</v>
      </c>
      <c r="J64" s="1" t="s">
        <v>759</v>
      </c>
      <c r="K64" s="1" t="s">
        <v>74</v>
      </c>
      <c r="L64" s="1" t="s">
        <v>74</v>
      </c>
      <c r="M64" s="1" t="s">
        <v>74</v>
      </c>
      <c r="N64" s="1" t="s">
        <v>74</v>
      </c>
      <c r="O64" s="1" t="s">
        <v>74</v>
      </c>
      <c r="P64" s="1" t="s">
        <v>74</v>
      </c>
      <c r="Q64" s="1" t="s">
        <v>74</v>
      </c>
      <c r="R64" s="1" t="s">
        <v>74</v>
      </c>
      <c r="S64" s="1" t="s">
        <v>74</v>
      </c>
      <c r="T64" s="1" t="s">
        <v>74</v>
      </c>
      <c r="U64" s="1" t="s">
        <v>74</v>
      </c>
      <c r="V64" s="1" t="s">
        <v>760</v>
      </c>
      <c r="W64" s="1" t="s">
        <v>74</v>
      </c>
      <c r="X64" s="1" t="s">
        <v>74</v>
      </c>
      <c r="Y64" s="1" t="s">
        <v>74</v>
      </c>
      <c r="Z64" s="1" t="s">
        <v>74</v>
      </c>
      <c r="AA64" s="1" t="s">
        <v>761</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762</v>
      </c>
      <c r="AP64" s="1" t="s">
        <v>763</v>
      </c>
      <c r="AQ64" s="1" t="s">
        <v>74</v>
      </c>
      <c r="AR64" s="1" t="s">
        <v>74</v>
      </c>
      <c r="AS64" s="1" t="s">
        <v>74</v>
      </c>
      <c r="AT64" s="1" t="s">
        <v>74</v>
      </c>
      <c r="AU64" s="1">
        <v>2022.0</v>
      </c>
      <c r="AV64" s="1" t="s">
        <v>74</v>
      </c>
      <c r="AW64" s="1">
        <v>45.0</v>
      </c>
      <c r="AX64" s="1" t="s">
        <v>74</v>
      </c>
      <c r="AY64" s="1" t="s">
        <v>74</v>
      </c>
      <c r="AZ64" s="1" t="s">
        <v>74</v>
      </c>
      <c r="BA64" s="1" t="s">
        <v>74</v>
      </c>
      <c r="BB64" s="1">
        <v>351.0</v>
      </c>
      <c r="BC64" s="1">
        <v>363.0</v>
      </c>
      <c r="BD64" s="1" t="s">
        <v>74</v>
      </c>
      <c r="BE64" s="1" t="s">
        <v>74</v>
      </c>
      <c r="BF64" s="1" t="s">
        <v>74</v>
      </c>
      <c r="BG64" s="1" t="s">
        <v>74</v>
      </c>
      <c r="BH64" s="1" t="s">
        <v>74</v>
      </c>
      <c r="BI64" s="1" t="s">
        <v>74</v>
      </c>
      <c r="BJ64" s="1" t="s">
        <v>74</v>
      </c>
      <c r="BK64" s="1" t="s">
        <v>74</v>
      </c>
      <c r="BL64" s="1" t="s">
        <v>74</v>
      </c>
      <c r="BM64" s="1" t="s">
        <v>74</v>
      </c>
      <c r="BN64" s="1" t="s">
        <v>74</v>
      </c>
      <c r="BO64" s="1" t="s">
        <v>74</v>
      </c>
      <c r="BP64" s="1" t="s">
        <v>74</v>
      </c>
      <c r="BQ64" s="1" t="s">
        <v>74</v>
      </c>
      <c r="BR64" s="1" t="s">
        <v>74</v>
      </c>
      <c r="BS64" s="1" t="s">
        <v>764</v>
      </c>
      <c r="BT64" s="1" t="str">
        <f>HYPERLINK("https%3A%2F%2Fwww.webofscience.com%2Fwos%2Fwoscc%2Ffull-record%2FWOS:000784127200001","View Full Record in Web of Science")</f>
        <v>View Full Record in Web of Science</v>
      </c>
    </row>
    <row r="65" ht="12.75" customHeight="1">
      <c r="A65" s="1" t="s">
        <v>72</v>
      </c>
      <c r="B65" s="1" t="s">
        <v>765</v>
      </c>
      <c r="C65" s="1" t="s">
        <v>74</v>
      </c>
      <c r="D65" s="1" t="s">
        <v>74</v>
      </c>
      <c r="E65" s="1" t="s">
        <v>74</v>
      </c>
      <c r="F65" s="1" t="s">
        <v>766</v>
      </c>
      <c r="G65" s="1" t="s">
        <v>74</v>
      </c>
      <c r="H65" s="1" t="s">
        <v>74</v>
      </c>
      <c r="I65" s="1" t="s">
        <v>767</v>
      </c>
      <c r="J65" s="1" t="s">
        <v>292</v>
      </c>
      <c r="K65" s="1" t="s">
        <v>74</v>
      </c>
      <c r="L65" s="1" t="s">
        <v>74</v>
      </c>
      <c r="M65" s="1" t="s">
        <v>74</v>
      </c>
      <c r="N65" s="1" t="s">
        <v>74</v>
      </c>
      <c r="O65" s="1" t="s">
        <v>74</v>
      </c>
      <c r="P65" s="1" t="s">
        <v>74</v>
      </c>
      <c r="Q65" s="1" t="s">
        <v>74</v>
      </c>
      <c r="R65" s="1" t="s">
        <v>74</v>
      </c>
      <c r="S65" s="1" t="s">
        <v>74</v>
      </c>
      <c r="T65" s="1" t="s">
        <v>74</v>
      </c>
      <c r="U65" s="1" t="s">
        <v>74</v>
      </c>
      <c r="V65" s="1" t="s">
        <v>768</v>
      </c>
      <c r="W65" s="1" t="s">
        <v>74</v>
      </c>
      <c r="X65" s="1" t="s">
        <v>74</v>
      </c>
      <c r="Y65" s="1" t="s">
        <v>74</v>
      </c>
      <c r="Z65" s="1" t="s">
        <v>74</v>
      </c>
      <c r="AA65" s="1" t="s">
        <v>769</v>
      </c>
      <c r="AB65" s="1" t="s">
        <v>770</v>
      </c>
      <c r="AC65" s="1" t="s">
        <v>74</v>
      </c>
      <c r="AD65" s="1" t="s">
        <v>74</v>
      </c>
      <c r="AE65" s="1" t="s">
        <v>74</v>
      </c>
      <c r="AF65" s="1" t="s">
        <v>74</v>
      </c>
      <c r="AG65" s="1" t="s">
        <v>74</v>
      </c>
      <c r="AH65" s="1" t="s">
        <v>74</v>
      </c>
      <c r="AI65" s="1" t="s">
        <v>74</v>
      </c>
      <c r="AJ65" s="1" t="s">
        <v>74</v>
      </c>
      <c r="AK65" s="1" t="s">
        <v>74</v>
      </c>
      <c r="AL65" s="1" t="s">
        <v>74</v>
      </c>
      <c r="AM65" s="1" t="s">
        <v>74</v>
      </c>
      <c r="AN65" s="1" t="s">
        <v>74</v>
      </c>
      <c r="AO65" s="1" t="s">
        <v>296</v>
      </c>
      <c r="AP65" s="1" t="s">
        <v>74</v>
      </c>
      <c r="AQ65" s="1" t="s">
        <v>74</v>
      </c>
      <c r="AR65" s="1" t="s">
        <v>74</v>
      </c>
      <c r="AS65" s="1" t="s">
        <v>74</v>
      </c>
      <c r="AT65" s="1" t="s">
        <v>771</v>
      </c>
      <c r="AU65" s="1">
        <v>2021.0</v>
      </c>
      <c r="AV65" s="1">
        <v>11.0</v>
      </c>
      <c r="AW65" s="1">
        <v>1.0</v>
      </c>
      <c r="AX65" s="1" t="s">
        <v>74</v>
      </c>
      <c r="AY65" s="1" t="s">
        <v>74</v>
      </c>
      <c r="AZ65" s="1" t="s">
        <v>74</v>
      </c>
      <c r="BA65" s="1" t="s">
        <v>74</v>
      </c>
      <c r="BB65" s="1" t="s">
        <v>74</v>
      </c>
      <c r="BC65" s="1" t="s">
        <v>74</v>
      </c>
      <c r="BD65" s="1">
        <v>23010.0</v>
      </c>
      <c r="BE65" s="1" t="s">
        <v>772</v>
      </c>
      <c r="BF65" s="2" t="str">
        <f>HYPERLINK("http://dx.doi.org/10.1038/s41598-021-02285-0","http://dx.doi.org/10.1038/s41598-021-02285-0")</f>
        <v>http://dx.doi.org/10.1038/s41598-021-02285-0</v>
      </c>
      <c r="BG65" s="1" t="s">
        <v>74</v>
      </c>
      <c r="BH65" s="1" t="s">
        <v>74</v>
      </c>
      <c r="BI65" s="1" t="s">
        <v>74</v>
      </c>
      <c r="BJ65" s="1" t="s">
        <v>74</v>
      </c>
      <c r="BK65" s="1" t="s">
        <v>74</v>
      </c>
      <c r="BL65" s="1" t="s">
        <v>74</v>
      </c>
      <c r="BM65" s="1" t="s">
        <v>74</v>
      </c>
      <c r="BN65" s="1">
        <v>3.4836994E7</v>
      </c>
      <c r="BO65" s="1" t="s">
        <v>74</v>
      </c>
      <c r="BP65" s="1" t="s">
        <v>74</v>
      </c>
      <c r="BQ65" s="1" t="s">
        <v>74</v>
      </c>
      <c r="BR65" s="1" t="s">
        <v>74</v>
      </c>
      <c r="BS65" s="1" t="s">
        <v>773</v>
      </c>
      <c r="BT65" s="1" t="str">
        <f>HYPERLINK("https%3A%2F%2Fwww.webofscience.com%2Fwos%2Fwoscc%2Ffull-record%2FWOS:000722925300012","View Full Record in Web of Science")</f>
        <v>View Full Record in Web of Science</v>
      </c>
    </row>
    <row r="66" ht="12.75" customHeight="1">
      <c r="A66" s="1" t="s">
        <v>72</v>
      </c>
      <c r="B66" s="1" t="s">
        <v>774</v>
      </c>
      <c r="C66" s="1" t="s">
        <v>74</v>
      </c>
      <c r="D66" s="1" t="s">
        <v>74</v>
      </c>
      <c r="E66" s="1" t="s">
        <v>74</v>
      </c>
      <c r="F66" s="1" t="s">
        <v>775</v>
      </c>
      <c r="G66" s="1" t="s">
        <v>74</v>
      </c>
      <c r="H66" s="1" t="s">
        <v>74</v>
      </c>
      <c r="I66" s="1" t="s">
        <v>776</v>
      </c>
      <c r="J66" s="1" t="s">
        <v>450</v>
      </c>
      <c r="K66" s="1" t="s">
        <v>74</v>
      </c>
      <c r="L66" s="1" t="s">
        <v>74</v>
      </c>
      <c r="M66" s="1" t="s">
        <v>74</v>
      </c>
      <c r="N66" s="1" t="s">
        <v>74</v>
      </c>
      <c r="O66" s="1" t="s">
        <v>74</v>
      </c>
      <c r="P66" s="1" t="s">
        <v>74</v>
      </c>
      <c r="Q66" s="1" t="s">
        <v>74</v>
      </c>
      <c r="R66" s="1" t="s">
        <v>74</v>
      </c>
      <c r="S66" s="1" t="s">
        <v>74</v>
      </c>
      <c r="T66" s="1" t="s">
        <v>74</v>
      </c>
      <c r="U66" s="1" t="s">
        <v>74</v>
      </c>
      <c r="V66" s="1" t="s">
        <v>777</v>
      </c>
      <c r="W66" s="1" t="s">
        <v>74</v>
      </c>
      <c r="X66" s="1" t="s">
        <v>74</v>
      </c>
      <c r="Y66" s="1" t="s">
        <v>74</v>
      </c>
      <c r="Z66" s="1" t="s">
        <v>74</v>
      </c>
      <c r="AA66" s="1" t="s">
        <v>778</v>
      </c>
      <c r="AB66" s="1" t="s">
        <v>779</v>
      </c>
      <c r="AC66" s="1" t="s">
        <v>74</v>
      </c>
      <c r="AD66" s="1" t="s">
        <v>74</v>
      </c>
      <c r="AE66" s="1" t="s">
        <v>74</v>
      </c>
      <c r="AF66" s="1" t="s">
        <v>74</v>
      </c>
      <c r="AG66" s="1" t="s">
        <v>74</v>
      </c>
      <c r="AH66" s="1" t="s">
        <v>74</v>
      </c>
      <c r="AI66" s="1" t="s">
        <v>74</v>
      </c>
      <c r="AJ66" s="1" t="s">
        <v>74</v>
      </c>
      <c r="AK66" s="1" t="s">
        <v>74</v>
      </c>
      <c r="AL66" s="1" t="s">
        <v>74</v>
      </c>
      <c r="AM66" s="1" t="s">
        <v>74</v>
      </c>
      <c r="AN66" s="1" t="s">
        <v>74</v>
      </c>
      <c r="AO66" s="1" t="s">
        <v>454</v>
      </c>
      <c r="AP66" s="1" t="s">
        <v>74</v>
      </c>
      <c r="AQ66" s="1" t="s">
        <v>74</v>
      </c>
      <c r="AR66" s="1" t="s">
        <v>74</v>
      </c>
      <c r="AS66" s="1" t="s">
        <v>74</v>
      </c>
      <c r="AT66" s="1" t="s">
        <v>780</v>
      </c>
      <c r="AU66" s="1">
        <v>2021.0</v>
      </c>
      <c r="AV66" s="1">
        <v>6.0</v>
      </c>
      <c r="AW66" s="1">
        <v>27.0</v>
      </c>
      <c r="AX66" s="1" t="s">
        <v>74</v>
      </c>
      <c r="AY66" s="1" t="s">
        <v>74</v>
      </c>
      <c r="AZ66" s="1" t="s">
        <v>74</v>
      </c>
      <c r="BA66" s="1" t="s">
        <v>74</v>
      </c>
      <c r="BB66" s="1">
        <v>17289.0</v>
      </c>
      <c r="BC66" s="1">
        <v>17298.0</v>
      </c>
      <c r="BD66" s="1" t="s">
        <v>74</v>
      </c>
      <c r="BE66" s="1" t="s">
        <v>781</v>
      </c>
      <c r="BF66" s="2" t="str">
        <f>HYPERLINK("http://dx.doi.org/10.1021/acsomega.1c01272","http://dx.doi.org/10.1021/acsomega.1c01272")</f>
        <v>http://dx.doi.org/10.1021/acsomega.1c01272</v>
      </c>
      <c r="BG66" s="1" t="s">
        <v>74</v>
      </c>
      <c r="BH66" s="1" t="s">
        <v>782</v>
      </c>
      <c r="BI66" s="1" t="s">
        <v>74</v>
      </c>
      <c r="BJ66" s="1" t="s">
        <v>74</v>
      </c>
      <c r="BK66" s="1" t="s">
        <v>74</v>
      </c>
      <c r="BL66" s="1" t="s">
        <v>74</v>
      </c>
      <c r="BM66" s="1" t="s">
        <v>74</v>
      </c>
      <c r="BN66" s="1">
        <v>3.4278115E7</v>
      </c>
      <c r="BO66" s="1" t="s">
        <v>74</v>
      </c>
      <c r="BP66" s="1" t="s">
        <v>74</v>
      </c>
      <c r="BQ66" s="1" t="s">
        <v>74</v>
      </c>
      <c r="BR66" s="1" t="s">
        <v>74</v>
      </c>
      <c r="BS66" s="1" t="s">
        <v>783</v>
      </c>
      <c r="BT66" s="1" t="str">
        <f>HYPERLINK("https%3A%2F%2Fwww.webofscience.com%2Fwos%2Fwoscc%2Ffull-record%2FWOS:000674270200015","View Full Record in Web of Science")</f>
        <v>View Full Record in Web of Science</v>
      </c>
    </row>
    <row r="67" ht="12.75" customHeight="1">
      <c r="A67" s="1" t="s">
        <v>72</v>
      </c>
      <c r="B67" s="1" t="s">
        <v>784</v>
      </c>
      <c r="C67" s="1" t="s">
        <v>74</v>
      </c>
      <c r="D67" s="1" t="s">
        <v>74</v>
      </c>
      <c r="E67" s="1" t="s">
        <v>74</v>
      </c>
      <c r="F67" s="1" t="s">
        <v>785</v>
      </c>
      <c r="G67" s="1" t="s">
        <v>74</v>
      </c>
      <c r="H67" s="1" t="s">
        <v>74</v>
      </c>
      <c r="I67" s="1" t="s">
        <v>786</v>
      </c>
      <c r="J67" s="1" t="s">
        <v>787</v>
      </c>
      <c r="K67" s="1" t="s">
        <v>74</v>
      </c>
      <c r="L67" s="1" t="s">
        <v>74</v>
      </c>
      <c r="M67" s="1" t="s">
        <v>74</v>
      </c>
      <c r="N67" s="1" t="s">
        <v>74</v>
      </c>
      <c r="O67" s="1" t="s">
        <v>74</v>
      </c>
      <c r="P67" s="1" t="s">
        <v>74</v>
      </c>
      <c r="Q67" s="1" t="s">
        <v>74</v>
      </c>
      <c r="R67" s="1" t="s">
        <v>74</v>
      </c>
      <c r="S67" s="1" t="s">
        <v>74</v>
      </c>
      <c r="T67" s="1" t="s">
        <v>74</v>
      </c>
      <c r="U67" s="1" t="s">
        <v>74</v>
      </c>
      <c r="V67" s="1" t="s">
        <v>788</v>
      </c>
      <c r="W67" s="1" t="s">
        <v>74</v>
      </c>
      <c r="X67" s="1" t="s">
        <v>74</v>
      </c>
      <c r="Y67" s="1" t="s">
        <v>74</v>
      </c>
      <c r="Z67" s="1" t="s">
        <v>74</v>
      </c>
      <c r="AA67" s="1" t="s">
        <v>789</v>
      </c>
      <c r="AB67" s="1" t="s">
        <v>790</v>
      </c>
      <c r="AC67" s="1" t="s">
        <v>74</v>
      </c>
      <c r="AD67" s="1" t="s">
        <v>74</v>
      </c>
      <c r="AE67" s="1" t="s">
        <v>74</v>
      </c>
      <c r="AF67" s="1" t="s">
        <v>74</v>
      </c>
      <c r="AG67" s="1" t="s">
        <v>74</v>
      </c>
      <c r="AH67" s="1" t="s">
        <v>74</v>
      </c>
      <c r="AI67" s="1" t="s">
        <v>74</v>
      </c>
      <c r="AJ67" s="1" t="s">
        <v>74</v>
      </c>
      <c r="AK67" s="1" t="s">
        <v>74</v>
      </c>
      <c r="AL67" s="1" t="s">
        <v>74</v>
      </c>
      <c r="AM67" s="1" t="s">
        <v>74</v>
      </c>
      <c r="AN67" s="1" t="s">
        <v>74</v>
      </c>
      <c r="AO67" s="1" t="s">
        <v>791</v>
      </c>
      <c r="AP67" s="1" t="s">
        <v>792</v>
      </c>
      <c r="AQ67" s="1" t="s">
        <v>74</v>
      </c>
      <c r="AR67" s="1" t="s">
        <v>74</v>
      </c>
      <c r="AS67" s="1" t="s">
        <v>74</v>
      </c>
      <c r="AT67" s="1" t="s">
        <v>793</v>
      </c>
      <c r="AU67" s="1">
        <v>2021.0</v>
      </c>
      <c r="AV67" s="1">
        <v>360.0</v>
      </c>
      <c r="AW67" s="1" t="s">
        <v>74</v>
      </c>
      <c r="AX67" s="1" t="s">
        <v>74</v>
      </c>
      <c r="AY67" s="1" t="s">
        <v>74</v>
      </c>
      <c r="AZ67" s="1" t="s">
        <v>74</v>
      </c>
      <c r="BA67" s="1" t="s">
        <v>74</v>
      </c>
      <c r="BB67" s="1" t="s">
        <v>74</v>
      </c>
      <c r="BC67" s="1" t="s">
        <v>74</v>
      </c>
      <c r="BD67" s="1">
        <v>129966.0</v>
      </c>
      <c r="BE67" s="1" t="s">
        <v>794</v>
      </c>
      <c r="BF67" s="2" t="str">
        <f>HYPERLINK("http://dx.doi.org/10.1016/j.foodchem.2021.129966","http://dx.doi.org/10.1016/j.foodchem.2021.129966")</f>
        <v>http://dx.doi.org/10.1016/j.foodchem.2021.129966</v>
      </c>
      <c r="BG67" s="1" t="s">
        <v>74</v>
      </c>
      <c r="BH67" s="1" t="s">
        <v>795</v>
      </c>
      <c r="BI67" s="1" t="s">
        <v>74</v>
      </c>
      <c r="BJ67" s="1" t="s">
        <v>74</v>
      </c>
      <c r="BK67" s="1" t="s">
        <v>74</v>
      </c>
      <c r="BL67" s="1" t="s">
        <v>74</v>
      </c>
      <c r="BM67" s="1" t="s">
        <v>74</v>
      </c>
      <c r="BN67" s="1">
        <v>3.3993071E7</v>
      </c>
      <c r="BO67" s="1" t="s">
        <v>74</v>
      </c>
      <c r="BP67" s="1" t="s">
        <v>74</v>
      </c>
      <c r="BQ67" s="1" t="s">
        <v>74</v>
      </c>
      <c r="BR67" s="1" t="s">
        <v>74</v>
      </c>
      <c r="BS67" s="1" t="s">
        <v>796</v>
      </c>
      <c r="BT67" s="1" t="str">
        <f>HYPERLINK("https%3A%2F%2Fwww.webofscience.com%2Fwos%2Fwoscc%2Ffull-record%2FWOS:000663772600007","View Full Record in Web of Science")</f>
        <v>View Full Record in Web of Science</v>
      </c>
    </row>
    <row r="68" ht="12.75" customHeight="1">
      <c r="A68" s="1" t="s">
        <v>72</v>
      </c>
      <c r="B68" s="1" t="s">
        <v>797</v>
      </c>
      <c r="C68" s="1" t="s">
        <v>74</v>
      </c>
      <c r="D68" s="1" t="s">
        <v>74</v>
      </c>
      <c r="E68" s="1" t="s">
        <v>74</v>
      </c>
      <c r="F68" s="1" t="s">
        <v>798</v>
      </c>
      <c r="G68" s="1" t="s">
        <v>74</v>
      </c>
      <c r="H68" s="1" t="s">
        <v>74</v>
      </c>
      <c r="I68" s="1" t="s">
        <v>799</v>
      </c>
      <c r="J68" s="1" t="s">
        <v>800</v>
      </c>
      <c r="K68" s="1" t="s">
        <v>74</v>
      </c>
      <c r="L68" s="1" t="s">
        <v>74</v>
      </c>
      <c r="M68" s="1" t="s">
        <v>74</v>
      </c>
      <c r="N68" s="1" t="s">
        <v>74</v>
      </c>
      <c r="O68" s="1" t="s">
        <v>74</v>
      </c>
      <c r="P68" s="1" t="s">
        <v>74</v>
      </c>
      <c r="Q68" s="1" t="s">
        <v>74</v>
      </c>
      <c r="R68" s="1" t="s">
        <v>74</v>
      </c>
      <c r="S68" s="1" t="s">
        <v>74</v>
      </c>
      <c r="T68" s="1" t="s">
        <v>74</v>
      </c>
      <c r="U68" s="1" t="s">
        <v>74</v>
      </c>
      <c r="V68" s="1" t="s">
        <v>801</v>
      </c>
      <c r="W68" s="1" t="s">
        <v>74</v>
      </c>
      <c r="X68" s="1" t="s">
        <v>74</v>
      </c>
      <c r="Y68" s="1" t="s">
        <v>74</v>
      </c>
      <c r="Z68" s="1" t="s">
        <v>74</v>
      </c>
      <c r="AA68" s="1" t="s">
        <v>802</v>
      </c>
      <c r="AB68" s="1" t="s">
        <v>803</v>
      </c>
      <c r="AC68" s="1" t="s">
        <v>74</v>
      </c>
      <c r="AD68" s="1" t="s">
        <v>74</v>
      </c>
      <c r="AE68" s="1" t="s">
        <v>74</v>
      </c>
      <c r="AF68" s="1" t="s">
        <v>74</v>
      </c>
      <c r="AG68" s="1" t="s">
        <v>74</v>
      </c>
      <c r="AH68" s="1" t="s">
        <v>74</v>
      </c>
      <c r="AI68" s="1" t="s">
        <v>74</v>
      </c>
      <c r="AJ68" s="1" t="s">
        <v>74</v>
      </c>
      <c r="AK68" s="1" t="s">
        <v>74</v>
      </c>
      <c r="AL68" s="1" t="s">
        <v>74</v>
      </c>
      <c r="AM68" s="1" t="s">
        <v>74</v>
      </c>
      <c r="AN68" s="1" t="s">
        <v>74</v>
      </c>
      <c r="AO68" s="1" t="s">
        <v>74</v>
      </c>
      <c r="AP68" s="1" t="s">
        <v>804</v>
      </c>
      <c r="AQ68" s="1" t="s">
        <v>74</v>
      </c>
      <c r="AR68" s="1" t="s">
        <v>74</v>
      </c>
      <c r="AS68" s="1" t="s">
        <v>74</v>
      </c>
      <c r="AT68" s="1" t="s">
        <v>308</v>
      </c>
      <c r="AU68" s="1">
        <v>2021.0</v>
      </c>
      <c r="AV68" s="1">
        <v>11.0</v>
      </c>
      <c r="AW68" s="1">
        <v>4.0</v>
      </c>
      <c r="AX68" s="1" t="s">
        <v>74</v>
      </c>
      <c r="AY68" s="1" t="s">
        <v>74</v>
      </c>
      <c r="AZ68" s="1" t="s">
        <v>74</v>
      </c>
      <c r="BA68" s="1" t="s">
        <v>74</v>
      </c>
      <c r="BB68" s="1" t="s">
        <v>74</v>
      </c>
      <c r="BC68" s="1" t="s">
        <v>74</v>
      </c>
      <c r="BD68" s="1">
        <v>373.0</v>
      </c>
      <c r="BE68" s="1" t="s">
        <v>805</v>
      </c>
      <c r="BF68" s="2" t="str">
        <f>HYPERLINK("http://dx.doi.org/10.3390/min11040373","http://dx.doi.org/10.3390/min11040373")</f>
        <v>http://dx.doi.org/10.3390/min11040373</v>
      </c>
      <c r="BG68" s="1" t="s">
        <v>74</v>
      </c>
      <c r="BH68" s="1" t="s">
        <v>74</v>
      </c>
      <c r="BI68" s="1" t="s">
        <v>74</v>
      </c>
      <c r="BJ68" s="1" t="s">
        <v>74</v>
      </c>
      <c r="BK68" s="1" t="s">
        <v>74</v>
      </c>
      <c r="BL68" s="1" t="s">
        <v>74</v>
      </c>
      <c r="BM68" s="1" t="s">
        <v>74</v>
      </c>
      <c r="BN68" s="1" t="s">
        <v>74</v>
      </c>
      <c r="BO68" s="1" t="s">
        <v>74</v>
      </c>
      <c r="BP68" s="1" t="s">
        <v>74</v>
      </c>
      <c r="BQ68" s="1" t="s">
        <v>74</v>
      </c>
      <c r="BR68" s="1" t="s">
        <v>74</v>
      </c>
      <c r="BS68" s="1" t="s">
        <v>806</v>
      </c>
      <c r="BT68" s="1" t="str">
        <f>HYPERLINK("https%3A%2F%2Fwww.webofscience.com%2Fwos%2Fwoscc%2Ffull-record%2FWOS:000643335700001","View Full Record in Web of Science")</f>
        <v>View Full Record in Web of Science</v>
      </c>
    </row>
    <row r="69" ht="12.75" customHeight="1">
      <c r="A69" s="1" t="s">
        <v>72</v>
      </c>
      <c r="B69" s="1" t="s">
        <v>807</v>
      </c>
      <c r="C69" s="1" t="s">
        <v>74</v>
      </c>
      <c r="D69" s="1" t="s">
        <v>74</v>
      </c>
      <c r="E69" s="1" t="s">
        <v>74</v>
      </c>
      <c r="F69" s="1" t="s">
        <v>808</v>
      </c>
      <c r="G69" s="1" t="s">
        <v>74</v>
      </c>
      <c r="H69" s="1" t="s">
        <v>74</v>
      </c>
      <c r="I69" s="1" t="s">
        <v>809</v>
      </c>
      <c r="J69" s="1" t="s">
        <v>759</v>
      </c>
      <c r="K69" s="1" t="s">
        <v>74</v>
      </c>
      <c r="L69" s="1" t="s">
        <v>74</v>
      </c>
      <c r="M69" s="1" t="s">
        <v>74</v>
      </c>
      <c r="N69" s="1" t="s">
        <v>74</v>
      </c>
      <c r="O69" s="1" t="s">
        <v>74</v>
      </c>
      <c r="P69" s="1" t="s">
        <v>74</v>
      </c>
      <c r="Q69" s="1" t="s">
        <v>74</v>
      </c>
      <c r="R69" s="1" t="s">
        <v>74</v>
      </c>
      <c r="S69" s="1" t="s">
        <v>74</v>
      </c>
      <c r="T69" s="1" t="s">
        <v>74</v>
      </c>
      <c r="U69" s="1" t="s">
        <v>74</v>
      </c>
      <c r="V69" s="1" t="s">
        <v>810</v>
      </c>
      <c r="W69" s="1" t="s">
        <v>74</v>
      </c>
      <c r="X69" s="1" t="s">
        <v>74</v>
      </c>
      <c r="Y69" s="1" t="s">
        <v>74</v>
      </c>
      <c r="Z69" s="1" t="s">
        <v>74</v>
      </c>
      <c r="AA69" s="1" t="s">
        <v>811</v>
      </c>
      <c r="AB69" s="1" t="s">
        <v>74</v>
      </c>
      <c r="AC69" s="1" t="s">
        <v>74</v>
      </c>
      <c r="AD69" s="1" t="s">
        <v>74</v>
      </c>
      <c r="AE69" s="1" t="s">
        <v>74</v>
      </c>
      <c r="AF69" s="1" t="s">
        <v>74</v>
      </c>
      <c r="AG69" s="1" t="s">
        <v>74</v>
      </c>
      <c r="AH69" s="1" t="s">
        <v>74</v>
      </c>
      <c r="AI69" s="1" t="s">
        <v>74</v>
      </c>
      <c r="AJ69" s="1" t="s">
        <v>74</v>
      </c>
      <c r="AK69" s="1" t="s">
        <v>74</v>
      </c>
      <c r="AL69" s="1" t="s">
        <v>74</v>
      </c>
      <c r="AM69" s="1" t="s">
        <v>74</v>
      </c>
      <c r="AN69" s="1" t="s">
        <v>74</v>
      </c>
      <c r="AO69" s="1" t="s">
        <v>762</v>
      </c>
      <c r="AP69" s="1" t="s">
        <v>763</v>
      </c>
      <c r="AQ69" s="1" t="s">
        <v>74</v>
      </c>
      <c r="AR69" s="1" t="s">
        <v>74</v>
      </c>
      <c r="AS69" s="1" t="s">
        <v>74</v>
      </c>
      <c r="AT69" s="1" t="s">
        <v>74</v>
      </c>
      <c r="AU69" s="1">
        <v>2021.0</v>
      </c>
      <c r="AV69" s="1" t="s">
        <v>74</v>
      </c>
      <c r="AW69" s="1">
        <v>42.0</v>
      </c>
      <c r="AX69" s="1" t="s">
        <v>74</v>
      </c>
      <c r="AY69" s="1" t="s">
        <v>74</v>
      </c>
      <c r="AZ69" s="1" t="s">
        <v>74</v>
      </c>
      <c r="BA69" s="1" t="s">
        <v>74</v>
      </c>
      <c r="BB69" s="1">
        <v>100.0</v>
      </c>
      <c r="BC69" s="1">
        <v>108.0</v>
      </c>
      <c r="BD69" s="1" t="s">
        <v>74</v>
      </c>
      <c r="BE69" s="1" t="s">
        <v>74</v>
      </c>
      <c r="BF69" s="1" t="s">
        <v>74</v>
      </c>
      <c r="BG69" s="1" t="s">
        <v>74</v>
      </c>
      <c r="BH69" s="1" t="s">
        <v>74</v>
      </c>
      <c r="BI69" s="1" t="s">
        <v>74</v>
      </c>
      <c r="BJ69" s="1" t="s">
        <v>74</v>
      </c>
      <c r="BK69" s="1" t="s">
        <v>74</v>
      </c>
      <c r="BL69" s="1" t="s">
        <v>74</v>
      </c>
      <c r="BM69" s="1" t="s">
        <v>74</v>
      </c>
      <c r="BN69" s="1" t="s">
        <v>74</v>
      </c>
      <c r="BO69" s="1" t="s">
        <v>74</v>
      </c>
      <c r="BP69" s="1" t="s">
        <v>74</v>
      </c>
      <c r="BQ69" s="1" t="s">
        <v>74</v>
      </c>
      <c r="BR69" s="1" t="s">
        <v>74</v>
      </c>
      <c r="BS69" s="1" t="s">
        <v>812</v>
      </c>
      <c r="BT69" s="1" t="str">
        <f>HYPERLINK("https%3A%2F%2Fwww.webofscience.com%2Fwos%2Fwoscc%2Ffull-record%2FWOS:000629970000001","View Full Record in Web of Science")</f>
        <v>View Full Record in Web of Science</v>
      </c>
    </row>
    <row r="70" ht="12.75" customHeight="1">
      <c r="A70" s="1" t="s">
        <v>72</v>
      </c>
      <c r="B70" s="1" t="s">
        <v>813</v>
      </c>
      <c r="C70" s="1" t="s">
        <v>74</v>
      </c>
      <c r="D70" s="1" t="s">
        <v>74</v>
      </c>
      <c r="E70" s="1" t="s">
        <v>74</v>
      </c>
      <c r="F70" s="1" t="s">
        <v>814</v>
      </c>
      <c r="G70" s="1" t="s">
        <v>74</v>
      </c>
      <c r="H70" s="1" t="s">
        <v>74</v>
      </c>
      <c r="I70" s="1" t="s">
        <v>815</v>
      </c>
      <c r="J70" s="1" t="s">
        <v>816</v>
      </c>
      <c r="K70" s="1" t="s">
        <v>74</v>
      </c>
      <c r="L70" s="1" t="s">
        <v>74</v>
      </c>
      <c r="M70" s="1" t="s">
        <v>74</v>
      </c>
      <c r="N70" s="1" t="s">
        <v>74</v>
      </c>
      <c r="O70" s="1" t="s">
        <v>74</v>
      </c>
      <c r="P70" s="1" t="s">
        <v>74</v>
      </c>
      <c r="Q70" s="1" t="s">
        <v>74</v>
      </c>
      <c r="R70" s="1" t="s">
        <v>74</v>
      </c>
      <c r="S70" s="1" t="s">
        <v>74</v>
      </c>
      <c r="T70" s="1" t="s">
        <v>74</v>
      </c>
      <c r="U70" s="1" t="s">
        <v>74</v>
      </c>
      <c r="V70" s="1" t="s">
        <v>817</v>
      </c>
      <c r="W70" s="1" t="s">
        <v>74</v>
      </c>
      <c r="X70" s="1" t="s">
        <v>74</v>
      </c>
      <c r="Y70" s="1" t="s">
        <v>74</v>
      </c>
      <c r="Z70" s="1" t="s">
        <v>74</v>
      </c>
      <c r="AA70" s="1" t="s">
        <v>818</v>
      </c>
      <c r="AB70" s="1" t="s">
        <v>819</v>
      </c>
      <c r="AC70" s="1" t="s">
        <v>74</v>
      </c>
      <c r="AD70" s="1" t="s">
        <v>74</v>
      </c>
      <c r="AE70" s="1" t="s">
        <v>74</v>
      </c>
      <c r="AF70" s="1" t="s">
        <v>74</v>
      </c>
      <c r="AG70" s="1" t="s">
        <v>74</v>
      </c>
      <c r="AH70" s="1" t="s">
        <v>74</v>
      </c>
      <c r="AI70" s="1" t="s">
        <v>74</v>
      </c>
      <c r="AJ70" s="1" t="s">
        <v>74</v>
      </c>
      <c r="AK70" s="1" t="s">
        <v>74</v>
      </c>
      <c r="AL70" s="1" t="s">
        <v>74</v>
      </c>
      <c r="AM70" s="1" t="s">
        <v>74</v>
      </c>
      <c r="AN70" s="1" t="s">
        <v>74</v>
      </c>
      <c r="AO70" s="1" t="s">
        <v>820</v>
      </c>
      <c r="AP70" s="1" t="s">
        <v>821</v>
      </c>
      <c r="AQ70" s="1" t="s">
        <v>74</v>
      </c>
      <c r="AR70" s="1" t="s">
        <v>74</v>
      </c>
      <c r="AS70" s="1" t="s">
        <v>74</v>
      </c>
      <c r="AT70" s="1" t="s">
        <v>822</v>
      </c>
      <c r="AU70" s="1">
        <v>2021.0</v>
      </c>
      <c r="AV70" s="1">
        <v>164.0</v>
      </c>
      <c r="AW70" s="1" t="s">
        <v>74</v>
      </c>
      <c r="AX70" s="1" t="s">
        <v>74</v>
      </c>
      <c r="AY70" s="1" t="s">
        <v>74</v>
      </c>
      <c r="AZ70" s="1" t="s">
        <v>74</v>
      </c>
      <c r="BA70" s="1" t="s">
        <v>74</v>
      </c>
      <c r="BB70" s="1" t="s">
        <v>74</v>
      </c>
      <c r="BC70" s="1" t="s">
        <v>74</v>
      </c>
      <c r="BD70" s="1">
        <v>105173.0</v>
      </c>
      <c r="BE70" s="1" t="s">
        <v>823</v>
      </c>
      <c r="BF70" s="2" t="str">
        <f>HYPERLINK("http://dx.doi.org/10.1016/j.resconrec.2020.105173","http://dx.doi.org/10.1016/j.resconrec.2020.105173")</f>
        <v>http://dx.doi.org/10.1016/j.resconrec.2020.105173</v>
      </c>
      <c r="BG70" s="1" t="s">
        <v>74</v>
      </c>
      <c r="BH70" s="1" t="s">
        <v>74</v>
      </c>
      <c r="BI70" s="1" t="s">
        <v>74</v>
      </c>
      <c r="BJ70" s="1" t="s">
        <v>74</v>
      </c>
      <c r="BK70" s="1" t="s">
        <v>74</v>
      </c>
      <c r="BL70" s="1" t="s">
        <v>74</v>
      </c>
      <c r="BM70" s="1" t="s">
        <v>74</v>
      </c>
      <c r="BN70" s="1" t="s">
        <v>74</v>
      </c>
      <c r="BO70" s="1" t="s">
        <v>74</v>
      </c>
      <c r="BP70" s="1" t="s">
        <v>74</v>
      </c>
      <c r="BQ70" s="1" t="s">
        <v>74</v>
      </c>
      <c r="BR70" s="1" t="s">
        <v>74</v>
      </c>
      <c r="BS70" s="1" t="s">
        <v>824</v>
      </c>
      <c r="BT70" s="1" t="str">
        <f>HYPERLINK("https%3A%2F%2Fwww.webofscience.com%2Fwos%2Fwoscc%2Ffull-record%2FWOS:000592565500059","View Full Record in Web of Science")</f>
        <v>View Full Record in Web of Science</v>
      </c>
    </row>
    <row r="71" ht="12.75" customHeight="1">
      <c r="A71" s="1" t="s">
        <v>72</v>
      </c>
      <c r="B71" s="1" t="s">
        <v>825</v>
      </c>
      <c r="C71" s="1" t="s">
        <v>74</v>
      </c>
      <c r="D71" s="1" t="s">
        <v>74</v>
      </c>
      <c r="E71" s="1" t="s">
        <v>74</v>
      </c>
      <c r="F71" s="1" t="s">
        <v>826</v>
      </c>
      <c r="G71" s="1" t="s">
        <v>74</v>
      </c>
      <c r="H71" s="1" t="s">
        <v>74</v>
      </c>
      <c r="I71" s="1" t="s">
        <v>827</v>
      </c>
      <c r="J71" s="1" t="s">
        <v>828</v>
      </c>
      <c r="K71" s="1" t="s">
        <v>74</v>
      </c>
      <c r="L71" s="1" t="s">
        <v>74</v>
      </c>
      <c r="M71" s="1" t="s">
        <v>74</v>
      </c>
      <c r="N71" s="1" t="s">
        <v>74</v>
      </c>
      <c r="O71" s="1" t="s">
        <v>74</v>
      </c>
      <c r="P71" s="1" t="s">
        <v>74</v>
      </c>
      <c r="Q71" s="1" t="s">
        <v>74</v>
      </c>
      <c r="R71" s="1" t="s">
        <v>74</v>
      </c>
      <c r="S71" s="1" t="s">
        <v>74</v>
      </c>
      <c r="T71" s="1" t="s">
        <v>74</v>
      </c>
      <c r="U71" s="1" t="s">
        <v>74</v>
      </c>
      <c r="V71" s="1" t="s">
        <v>829</v>
      </c>
      <c r="W71" s="1" t="s">
        <v>74</v>
      </c>
      <c r="X71" s="1" t="s">
        <v>74</v>
      </c>
      <c r="Y71" s="1" t="s">
        <v>74</v>
      </c>
      <c r="Z71" s="1" t="s">
        <v>74</v>
      </c>
      <c r="AA71" s="1" t="s">
        <v>830</v>
      </c>
      <c r="AB71" s="1" t="s">
        <v>831</v>
      </c>
      <c r="AC71" s="1" t="s">
        <v>74</v>
      </c>
      <c r="AD71" s="1" t="s">
        <v>74</v>
      </c>
      <c r="AE71" s="1" t="s">
        <v>74</v>
      </c>
      <c r="AF71" s="1" t="s">
        <v>74</v>
      </c>
      <c r="AG71" s="1" t="s">
        <v>74</v>
      </c>
      <c r="AH71" s="1" t="s">
        <v>74</v>
      </c>
      <c r="AI71" s="1" t="s">
        <v>74</v>
      </c>
      <c r="AJ71" s="1" t="s">
        <v>74</v>
      </c>
      <c r="AK71" s="1" t="s">
        <v>74</v>
      </c>
      <c r="AL71" s="1" t="s">
        <v>74</v>
      </c>
      <c r="AM71" s="1" t="s">
        <v>74</v>
      </c>
      <c r="AN71" s="1" t="s">
        <v>74</v>
      </c>
      <c r="AO71" s="1" t="s">
        <v>832</v>
      </c>
      <c r="AP71" s="1" t="s">
        <v>833</v>
      </c>
      <c r="AQ71" s="1" t="s">
        <v>74</v>
      </c>
      <c r="AR71" s="1" t="s">
        <v>74</v>
      </c>
      <c r="AS71" s="1" t="s">
        <v>74</v>
      </c>
      <c r="AT71" s="1" t="s">
        <v>241</v>
      </c>
      <c r="AU71" s="1">
        <v>2021.0</v>
      </c>
      <c r="AV71" s="1">
        <v>16.0</v>
      </c>
      <c r="AW71" s="1">
        <v>3.0</v>
      </c>
      <c r="AX71" s="1" t="s">
        <v>74</v>
      </c>
      <c r="AY71" s="1" t="s">
        <v>74</v>
      </c>
      <c r="AZ71" s="1" t="s">
        <v>74</v>
      </c>
      <c r="BA71" s="1" t="s">
        <v>74</v>
      </c>
      <c r="BB71" s="1">
        <v>651.0</v>
      </c>
      <c r="BC71" s="1">
        <v>666.0</v>
      </c>
      <c r="BD71" s="1" t="s">
        <v>74</v>
      </c>
      <c r="BE71" s="1" t="s">
        <v>834</v>
      </c>
      <c r="BF71" s="2" t="str">
        <f>HYPERLINK("http://dx.doi.org/10.1007/s11481-020-09971-2","http://dx.doi.org/10.1007/s11481-020-09971-2")</f>
        <v>http://dx.doi.org/10.1007/s11481-020-09971-2</v>
      </c>
      <c r="BG71" s="1" t="s">
        <v>74</v>
      </c>
      <c r="BH71" s="1" t="s">
        <v>835</v>
      </c>
      <c r="BI71" s="1" t="s">
        <v>74</v>
      </c>
      <c r="BJ71" s="1" t="s">
        <v>74</v>
      </c>
      <c r="BK71" s="1" t="s">
        <v>74</v>
      </c>
      <c r="BL71" s="1" t="s">
        <v>74</v>
      </c>
      <c r="BM71" s="1" t="s">
        <v>74</v>
      </c>
      <c r="BN71" s="1">
        <v>3.3221983E7</v>
      </c>
      <c r="BO71" s="1" t="s">
        <v>74</v>
      </c>
      <c r="BP71" s="1" t="s">
        <v>74</v>
      </c>
      <c r="BQ71" s="1" t="s">
        <v>74</v>
      </c>
      <c r="BR71" s="1" t="s">
        <v>74</v>
      </c>
      <c r="BS71" s="1" t="s">
        <v>836</v>
      </c>
      <c r="BT71" s="1" t="str">
        <f>HYPERLINK("https%3A%2F%2Fwww.webofscience.com%2Fwos%2Fwoscc%2Ffull-record%2FWOS:000591244200001","View Full Record in Web of Science")</f>
        <v>View Full Record in Web of Science</v>
      </c>
    </row>
    <row r="72" ht="12.75" customHeight="1">
      <c r="A72" s="1" t="s">
        <v>72</v>
      </c>
      <c r="B72" s="1" t="s">
        <v>837</v>
      </c>
      <c r="C72" s="1" t="s">
        <v>74</v>
      </c>
      <c r="D72" s="1" t="s">
        <v>74</v>
      </c>
      <c r="E72" s="1" t="s">
        <v>74</v>
      </c>
      <c r="F72" s="1" t="s">
        <v>838</v>
      </c>
      <c r="G72" s="1" t="s">
        <v>74</v>
      </c>
      <c r="H72" s="1" t="s">
        <v>74</v>
      </c>
      <c r="I72" s="1" t="s">
        <v>839</v>
      </c>
      <c r="J72" s="1" t="s">
        <v>840</v>
      </c>
      <c r="K72" s="1" t="s">
        <v>74</v>
      </c>
      <c r="L72" s="1" t="s">
        <v>74</v>
      </c>
      <c r="M72" s="1" t="s">
        <v>74</v>
      </c>
      <c r="N72" s="1" t="s">
        <v>74</v>
      </c>
      <c r="O72" s="1" t="s">
        <v>74</v>
      </c>
      <c r="P72" s="1" t="s">
        <v>74</v>
      </c>
      <c r="Q72" s="1" t="s">
        <v>74</v>
      </c>
      <c r="R72" s="1" t="s">
        <v>74</v>
      </c>
      <c r="S72" s="1" t="s">
        <v>74</v>
      </c>
      <c r="T72" s="1" t="s">
        <v>74</v>
      </c>
      <c r="U72" s="1" t="s">
        <v>74</v>
      </c>
      <c r="V72" s="1" t="s">
        <v>841</v>
      </c>
      <c r="W72" s="1" t="s">
        <v>74</v>
      </c>
      <c r="X72" s="1" t="s">
        <v>74</v>
      </c>
      <c r="Y72" s="1" t="s">
        <v>74</v>
      </c>
      <c r="Z72" s="1" t="s">
        <v>74</v>
      </c>
      <c r="AA72" s="1" t="s">
        <v>842</v>
      </c>
      <c r="AB72" s="1" t="s">
        <v>843</v>
      </c>
      <c r="AC72" s="1" t="s">
        <v>74</v>
      </c>
      <c r="AD72" s="1" t="s">
        <v>74</v>
      </c>
      <c r="AE72" s="1" t="s">
        <v>74</v>
      </c>
      <c r="AF72" s="1" t="s">
        <v>74</v>
      </c>
      <c r="AG72" s="1" t="s">
        <v>74</v>
      </c>
      <c r="AH72" s="1" t="s">
        <v>74</v>
      </c>
      <c r="AI72" s="1" t="s">
        <v>74</v>
      </c>
      <c r="AJ72" s="1" t="s">
        <v>74</v>
      </c>
      <c r="AK72" s="1" t="s">
        <v>74</v>
      </c>
      <c r="AL72" s="1" t="s">
        <v>74</v>
      </c>
      <c r="AM72" s="1" t="s">
        <v>74</v>
      </c>
      <c r="AN72" s="1" t="s">
        <v>74</v>
      </c>
      <c r="AO72" s="1" t="s">
        <v>844</v>
      </c>
      <c r="AP72" s="1" t="s">
        <v>845</v>
      </c>
      <c r="AQ72" s="1" t="s">
        <v>74</v>
      </c>
      <c r="AR72" s="1" t="s">
        <v>74</v>
      </c>
      <c r="AS72" s="1" t="s">
        <v>74</v>
      </c>
      <c r="AT72" s="1" t="s">
        <v>139</v>
      </c>
      <c r="AU72" s="1">
        <v>2020.0</v>
      </c>
      <c r="AV72" s="1">
        <v>24.0</v>
      </c>
      <c r="AW72" s="1">
        <v>4.0</v>
      </c>
      <c r="AX72" s="1" t="s">
        <v>74</v>
      </c>
      <c r="AY72" s="1" t="s">
        <v>74</v>
      </c>
      <c r="AZ72" s="1" t="s">
        <v>74</v>
      </c>
      <c r="BA72" s="1" t="s">
        <v>74</v>
      </c>
      <c r="BB72" s="1">
        <v>366.0</v>
      </c>
      <c r="BC72" s="1">
        <v>373.0</v>
      </c>
      <c r="BD72" s="1" t="s">
        <v>74</v>
      </c>
      <c r="BE72" s="1" t="s">
        <v>846</v>
      </c>
      <c r="BF72" s="2" t="str">
        <f>HYPERLINK("http://dx.doi.org/10.14306/renhyd.24.4.1074","http://dx.doi.org/10.14306/renhyd.24.4.1074")</f>
        <v>http://dx.doi.org/10.14306/renhyd.24.4.1074</v>
      </c>
      <c r="BG72" s="1" t="s">
        <v>74</v>
      </c>
      <c r="BH72" s="1" t="s">
        <v>74</v>
      </c>
      <c r="BI72" s="1" t="s">
        <v>74</v>
      </c>
      <c r="BJ72" s="1" t="s">
        <v>74</v>
      </c>
      <c r="BK72" s="1" t="s">
        <v>74</v>
      </c>
      <c r="BL72" s="1" t="s">
        <v>74</v>
      </c>
      <c r="BM72" s="1" t="s">
        <v>74</v>
      </c>
      <c r="BN72" s="1" t="s">
        <v>74</v>
      </c>
      <c r="BO72" s="1" t="s">
        <v>74</v>
      </c>
      <c r="BP72" s="1" t="s">
        <v>74</v>
      </c>
      <c r="BQ72" s="1" t="s">
        <v>74</v>
      </c>
      <c r="BR72" s="1" t="s">
        <v>74</v>
      </c>
      <c r="BS72" s="1" t="s">
        <v>847</v>
      </c>
      <c r="BT72" s="1" t="str">
        <f>HYPERLINK("https%3A%2F%2Fwww.webofscience.com%2Fwos%2Fwoscc%2Ffull-record%2FWOS:000605104100008","View Full Record in Web of Science")</f>
        <v>View Full Record in Web of Science</v>
      </c>
    </row>
    <row r="73" ht="12.75" customHeight="1">
      <c r="A73" s="1" t="s">
        <v>72</v>
      </c>
      <c r="B73" s="1" t="s">
        <v>848</v>
      </c>
      <c r="C73" s="1" t="s">
        <v>74</v>
      </c>
      <c r="D73" s="1" t="s">
        <v>74</v>
      </c>
      <c r="E73" s="1" t="s">
        <v>74</v>
      </c>
      <c r="F73" s="1" t="s">
        <v>849</v>
      </c>
      <c r="G73" s="1" t="s">
        <v>74</v>
      </c>
      <c r="H73" s="1" t="s">
        <v>74</v>
      </c>
      <c r="I73" s="1" t="s">
        <v>850</v>
      </c>
      <c r="J73" s="1" t="s">
        <v>851</v>
      </c>
      <c r="K73" s="1" t="s">
        <v>74</v>
      </c>
      <c r="L73" s="1" t="s">
        <v>74</v>
      </c>
      <c r="M73" s="1" t="s">
        <v>74</v>
      </c>
      <c r="N73" s="1" t="s">
        <v>74</v>
      </c>
      <c r="O73" s="1" t="s">
        <v>74</v>
      </c>
      <c r="P73" s="1" t="s">
        <v>74</v>
      </c>
      <c r="Q73" s="1" t="s">
        <v>74</v>
      </c>
      <c r="R73" s="1" t="s">
        <v>74</v>
      </c>
      <c r="S73" s="1" t="s">
        <v>74</v>
      </c>
      <c r="T73" s="1" t="s">
        <v>74</v>
      </c>
      <c r="U73" s="1" t="s">
        <v>74</v>
      </c>
      <c r="V73" s="1" t="s">
        <v>852</v>
      </c>
      <c r="W73" s="1" t="s">
        <v>74</v>
      </c>
      <c r="X73" s="1" t="s">
        <v>74</v>
      </c>
      <c r="Y73" s="1" t="s">
        <v>74</v>
      </c>
      <c r="Z73" s="1" t="s">
        <v>74</v>
      </c>
      <c r="AA73" s="1" t="s">
        <v>853</v>
      </c>
      <c r="AB73" s="1" t="s">
        <v>854</v>
      </c>
      <c r="AC73" s="1" t="s">
        <v>74</v>
      </c>
      <c r="AD73" s="1" t="s">
        <v>74</v>
      </c>
      <c r="AE73" s="1" t="s">
        <v>74</v>
      </c>
      <c r="AF73" s="1" t="s">
        <v>74</v>
      </c>
      <c r="AG73" s="1" t="s">
        <v>74</v>
      </c>
      <c r="AH73" s="1" t="s">
        <v>74</v>
      </c>
      <c r="AI73" s="1" t="s">
        <v>74</v>
      </c>
      <c r="AJ73" s="1" t="s">
        <v>74</v>
      </c>
      <c r="AK73" s="1" t="s">
        <v>74</v>
      </c>
      <c r="AL73" s="1" t="s">
        <v>74</v>
      </c>
      <c r="AM73" s="1" t="s">
        <v>74</v>
      </c>
      <c r="AN73" s="1" t="s">
        <v>74</v>
      </c>
      <c r="AO73" s="1" t="s">
        <v>855</v>
      </c>
      <c r="AP73" s="1" t="s">
        <v>74</v>
      </c>
      <c r="AQ73" s="1" t="s">
        <v>74</v>
      </c>
      <c r="AR73" s="1" t="s">
        <v>74</v>
      </c>
      <c r="AS73" s="1" t="s">
        <v>74</v>
      </c>
      <c r="AT73" s="1" t="s">
        <v>385</v>
      </c>
      <c r="AU73" s="1">
        <v>2020.0</v>
      </c>
      <c r="AV73" s="1">
        <v>10.0</v>
      </c>
      <c r="AW73" s="1">
        <v>12.0</v>
      </c>
      <c r="AX73" s="1" t="s">
        <v>74</v>
      </c>
      <c r="AY73" s="1" t="s">
        <v>74</v>
      </c>
      <c r="AZ73" s="1" t="s">
        <v>74</v>
      </c>
      <c r="BA73" s="1" t="s">
        <v>74</v>
      </c>
      <c r="BB73" s="1">
        <v>5240.0</v>
      </c>
      <c r="BC73" s="1">
        <v>5250.0</v>
      </c>
      <c r="BD73" s="1" t="s">
        <v>74</v>
      </c>
      <c r="BE73" s="1" t="s">
        <v>856</v>
      </c>
      <c r="BF73" s="2" t="str">
        <f>HYPERLINK("http://dx.doi.org/10.1002/ece3.6208","http://dx.doi.org/10.1002/ece3.6208")</f>
        <v>http://dx.doi.org/10.1002/ece3.6208</v>
      </c>
      <c r="BG73" s="1" t="s">
        <v>74</v>
      </c>
      <c r="BH73" s="1" t="s">
        <v>857</v>
      </c>
      <c r="BI73" s="1" t="s">
        <v>74</v>
      </c>
      <c r="BJ73" s="1" t="s">
        <v>74</v>
      </c>
      <c r="BK73" s="1" t="s">
        <v>74</v>
      </c>
      <c r="BL73" s="1" t="s">
        <v>74</v>
      </c>
      <c r="BM73" s="1" t="s">
        <v>74</v>
      </c>
      <c r="BN73" s="1">
        <v>3.2607147E7</v>
      </c>
      <c r="BO73" s="1" t="s">
        <v>74</v>
      </c>
      <c r="BP73" s="1" t="s">
        <v>74</v>
      </c>
      <c r="BQ73" s="1" t="s">
        <v>74</v>
      </c>
      <c r="BR73" s="1" t="s">
        <v>74</v>
      </c>
      <c r="BS73" s="1" t="s">
        <v>858</v>
      </c>
      <c r="BT73" s="1" t="str">
        <f>HYPERLINK("https%3A%2F%2Fwww.webofscience.com%2Fwos%2Fwoscc%2Ffull-record%2FWOS:000536987400001","View Full Record in Web of Science")</f>
        <v>View Full Record in Web of Science</v>
      </c>
    </row>
    <row r="74" ht="12.75" customHeight="1">
      <c r="A74" s="1" t="s">
        <v>72</v>
      </c>
      <c r="B74" s="1" t="s">
        <v>859</v>
      </c>
      <c r="C74" s="1" t="s">
        <v>74</v>
      </c>
      <c r="D74" s="1" t="s">
        <v>74</v>
      </c>
      <c r="E74" s="1" t="s">
        <v>74</v>
      </c>
      <c r="F74" s="1" t="s">
        <v>860</v>
      </c>
      <c r="G74" s="1" t="s">
        <v>74</v>
      </c>
      <c r="H74" s="1" t="s">
        <v>74</v>
      </c>
      <c r="I74" s="1" t="s">
        <v>861</v>
      </c>
      <c r="J74" s="1" t="s">
        <v>862</v>
      </c>
      <c r="K74" s="1" t="s">
        <v>74</v>
      </c>
      <c r="L74" s="1" t="s">
        <v>74</v>
      </c>
      <c r="M74" s="1" t="s">
        <v>74</v>
      </c>
      <c r="N74" s="1" t="s">
        <v>74</v>
      </c>
      <c r="O74" s="1" t="s">
        <v>74</v>
      </c>
      <c r="P74" s="1" t="s">
        <v>74</v>
      </c>
      <c r="Q74" s="1" t="s">
        <v>74</v>
      </c>
      <c r="R74" s="1" t="s">
        <v>74</v>
      </c>
      <c r="S74" s="1" t="s">
        <v>74</v>
      </c>
      <c r="T74" s="1" t="s">
        <v>74</v>
      </c>
      <c r="U74" s="1" t="s">
        <v>74</v>
      </c>
      <c r="V74" s="1" t="s">
        <v>863</v>
      </c>
      <c r="W74" s="1" t="s">
        <v>74</v>
      </c>
      <c r="X74" s="1" t="s">
        <v>74</v>
      </c>
      <c r="Y74" s="1" t="s">
        <v>74</v>
      </c>
      <c r="Z74" s="1" t="s">
        <v>74</v>
      </c>
      <c r="AA74" s="1" t="s">
        <v>864</v>
      </c>
      <c r="AB74" s="1" t="s">
        <v>865</v>
      </c>
      <c r="AC74" s="1" t="s">
        <v>74</v>
      </c>
      <c r="AD74" s="1" t="s">
        <v>74</v>
      </c>
      <c r="AE74" s="1" t="s">
        <v>74</v>
      </c>
      <c r="AF74" s="1" t="s">
        <v>74</v>
      </c>
      <c r="AG74" s="1" t="s">
        <v>74</v>
      </c>
      <c r="AH74" s="1" t="s">
        <v>74</v>
      </c>
      <c r="AI74" s="1" t="s">
        <v>74</v>
      </c>
      <c r="AJ74" s="1" t="s">
        <v>74</v>
      </c>
      <c r="AK74" s="1" t="s">
        <v>74</v>
      </c>
      <c r="AL74" s="1" t="s">
        <v>74</v>
      </c>
      <c r="AM74" s="1" t="s">
        <v>74</v>
      </c>
      <c r="AN74" s="1" t="s">
        <v>74</v>
      </c>
      <c r="AO74" s="1" t="s">
        <v>866</v>
      </c>
      <c r="AP74" s="1" t="s">
        <v>867</v>
      </c>
      <c r="AQ74" s="1" t="s">
        <v>74</v>
      </c>
      <c r="AR74" s="1" t="s">
        <v>74</v>
      </c>
      <c r="AS74" s="1" t="s">
        <v>74</v>
      </c>
      <c r="AT74" s="1" t="s">
        <v>94</v>
      </c>
      <c r="AU74" s="1">
        <v>2020.0</v>
      </c>
      <c r="AV74" s="1">
        <v>20.0</v>
      </c>
      <c r="AW74" s="1">
        <v>5.0</v>
      </c>
      <c r="AX74" s="1" t="s">
        <v>74</v>
      </c>
      <c r="AY74" s="1" t="s">
        <v>74</v>
      </c>
      <c r="AZ74" s="1" t="s">
        <v>74</v>
      </c>
      <c r="BA74" s="1" t="s">
        <v>74</v>
      </c>
      <c r="BB74" s="1">
        <v>1111.0</v>
      </c>
      <c r="BC74" s="1">
        <v>1126.0</v>
      </c>
      <c r="BD74" s="1" t="s">
        <v>74</v>
      </c>
      <c r="BE74" s="1" t="s">
        <v>868</v>
      </c>
      <c r="BF74" s="2" t="str">
        <f>HYPERLINK("http://dx.doi.org/10.4209/aaqr.2019.08.0374","http://dx.doi.org/10.4209/aaqr.2019.08.0374")</f>
        <v>http://dx.doi.org/10.4209/aaqr.2019.08.0374</v>
      </c>
      <c r="BG74" s="1" t="s">
        <v>74</v>
      </c>
      <c r="BH74" s="1" t="s">
        <v>74</v>
      </c>
      <c r="BI74" s="1" t="s">
        <v>74</v>
      </c>
      <c r="BJ74" s="1" t="s">
        <v>74</v>
      </c>
      <c r="BK74" s="1" t="s">
        <v>74</v>
      </c>
      <c r="BL74" s="1" t="s">
        <v>74</v>
      </c>
      <c r="BM74" s="1" t="s">
        <v>74</v>
      </c>
      <c r="BN74" s="1" t="s">
        <v>74</v>
      </c>
      <c r="BO74" s="1" t="s">
        <v>74</v>
      </c>
      <c r="BP74" s="1" t="s">
        <v>74</v>
      </c>
      <c r="BQ74" s="1" t="s">
        <v>74</v>
      </c>
      <c r="BR74" s="1" t="s">
        <v>74</v>
      </c>
      <c r="BS74" s="1" t="s">
        <v>869</v>
      </c>
      <c r="BT74" s="1" t="str">
        <f>HYPERLINK("https%3A%2F%2Fwww.webofscience.com%2Fwos%2Fwoscc%2Ffull-record%2FWOS:000530887900019","View Full Record in Web of Science")</f>
        <v>View Full Record in Web of Science</v>
      </c>
    </row>
    <row r="75" ht="12.75" customHeight="1">
      <c r="A75" s="1" t="s">
        <v>72</v>
      </c>
      <c r="B75" s="1" t="s">
        <v>870</v>
      </c>
      <c r="C75" s="1" t="s">
        <v>74</v>
      </c>
      <c r="D75" s="1" t="s">
        <v>74</v>
      </c>
      <c r="E75" s="1" t="s">
        <v>74</v>
      </c>
      <c r="F75" s="1" t="s">
        <v>871</v>
      </c>
      <c r="G75" s="1" t="s">
        <v>74</v>
      </c>
      <c r="H75" s="1" t="s">
        <v>74</v>
      </c>
      <c r="I75" s="1" t="s">
        <v>872</v>
      </c>
      <c r="J75" s="1" t="s">
        <v>873</v>
      </c>
      <c r="K75" s="1" t="s">
        <v>74</v>
      </c>
      <c r="L75" s="1" t="s">
        <v>74</v>
      </c>
      <c r="M75" s="1" t="s">
        <v>74</v>
      </c>
      <c r="N75" s="1" t="s">
        <v>74</v>
      </c>
      <c r="O75" s="1" t="s">
        <v>74</v>
      </c>
      <c r="P75" s="1" t="s">
        <v>74</v>
      </c>
      <c r="Q75" s="1" t="s">
        <v>74</v>
      </c>
      <c r="R75" s="1" t="s">
        <v>74</v>
      </c>
      <c r="S75" s="1" t="s">
        <v>74</v>
      </c>
      <c r="T75" s="1" t="s">
        <v>74</v>
      </c>
      <c r="U75" s="1" t="s">
        <v>74</v>
      </c>
      <c r="V75" s="1" t="s">
        <v>874</v>
      </c>
      <c r="W75" s="1" t="s">
        <v>74</v>
      </c>
      <c r="X75" s="1" t="s">
        <v>74</v>
      </c>
      <c r="Y75" s="1" t="s">
        <v>74</v>
      </c>
      <c r="Z75" s="1" t="s">
        <v>74</v>
      </c>
      <c r="AA75" s="1" t="s">
        <v>74</v>
      </c>
      <c r="AB75" s="1" t="s">
        <v>74</v>
      </c>
      <c r="AC75" s="1" t="s">
        <v>74</v>
      </c>
      <c r="AD75" s="1" t="s">
        <v>74</v>
      </c>
      <c r="AE75" s="1" t="s">
        <v>74</v>
      </c>
      <c r="AF75" s="1" t="s">
        <v>74</v>
      </c>
      <c r="AG75" s="1" t="s">
        <v>74</v>
      </c>
      <c r="AH75" s="1" t="s">
        <v>74</v>
      </c>
      <c r="AI75" s="1" t="s">
        <v>74</v>
      </c>
      <c r="AJ75" s="1" t="s">
        <v>74</v>
      </c>
      <c r="AK75" s="1" t="s">
        <v>74</v>
      </c>
      <c r="AL75" s="1" t="s">
        <v>74</v>
      </c>
      <c r="AM75" s="1" t="s">
        <v>74</v>
      </c>
      <c r="AN75" s="1" t="s">
        <v>74</v>
      </c>
      <c r="AO75" s="1" t="s">
        <v>875</v>
      </c>
      <c r="AP75" s="1" t="s">
        <v>876</v>
      </c>
      <c r="AQ75" s="1" t="s">
        <v>74</v>
      </c>
      <c r="AR75" s="1" t="s">
        <v>74</v>
      </c>
      <c r="AS75" s="1" t="s">
        <v>74</v>
      </c>
      <c r="AT75" s="1" t="s">
        <v>877</v>
      </c>
      <c r="AU75" s="1">
        <v>2019.0</v>
      </c>
      <c r="AV75" s="1">
        <v>147.0</v>
      </c>
      <c r="AW75" s="1">
        <v>8.0</v>
      </c>
      <c r="AX75" s="1" t="s">
        <v>74</v>
      </c>
      <c r="AY75" s="1" t="s">
        <v>74</v>
      </c>
      <c r="AZ75" s="1" t="s">
        <v>74</v>
      </c>
      <c r="BA75" s="1" t="s">
        <v>74</v>
      </c>
      <c r="BB75" s="1">
        <v>1078.0</v>
      </c>
      <c r="BC75" s="1">
        <v>1081.0</v>
      </c>
      <c r="BD75" s="1" t="s">
        <v>74</v>
      </c>
      <c r="BE75" s="1" t="s">
        <v>74</v>
      </c>
      <c r="BF75" s="1" t="s">
        <v>74</v>
      </c>
      <c r="BG75" s="1" t="s">
        <v>74</v>
      </c>
      <c r="BH75" s="1" t="s">
        <v>74</v>
      </c>
      <c r="BI75" s="1" t="s">
        <v>74</v>
      </c>
      <c r="BJ75" s="1" t="s">
        <v>74</v>
      </c>
      <c r="BK75" s="1" t="s">
        <v>74</v>
      </c>
      <c r="BL75" s="1" t="s">
        <v>74</v>
      </c>
      <c r="BM75" s="1" t="s">
        <v>74</v>
      </c>
      <c r="BN75" s="1">
        <v>3.1859975E7</v>
      </c>
      <c r="BO75" s="1" t="s">
        <v>74</v>
      </c>
      <c r="BP75" s="1" t="s">
        <v>74</v>
      </c>
      <c r="BQ75" s="1" t="s">
        <v>74</v>
      </c>
      <c r="BR75" s="1" t="s">
        <v>74</v>
      </c>
      <c r="BS75" s="1" t="s">
        <v>878</v>
      </c>
      <c r="BT75" s="1" t="str">
        <f>HYPERLINK("https%3A%2F%2Fwww.webofscience.com%2Fwos%2Fwoscc%2Ffull-record%2FWOS:000493302200018","View Full Record in Web of Science")</f>
        <v>View Full Record in Web of Science</v>
      </c>
    </row>
    <row r="76" ht="12.75" customHeight="1">
      <c r="A76" s="1" t="s">
        <v>154</v>
      </c>
      <c r="B76" s="1" t="s">
        <v>879</v>
      </c>
      <c r="C76" s="1" t="s">
        <v>74</v>
      </c>
      <c r="D76" s="1" t="s">
        <v>74</v>
      </c>
      <c r="E76" s="1" t="s">
        <v>880</v>
      </c>
      <c r="F76" s="1" t="s">
        <v>881</v>
      </c>
      <c r="G76" s="1" t="s">
        <v>74</v>
      </c>
      <c r="H76" s="1" t="s">
        <v>74</v>
      </c>
      <c r="I76" s="1" t="s">
        <v>882</v>
      </c>
      <c r="J76" s="1" t="s">
        <v>883</v>
      </c>
      <c r="K76" s="1" t="s">
        <v>74</v>
      </c>
      <c r="L76" s="1" t="s">
        <v>74</v>
      </c>
      <c r="M76" s="1" t="s">
        <v>74</v>
      </c>
      <c r="N76" s="1" t="s">
        <v>74</v>
      </c>
      <c r="O76" s="1" t="s">
        <v>884</v>
      </c>
      <c r="P76" s="1" t="s">
        <v>885</v>
      </c>
      <c r="Q76" s="1" t="s">
        <v>886</v>
      </c>
      <c r="R76" s="1" t="s">
        <v>887</v>
      </c>
      <c r="S76" s="1" t="s">
        <v>74</v>
      </c>
      <c r="T76" s="1" t="s">
        <v>74</v>
      </c>
      <c r="U76" s="1" t="s">
        <v>74</v>
      </c>
      <c r="V76" s="1" t="s">
        <v>888</v>
      </c>
      <c r="W76" s="1" t="s">
        <v>74</v>
      </c>
      <c r="X76" s="1" t="s">
        <v>74</v>
      </c>
      <c r="Y76" s="1" t="s">
        <v>74</v>
      </c>
      <c r="Z76" s="1" t="s">
        <v>74</v>
      </c>
      <c r="AA76" s="1" t="s">
        <v>74</v>
      </c>
      <c r="AB76" s="1" t="s">
        <v>80</v>
      </c>
      <c r="AC76" s="1" t="s">
        <v>74</v>
      </c>
      <c r="AD76" s="1" t="s">
        <v>74</v>
      </c>
      <c r="AE76" s="1" t="s">
        <v>74</v>
      </c>
      <c r="AF76" s="1" t="s">
        <v>74</v>
      </c>
      <c r="AG76" s="1" t="s">
        <v>74</v>
      </c>
      <c r="AH76" s="1" t="s">
        <v>74</v>
      </c>
      <c r="AI76" s="1" t="s">
        <v>74</v>
      </c>
      <c r="AJ76" s="1" t="s">
        <v>74</v>
      </c>
      <c r="AK76" s="1" t="s">
        <v>74</v>
      </c>
      <c r="AL76" s="1" t="s">
        <v>74</v>
      </c>
      <c r="AM76" s="1" t="s">
        <v>74</v>
      </c>
      <c r="AN76" s="1" t="s">
        <v>74</v>
      </c>
      <c r="AO76" s="1" t="s">
        <v>74</v>
      </c>
      <c r="AP76" s="1" t="s">
        <v>74</v>
      </c>
      <c r="AQ76" s="1" t="s">
        <v>889</v>
      </c>
      <c r="AR76" s="1" t="s">
        <v>74</v>
      </c>
      <c r="AS76" s="1" t="s">
        <v>74</v>
      </c>
      <c r="AT76" s="1" t="s">
        <v>74</v>
      </c>
      <c r="AU76" s="1">
        <v>2019.0</v>
      </c>
      <c r="AV76" s="1" t="s">
        <v>74</v>
      </c>
      <c r="AW76" s="1" t="s">
        <v>74</v>
      </c>
      <c r="AX76" s="1" t="s">
        <v>74</v>
      </c>
      <c r="AY76" s="1" t="s">
        <v>74</v>
      </c>
      <c r="AZ76" s="1" t="s">
        <v>74</v>
      </c>
      <c r="BA76" s="1" t="s">
        <v>74</v>
      </c>
      <c r="BB76" s="1" t="s">
        <v>74</v>
      </c>
      <c r="BC76" s="1" t="s">
        <v>74</v>
      </c>
      <c r="BD76" s="1" t="s">
        <v>890</v>
      </c>
      <c r="BE76" s="1" t="s">
        <v>74</v>
      </c>
      <c r="BF76" s="1" t="s">
        <v>74</v>
      </c>
      <c r="BG76" s="1" t="s">
        <v>74</v>
      </c>
      <c r="BH76" s="1" t="s">
        <v>74</v>
      </c>
      <c r="BI76" s="1" t="s">
        <v>74</v>
      </c>
      <c r="BJ76" s="1" t="s">
        <v>74</v>
      </c>
      <c r="BK76" s="1" t="s">
        <v>74</v>
      </c>
      <c r="BL76" s="1" t="s">
        <v>74</v>
      </c>
      <c r="BM76" s="1" t="s">
        <v>74</v>
      </c>
      <c r="BN76" s="1" t="s">
        <v>74</v>
      </c>
      <c r="BO76" s="1" t="s">
        <v>74</v>
      </c>
      <c r="BP76" s="1" t="s">
        <v>74</v>
      </c>
      <c r="BQ76" s="1" t="s">
        <v>74</v>
      </c>
      <c r="BR76" s="1" t="s">
        <v>74</v>
      </c>
      <c r="BS76" s="1" t="s">
        <v>891</v>
      </c>
      <c r="BT76" s="1" t="str">
        <f>HYPERLINK("https%3A%2F%2Fwww.webofscience.com%2Fwos%2Fwoscc%2Ffull-record%2FWOS:000465191000041","View Full Record in Web of Science")</f>
        <v>View Full Record in Web of Science</v>
      </c>
    </row>
    <row r="77" ht="12.75" customHeight="1">
      <c r="A77" s="1" t="s">
        <v>72</v>
      </c>
      <c r="B77" s="1" t="s">
        <v>892</v>
      </c>
      <c r="C77" s="1" t="s">
        <v>74</v>
      </c>
      <c r="D77" s="1" t="s">
        <v>74</v>
      </c>
      <c r="E77" s="1" t="s">
        <v>74</v>
      </c>
      <c r="F77" s="1" t="s">
        <v>893</v>
      </c>
      <c r="G77" s="1" t="s">
        <v>74</v>
      </c>
      <c r="H77" s="1" t="s">
        <v>74</v>
      </c>
      <c r="I77" s="1" t="s">
        <v>894</v>
      </c>
      <c r="J77" s="1" t="s">
        <v>895</v>
      </c>
      <c r="K77" s="1" t="s">
        <v>74</v>
      </c>
      <c r="L77" s="1" t="s">
        <v>74</v>
      </c>
      <c r="M77" s="1" t="s">
        <v>74</v>
      </c>
      <c r="N77" s="1" t="s">
        <v>74</v>
      </c>
      <c r="O77" s="1" t="s">
        <v>74</v>
      </c>
      <c r="P77" s="1" t="s">
        <v>74</v>
      </c>
      <c r="Q77" s="1" t="s">
        <v>74</v>
      </c>
      <c r="R77" s="1" t="s">
        <v>74</v>
      </c>
      <c r="S77" s="1" t="s">
        <v>74</v>
      </c>
      <c r="T77" s="1" t="s">
        <v>74</v>
      </c>
      <c r="U77" s="1" t="s">
        <v>74</v>
      </c>
      <c r="V77" s="1" t="s">
        <v>896</v>
      </c>
      <c r="W77" s="1" t="s">
        <v>74</v>
      </c>
      <c r="X77" s="1" t="s">
        <v>74</v>
      </c>
      <c r="Y77" s="1" t="s">
        <v>74</v>
      </c>
      <c r="Z77" s="1" t="s">
        <v>74</v>
      </c>
      <c r="AA77" s="1" t="s">
        <v>897</v>
      </c>
      <c r="AB77" s="1" t="s">
        <v>898</v>
      </c>
      <c r="AC77" s="1" t="s">
        <v>74</v>
      </c>
      <c r="AD77" s="1" t="s">
        <v>74</v>
      </c>
      <c r="AE77" s="1" t="s">
        <v>74</v>
      </c>
      <c r="AF77" s="1" t="s">
        <v>74</v>
      </c>
      <c r="AG77" s="1" t="s">
        <v>74</v>
      </c>
      <c r="AH77" s="1" t="s">
        <v>74</v>
      </c>
      <c r="AI77" s="1" t="s">
        <v>74</v>
      </c>
      <c r="AJ77" s="1" t="s">
        <v>74</v>
      </c>
      <c r="AK77" s="1" t="s">
        <v>74</v>
      </c>
      <c r="AL77" s="1" t="s">
        <v>74</v>
      </c>
      <c r="AM77" s="1" t="s">
        <v>74</v>
      </c>
      <c r="AN77" s="1" t="s">
        <v>74</v>
      </c>
      <c r="AO77" s="1" t="s">
        <v>899</v>
      </c>
      <c r="AP77" s="1" t="s">
        <v>900</v>
      </c>
      <c r="AQ77" s="1" t="s">
        <v>74</v>
      </c>
      <c r="AR77" s="1" t="s">
        <v>74</v>
      </c>
      <c r="AS77" s="1" t="s">
        <v>74</v>
      </c>
      <c r="AT77" s="1" t="s">
        <v>83</v>
      </c>
      <c r="AU77" s="1">
        <v>2018.0</v>
      </c>
      <c r="AV77" s="1">
        <v>46.0</v>
      </c>
      <c r="AW77" s="1">
        <v>6.0</v>
      </c>
      <c r="AX77" s="1" t="s">
        <v>74</v>
      </c>
      <c r="AY77" s="1" t="s">
        <v>74</v>
      </c>
      <c r="AZ77" s="1" t="s">
        <v>74</v>
      </c>
      <c r="BA77" s="1" t="s">
        <v>74</v>
      </c>
      <c r="BB77" s="1">
        <v>973.0</v>
      </c>
      <c r="BC77" s="1">
        <v>988.0</v>
      </c>
      <c r="BD77" s="1" t="s">
        <v>74</v>
      </c>
      <c r="BE77" s="1" t="s">
        <v>901</v>
      </c>
      <c r="BF77" s="2" t="str">
        <f>HYPERLINK("http://dx.doi.org/10.1007/s11251-018-9465-1","http://dx.doi.org/10.1007/s11251-018-9465-1")</f>
        <v>http://dx.doi.org/10.1007/s11251-018-9465-1</v>
      </c>
      <c r="BG77" s="1" t="s">
        <v>74</v>
      </c>
      <c r="BH77" s="1" t="s">
        <v>74</v>
      </c>
      <c r="BI77" s="1" t="s">
        <v>74</v>
      </c>
      <c r="BJ77" s="1" t="s">
        <v>74</v>
      </c>
      <c r="BK77" s="1" t="s">
        <v>74</v>
      </c>
      <c r="BL77" s="1" t="s">
        <v>74</v>
      </c>
      <c r="BM77" s="1" t="s">
        <v>74</v>
      </c>
      <c r="BN77" s="1" t="s">
        <v>74</v>
      </c>
      <c r="BO77" s="1" t="s">
        <v>74</v>
      </c>
      <c r="BP77" s="1" t="s">
        <v>74</v>
      </c>
      <c r="BQ77" s="1" t="s">
        <v>74</v>
      </c>
      <c r="BR77" s="1" t="s">
        <v>74</v>
      </c>
      <c r="BS77" s="1" t="s">
        <v>902</v>
      </c>
      <c r="BT77" s="1" t="str">
        <f>HYPERLINK("https%3A%2F%2Fwww.webofscience.com%2Fwos%2Fwoscc%2Ffull-record%2FWOS:000450933800007","View Full Record in Web of Science")</f>
        <v>View Full Record in Web of Science</v>
      </c>
    </row>
    <row r="78" ht="12.75" customHeight="1">
      <c r="A78" s="1" t="s">
        <v>72</v>
      </c>
      <c r="B78" s="1" t="s">
        <v>903</v>
      </c>
      <c r="C78" s="1" t="s">
        <v>74</v>
      </c>
      <c r="D78" s="1" t="s">
        <v>74</v>
      </c>
      <c r="E78" s="1" t="s">
        <v>74</v>
      </c>
      <c r="F78" s="1" t="s">
        <v>904</v>
      </c>
      <c r="G78" s="1" t="s">
        <v>74</v>
      </c>
      <c r="H78" s="1" t="s">
        <v>74</v>
      </c>
      <c r="I78" s="1" t="s">
        <v>905</v>
      </c>
      <c r="J78" s="1" t="s">
        <v>906</v>
      </c>
      <c r="K78" s="1" t="s">
        <v>74</v>
      </c>
      <c r="L78" s="1" t="s">
        <v>74</v>
      </c>
      <c r="M78" s="1" t="s">
        <v>74</v>
      </c>
      <c r="N78" s="1" t="s">
        <v>74</v>
      </c>
      <c r="O78" s="1" t="s">
        <v>74</v>
      </c>
      <c r="P78" s="1" t="s">
        <v>74</v>
      </c>
      <c r="Q78" s="1" t="s">
        <v>74</v>
      </c>
      <c r="R78" s="1" t="s">
        <v>74</v>
      </c>
      <c r="S78" s="1" t="s">
        <v>74</v>
      </c>
      <c r="T78" s="1" t="s">
        <v>74</v>
      </c>
      <c r="U78" s="1" t="s">
        <v>74</v>
      </c>
      <c r="V78" s="1" t="s">
        <v>907</v>
      </c>
      <c r="W78" s="1" t="s">
        <v>74</v>
      </c>
      <c r="X78" s="1" t="s">
        <v>74</v>
      </c>
      <c r="Y78" s="1" t="s">
        <v>74</v>
      </c>
      <c r="Z78" s="1" t="s">
        <v>74</v>
      </c>
      <c r="AA78" s="1" t="s">
        <v>908</v>
      </c>
      <c r="AB78" s="1" t="s">
        <v>909</v>
      </c>
      <c r="AC78" s="1" t="s">
        <v>74</v>
      </c>
      <c r="AD78" s="1" t="s">
        <v>74</v>
      </c>
      <c r="AE78" s="1" t="s">
        <v>74</v>
      </c>
      <c r="AF78" s="1" t="s">
        <v>74</v>
      </c>
      <c r="AG78" s="1" t="s">
        <v>74</v>
      </c>
      <c r="AH78" s="1" t="s">
        <v>74</v>
      </c>
      <c r="AI78" s="1" t="s">
        <v>74</v>
      </c>
      <c r="AJ78" s="1" t="s">
        <v>74</v>
      </c>
      <c r="AK78" s="1" t="s">
        <v>74</v>
      </c>
      <c r="AL78" s="1" t="s">
        <v>74</v>
      </c>
      <c r="AM78" s="1" t="s">
        <v>74</v>
      </c>
      <c r="AN78" s="1" t="s">
        <v>74</v>
      </c>
      <c r="AO78" s="1" t="s">
        <v>910</v>
      </c>
      <c r="AP78" s="1" t="s">
        <v>911</v>
      </c>
      <c r="AQ78" s="1" t="s">
        <v>74</v>
      </c>
      <c r="AR78" s="1" t="s">
        <v>74</v>
      </c>
      <c r="AS78" s="1" t="s">
        <v>74</v>
      </c>
      <c r="AT78" s="1" t="s">
        <v>74</v>
      </c>
      <c r="AU78" s="1">
        <v>2018.0</v>
      </c>
      <c r="AV78" s="1">
        <v>32.0</v>
      </c>
      <c r="AW78" s="1">
        <v>2.0</v>
      </c>
      <c r="AX78" s="1" t="s">
        <v>74</v>
      </c>
      <c r="AY78" s="1" t="s">
        <v>74</v>
      </c>
      <c r="AZ78" s="1" t="s">
        <v>74</v>
      </c>
      <c r="BA78" s="1" t="s">
        <v>74</v>
      </c>
      <c r="BB78" s="1">
        <v>826.0</v>
      </c>
      <c r="BC78" s="1">
        <v>838.0</v>
      </c>
      <c r="BD78" s="1" t="s">
        <v>74</v>
      </c>
      <c r="BE78" s="1" t="s">
        <v>912</v>
      </c>
      <c r="BF78" s="2" t="str">
        <f>HYPERLINK("http://dx.doi.org/10.1137/17M1116696","http://dx.doi.org/10.1137/17M1116696")</f>
        <v>http://dx.doi.org/10.1137/17M1116696</v>
      </c>
      <c r="BG78" s="1" t="s">
        <v>74</v>
      </c>
      <c r="BH78" s="1" t="s">
        <v>74</v>
      </c>
      <c r="BI78" s="1" t="s">
        <v>74</v>
      </c>
      <c r="BJ78" s="1" t="s">
        <v>74</v>
      </c>
      <c r="BK78" s="1" t="s">
        <v>74</v>
      </c>
      <c r="BL78" s="1" t="s">
        <v>74</v>
      </c>
      <c r="BM78" s="1" t="s">
        <v>74</v>
      </c>
      <c r="BN78" s="1" t="s">
        <v>74</v>
      </c>
      <c r="BO78" s="1" t="s">
        <v>74</v>
      </c>
      <c r="BP78" s="1" t="s">
        <v>74</v>
      </c>
      <c r="BQ78" s="1" t="s">
        <v>74</v>
      </c>
      <c r="BR78" s="1" t="s">
        <v>74</v>
      </c>
      <c r="BS78" s="1" t="s">
        <v>913</v>
      </c>
      <c r="BT78" s="1" t="str">
        <f>HYPERLINK("https%3A%2F%2Fwww.webofscience.com%2Fwos%2Fwoscc%2Ffull-record%2FWOS:000436975900002","View Full Record in Web of Science")</f>
        <v>View Full Record in Web of Science</v>
      </c>
    </row>
    <row r="79" ht="12.75" customHeight="1">
      <c r="A79" s="1" t="s">
        <v>154</v>
      </c>
      <c r="B79" s="1" t="s">
        <v>914</v>
      </c>
      <c r="C79" s="1" t="s">
        <v>74</v>
      </c>
      <c r="D79" s="1" t="s">
        <v>74</v>
      </c>
      <c r="E79" s="1" t="s">
        <v>880</v>
      </c>
      <c r="F79" s="1" t="s">
        <v>915</v>
      </c>
      <c r="G79" s="1" t="s">
        <v>74</v>
      </c>
      <c r="H79" s="1" t="s">
        <v>74</v>
      </c>
      <c r="I79" s="1" t="s">
        <v>916</v>
      </c>
      <c r="J79" s="1" t="s">
        <v>917</v>
      </c>
      <c r="K79" s="1" t="s">
        <v>74</v>
      </c>
      <c r="L79" s="1" t="s">
        <v>74</v>
      </c>
      <c r="M79" s="1" t="s">
        <v>74</v>
      </c>
      <c r="N79" s="1" t="s">
        <v>74</v>
      </c>
      <c r="O79" s="1" t="s">
        <v>918</v>
      </c>
      <c r="P79" s="1" t="s">
        <v>919</v>
      </c>
      <c r="Q79" s="1" t="s">
        <v>920</v>
      </c>
      <c r="R79" s="1" t="s">
        <v>887</v>
      </c>
      <c r="S79" s="1" t="s">
        <v>74</v>
      </c>
      <c r="T79" s="1" t="s">
        <v>74</v>
      </c>
      <c r="U79" s="1" t="s">
        <v>74</v>
      </c>
      <c r="V79" s="1" t="s">
        <v>921</v>
      </c>
      <c r="W79" s="1" t="s">
        <v>74</v>
      </c>
      <c r="X79" s="1" t="s">
        <v>74</v>
      </c>
      <c r="Y79" s="1" t="s">
        <v>74</v>
      </c>
      <c r="Z79" s="1" t="s">
        <v>74</v>
      </c>
      <c r="AA79" s="1" t="s">
        <v>922</v>
      </c>
      <c r="AB79" s="1" t="s">
        <v>80</v>
      </c>
      <c r="AC79" s="1" t="s">
        <v>74</v>
      </c>
      <c r="AD79" s="1" t="s">
        <v>74</v>
      </c>
      <c r="AE79" s="1" t="s">
        <v>74</v>
      </c>
      <c r="AF79" s="1" t="s">
        <v>74</v>
      </c>
      <c r="AG79" s="1" t="s">
        <v>74</v>
      </c>
      <c r="AH79" s="1" t="s">
        <v>74</v>
      </c>
      <c r="AI79" s="1" t="s">
        <v>74</v>
      </c>
      <c r="AJ79" s="1" t="s">
        <v>74</v>
      </c>
      <c r="AK79" s="1" t="s">
        <v>74</v>
      </c>
      <c r="AL79" s="1" t="s">
        <v>74</v>
      </c>
      <c r="AM79" s="1" t="s">
        <v>74</v>
      </c>
      <c r="AN79" s="1" t="s">
        <v>74</v>
      </c>
      <c r="AO79" s="1" t="s">
        <v>74</v>
      </c>
      <c r="AP79" s="1" t="s">
        <v>74</v>
      </c>
      <c r="AQ79" s="1" t="s">
        <v>923</v>
      </c>
      <c r="AR79" s="1" t="s">
        <v>74</v>
      </c>
      <c r="AS79" s="1" t="s">
        <v>74</v>
      </c>
      <c r="AT79" s="1" t="s">
        <v>74</v>
      </c>
      <c r="AU79" s="1">
        <v>2017.0</v>
      </c>
      <c r="AV79" s="1" t="s">
        <v>74</v>
      </c>
      <c r="AW79" s="1" t="s">
        <v>74</v>
      </c>
      <c r="AX79" s="1" t="s">
        <v>74</v>
      </c>
      <c r="AY79" s="1" t="s">
        <v>74</v>
      </c>
      <c r="AZ79" s="1" t="s">
        <v>74</v>
      </c>
      <c r="BA79" s="1" t="s">
        <v>74</v>
      </c>
      <c r="BB79" s="1" t="s">
        <v>74</v>
      </c>
      <c r="BC79" s="1" t="s">
        <v>74</v>
      </c>
      <c r="BD79" s="1" t="s">
        <v>924</v>
      </c>
      <c r="BE79" s="1" t="s">
        <v>74</v>
      </c>
      <c r="BF79" s="1" t="s">
        <v>74</v>
      </c>
      <c r="BG79" s="1" t="s">
        <v>74</v>
      </c>
      <c r="BH79" s="1" t="s">
        <v>74</v>
      </c>
      <c r="BI79" s="1" t="s">
        <v>74</v>
      </c>
      <c r="BJ79" s="1" t="s">
        <v>74</v>
      </c>
      <c r="BK79" s="1" t="s">
        <v>74</v>
      </c>
      <c r="BL79" s="1" t="s">
        <v>74</v>
      </c>
      <c r="BM79" s="1" t="s">
        <v>74</v>
      </c>
      <c r="BN79" s="1" t="s">
        <v>74</v>
      </c>
      <c r="BO79" s="1" t="s">
        <v>74</v>
      </c>
      <c r="BP79" s="1" t="s">
        <v>74</v>
      </c>
      <c r="BQ79" s="1" t="s">
        <v>74</v>
      </c>
      <c r="BR79" s="1" t="s">
        <v>74</v>
      </c>
      <c r="BS79" s="1" t="s">
        <v>925</v>
      </c>
      <c r="BT79" s="1" t="str">
        <f>HYPERLINK("https%3A%2F%2Fwww.webofscience.com%2Fwos%2Fwoscc%2Ffull-record%2FWOS:000400877800030","View Full Record in Web of Science")</f>
        <v>View Full Record in Web of Science</v>
      </c>
    </row>
    <row r="80" ht="12.75" customHeight="1">
      <c r="A80" s="1" t="s">
        <v>72</v>
      </c>
      <c r="B80" s="1" t="s">
        <v>926</v>
      </c>
      <c r="C80" s="1" t="s">
        <v>74</v>
      </c>
      <c r="D80" s="1" t="s">
        <v>74</v>
      </c>
      <c r="E80" s="1" t="s">
        <v>74</v>
      </c>
      <c r="F80" s="1" t="s">
        <v>927</v>
      </c>
      <c r="G80" s="1" t="s">
        <v>74</v>
      </c>
      <c r="H80" s="1" t="s">
        <v>74</v>
      </c>
      <c r="I80" s="1" t="s">
        <v>928</v>
      </c>
      <c r="J80" s="1" t="s">
        <v>929</v>
      </c>
      <c r="K80" s="1" t="s">
        <v>74</v>
      </c>
      <c r="L80" s="1" t="s">
        <v>74</v>
      </c>
      <c r="M80" s="1" t="s">
        <v>74</v>
      </c>
      <c r="N80" s="1" t="s">
        <v>74</v>
      </c>
      <c r="O80" s="1" t="s">
        <v>74</v>
      </c>
      <c r="P80" s="1" t="s">
        <v>74</v>
      </c>
      <c r="Q80" s="1" t="s">
        <v>74</v>
      </c>
      <c r="R80" s="1" t="s">
        <v>74</v>
      </c>
      <c r="S80" s="1" t="s">
        <v>74</v>
      </c>
      <c r="T80" s="1" t="s">
        <v>74</v>
      </c>
      <c r="U80" s="1" t="s">
        <v>74</v>
      </c>
      <c r="V80" s="1" t="s">
        <v>930</v>
      </c>
      <c r="W80" s="1" t="s">
        <v>74</v>
      </c>
      <c r="X80" s="1" t="s">
        <v>74</v>
      </c>
      <c r="Y80" s="1" t="s">
        <v>74</v>
      </c>
      <c r="Z80" s="1" t="s">
        <v>74</v>
      </c>
      <c r="AA80" s="1" t="s">
        <v>90</v>
      </c>
      <c r="AB80" s="1" t="s">
        <v>91</v>
      </c>
      <c r="AC80" s="1" t="s">
        <v>74</v>
      </c>
      <c r="AD80" s="1" t="s">
        <v>74</v>
      </c>
      <c r="AE80" s="1" t="s">
        <v>74</v>
      </c>
      <c r="AF80" s="1" t="s">
        <v>74</v>
      </c>
      <c r="AG80" s="1" t="s">
        <v>74</v>
      </c>
      <c r="AH80" s="1" t="s">
        <v>74</v>
      </c>
      <c r="AI80" s="1" t="s">
        <v>74</v>
      </c>
      <c r="AJ80" s="1" t="s">
        <v>74</v>
      </c>
      <c r="AK80" s="1" t="s">
        <v>74</v>
      </c>
      <c r="AL80" s="1" t="s">
        <v>74</v>
      </c>
      <c r="AM80" s="1" t="s">
        <v>74</v>
      </c>
      <c r="AN80" s="1" t="s">
        <v>74</v>
      </c>
      <c r="AO80" s="1" t="s">
        <v>931</v>
      </c>
      <c r="AP80" s="1" t="s">
        <v>74</v>
      </c>
      <c r="AQ80" s="1" t="s">
        <v>74</v>
      </c>
      <c r="AR80" s="1" t="s">
        <v>74</v>
      </c>
      <c r="AS80" s="1" t="s">
        <v>74</v>
      </c>
      <c r="AT80" s="1" t="s">
        <v>74</v>
      </c>
      <c r="AU80" s="1">
        <v>2017.0</v>
      </c>
      <c r="AV80" s="1">
        <v>41.0</v>
      </c>
      <c r="AW80" s="1" t="s">
        <v>74</v>
      </c>
      <c r="AX80" s="1" t="s">
        <v>74</v>
      </c>
      <c r="AY80" s="1" t="s">
        <v>74</v>
      </c>
      <c r="AZ80" s="1" t="s">
        <v>74</v>
      </c>
      <c r="BA80" s="1" t="s">
        <v>74</v>
      </c>
      <c r="BB80" s="1" t="s">
        <v>74</v>
      </c>
      <c r="BC80" s="1" t="s">
        <v>74</v>
      </c>
      <c r="BD80" s="1" t="s">
        <v>932</v>
      </c>
      <c r="BE80" s="1" t="s">
        <v>74</v>
      </c>
      <c r="BF80" s="1" t="s">
        <v>74</v>
      </c>
      <c r="BG80" s="1" t="s">
        <v>74</v>
      </c>
      <c r="BH80" s="1" t="s">
        <v>74</v>
      </c>
      <c r="BI80" s="1" t="s">
        <v>74</v>
      </c>
      <c r="BJ80" s="1" t="s">
        <v>74</v>
      </c>
      <c r="BK80" s="1" t="s">
        <v>74</v>
      </c>
      <c r="BL80" s="1" t="s">
        <v>74</v>
      </c>
      <c r="BM80" s="1" t="s">
        <v>74</v>
      </c>
      <c r="BN80" s="1" t="s">
        <v>74</v>
      </c>
      <c r="BO80" s="1" t="s">
        <v>74</v>
      </c>
      <c r="BP80" s="1" t="s">
        <v>74</v>
      </c>
      <c r="BQ80" s="1" t="s">
        <v>74</v>
      </c>
      <c r="BR80" s="1" t="s">
        <v>74</v>
      </c>
      <c r="BS80" s="1" t="s">
        <v>933</v>
      </c>
      <c r="BT80" s="1" t="str">
        <f>HYPERLINK("https%3A%2F%2Fwww.webofscience.com%2Fwos%2Fwoscc%2Ffull-record%2FWOS:000404644600019","View Full Record in Web of Science")</f>
        <v>View Full Record in Web of Science</v>
      </c>
    </row>
    <row r="81" ht="12.75" customHeight="1">
      <c r="A81" s="1" t="s">
        <v>72</v>
      </c>
      <c r="B81" s="1" t="s">
        <v>934</v>
      </c>
      <c r="C81" s="1" t="s">
        <v>74</v>
      </c>
      <c r="D81" s="1" t="s">
        <v>74</v>
      </c>
      <c r="E81" s="1" t="s">
        <v>74</v>
      </c>
      <c r="F81" s="1" t="s">
        <v>935</v>
      </c>
      <c r="G81" s="1" t="s">
        <v>74</v>
      </c>
      <c r="H81" s="1" t="s">
        <v>74</v>
      </c>
      <c r="I81" s="1" t="s">
        <v>936</v>
      </c>
      <c r="J81" s="1" t="s">
        <v>937</v>
      </c>
      <c r="K81" s="1" t="s">
        <v>74</v>
      </c>
      <c r="L81" s="1" t="s">
        <v>74</v>
      </c>
      <c r="M81" s="1" t="s">
        <v>74</v>
      </c>
      <c r="N81" s="1" t="s">
        <v>74</v>
      </c>
      <c r="O81" s="1" t="s">
        <v>74</v>
      </c>
      <c r="P81" s="1" t="s">
        <v>74</v>
      </c>
      <c r="Q81" s="1" t="s">
        <v>74</v>
      </c>
      <c r="R81" s="1" t="s">
        <v>74</v>
      </c>
      <c r="S81" s="1" t="s">
        <v>74</v>
      </c>
      <c r="T81" s="1" t="s">
        <v>74</v>
      </c>
      <c r="U81" s="1" t="s">
        <v>74</v>
      </c>
      <c r="V81" s="1" t="s">
        <v>938</v>
      </c>
      <c r="W81" s="1" t="s">
        <v>74</v>
      </c>
      <c r="X81" s="1" t="s">
        <v>74</v>
      </c>
      <c r="Y81" s="1" t="s">
        <v>74</v>
      </c>
      <c r="Z81" s="1" t="s">
        <v>74</v>
      </c>
      <c r="AA81" s="1" t="s">
        <v>939</v>
      </c>
      <c r="AB81" s="1" t="s">
        <v>940</v>
      </c>
      <c r="AC81" s="1" t="s">
        <v>74</v>
      </c>
      <c r="AD81" s="1" t="s">
        <v>74</v>
      </c>
      <c r="AE81" s="1" t="s">
        <v>74</v>
      </c>
      <c r="AF81" s="1" t="s">
        <v>74</v>
      </c>
      <c r="AG81" s="1" t="s">
        <v>74</v>
      </c>
      <c r="AH81" s="1" t="s">
        <v>74</v>
      </c>
      <c r="AI81" s="1" t="s">
        <v>74</v>
      </c>
      <c r="AJ81" s="1" t="s">
        <v>74</v>
      </c>
      <c r="AK81" s="1" t="s">
        <v>74</v>
      </c>
      <c r="AL81" s="1" t="s">
        <v>74</v>
      </c>
      <c r="AM81" s="1" t="s">
        <v>74</v>
      </c>
      <c r="AN81" s="1" t="s">
        <v>74</v>
      </c>
      <c r="AO81" s="1" t="s">
        <v>941</v>
      </c>
      <c r="AP81" s="1" t="s">
        <v>942</v>
      </c>
      <c r="AQ81" s="1" t="s">
        <v>74</v>
      </c>
      <c r="AR81" s="1" t="s">
        <v>74</v>
      </c>
      <c r="AS81" s="1" t="s">
        <v>74</v>
      </c>
      <c r="AT81" s="1" t="s">
        <v>210</v>
      </c>
      <c r="AU81" s="1">
        <v>2015.0</v>
      </c>
      <c r="AV81" s="1">
        <v>57.0</v>
      </c>
      <c r="AW81" s="1" t="s">
        <v>74</v>
      </c>
      <c r="AX81" s="1" t="s">
        <v>74</v>
      </c>
      <c r="AY81" s="1" t="s">
        <v>74</v>
      </c>
      <c r="AZ81" s="1" t="s">
        <v>74</v>
      </c>
      <c r="BA81" s="1" t="s">
        <v>74</v>
      </c>
      <c r="BB81" s="1">
        <v>314.0</v>
      </c>
      <c r="BC81" s="1">
        <v>320.0</v>
      </c>
      <c r="BD81" s="1" t="s">
        <v>74</v>
      </c>
      <c r="BE81" s="1" t="s">
        <v>943</v>
      </c>
      <c r="BF81" s="2" t="str">
        <f>HYPERLINK("http://dx.doi.org/10.1016/j.msec.2015.07.069","http://dx.doi.org/10.1016/j.msec.2015.07.069")</f>
        <v>http://dx.doi.org/10.1016/j.msec.2015.07.069</v>
      </c>
      <c r="BG81" s="1" t="s">
        <v>74</v>
      </c>
      <c r="BH81" s="1" t="s">
        <v>74</v>
      </c>
      <c r="BI81" s="1" t="s">
        <v>74</v>
      </c>
      <c r="BJ81" s="1" t="s">
        <v>74</v>
      </c>
      <c r="BK81" s="1" t="s">
        <v>74</v>
      </c>
      <c r="BL81" s="1" t="s">
        <v>74</v>
      </c>
      <c r="BM81" s="1" t="s">
        <v>74</v>
      </c>
      <c r="BN81" s="1">
        <v>2.635427E7</v>
      </c>
      <c r="BO81" s="1" t="s">
        <v>74</v>
      </c>
      <c r="BP81" s="1" t="s">
        <v>74</v>
      </c>
      <c r="BQ81" s="1" t="s">
        <v>74</v>
      </c>
      <c r="BR81" s="1" t="s">
        <v>74</v>
      </c>
      <c r="BS81" s="1" t="s">
        <v>944</v>
      </c>
      <c r="BT81" s="1" t="str">
        <f>HYPERLINK("https%3A%2F%2Fwww.webofscience.com%2Fwos%2Fwoscc%2Ffull-record%2FWOS:000361779400038","View Full Record in Web of Science")</f>
        <v>View Full Record in Web of Science</v>
      </c>
    </row>
    <row r="82" ht="12.75" customHeight="1">
      <c r="A82" s="1" t="s">
        <v>72</v>
      </c>
      <c r="B82" s="1" t="s">
        <v>945</v>
      </c>
      <c r="C82" s="1" t="s">
        <v>74</v>
      </c>
      <c r="D82" s="1" t="s">
        <v>74</v>
      </c>
      <c r="E82" s="1" t="s">
        <v>74</v>
      </c>
      <c r="F82" s="1" t="s">
        <v>946</v>
      </c>
      <c r="G82" s="1" t="s">
        <v>74</v>
      </c>
      <c r="H82" s="1" t="s">
        <v>74</v>
      </c>
      <c r="I82" s="1" t="s">
        <v>947</v>
      </c>
      <c r="J82" s="1" t="s">
        <v>948</v>
      </c>
      <c r="K82" s="1" t="s">
        <v>74</v>
      </c>
      <c r="L82" s="1" t="s">
        <v>74</v>
      </c>
      <c r="M82" s="1" t="s">
        <v>74</v>
      </c>
      <c r="N82" s="1" t="s">
        <v>74</v>
      </c>
      <c r="O82" s="1" t="s">
        <v>74</v>
      </c>
      <c r="P82" s="1" t="s">
        <v>74</v>
      </c>
      <c r="Q82" s="1" t="s">
        <v>74</v>
      </c>
      <c r="R82" s="1" t="s">
        <v>74</v>
      </c>
      <c r="S82" s="1" t="s">
        <v>74</v>
      </c>
      <c r="T82" s="1" t="s">
        <v>74</v>
      </c>
      <c r="U82" s="1" t="s">
        <v>74</v>
      </c>
      <c r="V82" s="1" t="s">
        <v>949</v>
      </c>
      <c r="W82" s="1" t="s">
        <v>74</v>
      </c>
      <c r="X82" s="1" t="s">
        <v>74</v>
      </c>
      <c r="Y82" s="1" t="s">
        <v>74</v>
      </c>
      <c r="Z82" s="1" t="s">
        <v>74</v>
      </c>
      <c r="AA82" s="1" t="s">
        <v>950</v>
      </c>
      <c r="AB82" s="1" t="s">
        <v>951</v>
      </c>
      <c r="AC82" s="1" t="s">
        <v>74</v>
      </c>
      <c r="AD82" s="1" t="s">
        <v>74</v>
      </c>
      <c r="AE82" s="1" t="s">
        <v>74</v>
      </c>
      <c r="AF82" s="1" t="s">
        <v>74</v>
      </c>
      <c r="AG82" s="1" t="s">
        <v>74</v>
      </c>
      <c r="AH82" s="1" t="s">
        <v>74</v>
      </c>
      <c r="AI82" s="1" t="s">
        <v>74</v>
      </c>
      <c r="AJ82" s="1" t="s">
        <v>74</v>
      </c>
      <c r="AK82" s="1" t="s">
        <v>74</v>
      </c>
      <c r="AL82" s="1" t="s">
        <v>74</v>
      </c>
      <c r="AM82" s="1" t="s">
        <v>74</v>
      </c>
      <c r="AN82" s="1" t="s">
        <v>74</v>
      </c>
      <c r="AO82" s="1" t="s">
        <v>952</v>
      </c>
      <c r="AP82" s="1" t="s">
        <v>74</v>
      </c>
      <c r="AQ82" s="1" t="s">
        <v>74</v>
      </c>
      <c r="AR82" s="1" t="s">
        <v>74</v>
      </c>
      <c r="AS82" s="1" t="s">
        <v>74</v>
      </c>
      <c r="AT82" s="1" t="s">
        <v>83</v>
      </c>
      <c r="AU82" s="1">
        <v>2014.0</v>
      </c>
      <c r="AV82" s="1">
        <v>59.0</v>
      </c>
      <c r="AW82" s="1">
        <v>4.0</v>
      </c>
      <c r="AX82" s="1" t="s">
        <v>74</v>
      </c>
      <c r="AY82" s="1" t="s">
        <v>74</v>
      </c>
      <c r="AZ82" s="1" t="s">
        <v>74</v>
      </c>
      <c r="BA82" s="1" t="s">
        <v>74</v>
      </c>
      <c r="BB82" s="1">
        <v>2701.0</v>
      </c>
      <c r="BC82" s="1">
        <v>2704.0</v>
      </c>
      <c r="BD82" s="1" t="s">
        <v>74</v>
      </c>
      <c r="BE82" s="1" t="s">
        <v>953</v>
      </c>
      <c r="BF82" s="2" t="str">
        <f>HYPERLINK("http://dx.doi.org/10.4067/S0717-97072014000400015","http://dx.doi.org/10.4067/S0717-97072014000400015")</f>
        <v>http://dx.doi.org/10.4067/S0717-97072014000400015</v>
      </c>
      <c r="BG82" s="1" t="s">
        <v>74</v>
      </c>
      <c r="BH82" s="1" t="s">
        <v>74</v>
      </c>
      <c r="BI82" s="1" t="s">
        <v>74</v>
      </c>
      <c r="BJ82" s="1" t="s">
        <v>74</v>
      </c>
      <c r="BK82" s="1" t="s">
        <v>74</v>
      </c>
      <c r="BL82" s="1" t="s">
        <v>74</v>
      </c>
      <c r="BM82" s="1" t="s">
        <v>74</v>
      </c>
      <c r="BN82" s="1" t="s">
        <v>74</v>
      </c>
      <c r="BO82" s="1" t="s">
        <v>74</v>
      </c>
      <c r="BP82" s="1" t="s">
        <v>74</v>
      </c>
      <c r="BQ82" s="1" t="s">
        <v>74</v>
      </c>
      <c r="BR82" s="1" t="s">
        <v>74</v>
      </c>
      <c r="BS82" s="1" t="s">
        <v>954</v>
      </c>
      <c r="BT82" s="1" t="str">
        <f>HYPERLINK("https%3A%2F%2Fwww.webofscience.com%2Fwos%2Fwoscc%2Ffull-record%2FWOS:000347834700014","View Full Record in Web of Science")</f>
        <v>View Full Record in Web of Science</v>
      </c>
    </row>
    <row r="83" ht="12.75" customHeight="1">
      <c r="A83" s="1" t="s">
        <v>72</v>
      </c>
      <c r="B83" s="1" t="s">
        <v>955</v>
      </c>
      <c r="C83" s="1" t="s">
        <v>74</v>
      </c>
      <c r="D83" s="1" t="s">
        <v>74</v>
      </c>
      <c r="E83" s="1" t="s">
        <v>74</v>
      </c>
      <c r="F83" s="1" t="s">
        <v>956</v>
      </c>
      <c r="G83" s="1" t="s">
        <v>74</v>
      </c>
      <c r="H83" s="1" t="s">
        <v>74</v>
      </c>
      <c r="I83" s="1" t="s">
        <v>957</v>
      </c>
      <c r="J83" s="1" t="s">
        <v>958</v>
      </c>
      <c r="K83" s="1" t="s">
        <v>74</v>
      </c>
      <c r="L83" s="1" t="s">
        <v>74</v>
      </c>
      <c r="M83" s="1" t="s">
        <v>74</v>
      </c>
      <c r="N83" s="1" t="s">
        <v>74</v>
      </c>
      <c r="O83" s="1" t="s">
        <v>74</v>
      </c>
      <c r="P83" s="1" t="s">
        <v>74</v>
      </c>
      <c r="Q83" s="1" t="s">
        <v>74</v>
      </c>
      <c r="R83" s="1" t="s">
        <v>74</v>
      </c>
      <c r="S83" s="1" t="s">
        <v>74</v>
      </c>
      <c r="T83" s="1" t="s">
        <v>74</v>
      </c>
      <c r="U83" s="1" t="s">
        <v>74</v>
      </c>
      <c r="V83" s="1" t="s">
        <v>959</v>
      </c>
      <c r="W83" s="1" t="s">
        <v>74</v>
      </c>
      <c r="X83" s="1" t="s">
        <v>74</v>
      </c>
      <c r="Y83" s="1" t="s">
        <v>74</v>
      </c>
      <c r="Z83" s="1" t="s">
        <v>74</v>
      </c>
      <c r="AA83" s="1" t="s">
        <v>960</v>
      </c>
      <c r="AB83" s="1" t="s">
        <v>961</v>
      </c>
      <c r="AC83" s="1" t="s">
        <v>74</v>
      </c>
      <c r="AD83" s="1" t="s">
        <v>74</v>
      </c>
      <c r="AE83" s="1" t="s">
        <v>74</v>
      </c>
      <c r="AF83" s="1" t="s">
        <v>74</v>
      </c>
      <c r="AG83" s="1" t="s">
        <v>74</v>
      </c>
      <c r="AH83" s="1" t="s">
        <v>74</v>
      </c>
      <c r="AI83" s="1" t="s">
        <v>74</v>
      </c>
      <c r="AJ83" s="1" t="s">
        <v>74</v>
      </c>
      <c r="AK83" s="1" t="s">
        <v>74</v>
      </c>
      <c r="AL83" s="1" t="s">
        <v>74</v>
      </c>
      <c r="AM83" s="1" t="s">
        <v>74</v>
      </c>
      <c r="AN83" s="1" t="s">
        <v>74</v>
      </c>
      <c r="AO83" s="1" t="s">
        <v>962</v>
      </c>
      <c r="AP83" s="1" t="s">
        <v>74</v>
      </c>
      <c r="AQ83" s="1" t="s">
        <v>74</v>
      </c>
      <c r="AR83" s="1" t="s">
        <v>74</v>
      </c>
      <c r="AS83" s="1" t="s">
        <v>74</v>
      </c>
      <c r="AT83" s="1" t="s">
        <v>200</v>
      </c>
      <c r="AU83" s="1">
        <v>2013.0</v>
      </c>
      <c r="AV83" s="1">
        <v>48.0</v>
      </c>
      <c r="AW83" s="1">
        <v>9.0</v>
      </c>
      <c r="AX83" s="1" t="s">
        <v>74</v>
      </c>
      <c r="AY83" s="1" t="s">
        <v>74</v>
      </c>
      <c r="AZ83" s="1" t="s">
        <v>74</v>
      </c>
      <c r="BA83" s="1" t="s">
        <v>74</v>
      </c>
      <c r="BB83" s="1">
        <v>1073.0</v>
      </c>
      <c r="BC83" s="1">
        <v>1078.0</v>
      </c>
      <c r="BD83" s="1" t="s">
        <v>74</v>
      </c>
      <c r="BE83" s="1" t="s">
        <v>963</v>
      </c>
      <c r="BF83" s="2" t="str">
        <f>HYPERLINK("http://dx.doi.org/10.1080/10934529.2013.773827","http://dx.doi.org/10.1080/10934529.2013.773827")</f>
        <v>http://dx.doi.org/10.1080/10934529.2013.773827</v>
      </c>
      <c r="BG83" s="1" t="s">
        <v>74</v>
      </c>
      <c r="BH83" s="1" t="s">
        <v>74</v>
      </c>
      <c r="BI83" s="1" t="s">
        <v>74</v>
      </c>
      <c r="BJ83" s="1" t="s">
        <v>74</v>
      </c>
      <c r="BK83" s="1" t="s">
        <v>74</v>
      </c>
      <c r="BL83" s="1" t="s">
        <v>74</v>
      </c>
      <c r="BM83" s="1" t="s">
        <v>74</v>
      </c>
      <c r="BN83" s="1">
        <v>2.3573927E7</v>
      </c>
      <c r="BO83" s="1" t="s">
        <v>74</v>
      </c>
      <c r="BP83" s="1" t="s">
        <v>74</v>
      </c>
      <c r="BQ83" s="1" t="s">
        <v>74</v>
      </c>
      <c r="BR83" s="1" t="s">
        <v>74</v>
      </c>
      <c r="BS83" s="1" t="s">
        <v>964</v>
      </c>
      <c r="BT83" s="1" t="str">
        <f>HYPERLINK("https%3A%2F%2Fwww.webofscience.com%2Fwos%2Fwoscc%2Ffull-record%2FWOS:000317341700009","View Full Record in Web of Science")</f>
        <v>View Full Record in Web of Science</v>
      </c>
    </row>
    <row r="84" ht="12.75" customHeight="1">
      <c r="A84" s="1" t="s">
        <v>72</v>
      </c>
      <c r="B84" s="1" t="s">
        <v>965</v>
      </c>
      <c r="C84" s="1" t="s">
        <v>74</v>
      </c>
      <c r="D84" s="1" t="s">
        <v>74</v>
      </c>
      <c r="E84" s="1" t="s">
        <v>74</v>
      </c>
      <c r="F84" s="1" t="s">
        <v>966</v>
      </c>
      <c r="G84" s="1" t="s">
        <v>74</v>
      </c>
      <c r="H84" s="1" t="s">
        <v>74</v>
      </c>
      <c r="I84" s="1" t="s">
        <v>967</v>
      </c>
      <c r="J84" s="1" t="s">
        <v>968</v>
      </c>
      <c r="K84" s="1" t="s">
        <v>74</v>
      </c>
      <c r="L84" s="1" t="s">
        <v>74</v>
      </c>
      <c r="M84" s="1" t="s">
        <v>74</v>
      </c>
      <c r="N84" s="1" t="s">
        <v>74</v>
      </c>
      <c r="O84" s="1" t="s">
        <v>74</v>
      </c>
      <c r="P84" s="1" t="s">
        <v>74</v>
      </c>
      <c r="Q84" s="1" t="s">
        <v>74</v>
      </c>
      <c r="R84" s="1" t="s">
        <v>74</v>
      </c>
      <c r="S84" s="1" t="s">
        <v>74</v>
      </c>
      <c r="T84" s="1" t="s">
        <v>74</v>
      </c>
      <c r="U84" s="1" t="s">
        <v>74</v>
      </c>
      <c r="V84" s="1" t="s">
        <v>969</v>
      </c>
      <c r="W84" s="1" t="s">
        <v>74</v>
      </c>
      <c r="X84" s="1" t="s">
        <v>74</v>
      </c>
      <c r="Y84" s="1" t="s">
        <v>74</v>
      </c>
      <c r="Z84" s="1" t="s">
        <v>74</v>
      </c>
      <c r="AA84" s="1" t="s">
        <v>970</v>
      </c>
      <c r="AB84" s="1" t="s">
        <v>971</v>
      </c>
      <c r="AC84" s="1" t="s">
        <v>74</v>
      </c>
      <c r="AD84" s="1" t="s">
        <v>74</v>
      </c>
      <c r="AE84" s="1" t="s">
        <v>74</v>
      </c>
      <c r="AF84" s="1" t="s">
        <v>74</v>
      </c>
      <c r="AG84" s="1" t="s">
        <v>74</v>
      </c>
      <c r="AH84" s="1" t="s">
        <v>74</v>
      </c>
      <c r="AI84" s="1" t="s">
        <v>74</v>
      </c>
      <c r="AJ84" s="1" t="s">
        <v>74</v>
      </c>
      <c r="AK84" s="1" t="s">
        <v>74</v>
      </c>
      <c r="AL84" s="1" t="s">
        <v>74</v>
      </c>
      <c r="AM84" s="1" t="s">
        <v>74</v>
      </c>
      <c r="AN84" s="1" t="s">
        <v>74</v>
      </c>
      <c r="AO84" s="1" t="s">
        <v>972</v>
      </c>
      <c r="AP84" s="1" t="s">
        <v>973</v>
      </c>
      <c r="AQ84" s="1" t="s">
        <v>74</v>
      </c>
      <c r="AR84" s="1" t="s">
        <v>74</v>
      </c>
      <c r="AS84" s="1" t="s">
        <v>74</v>
      </c>
      <c r="AT84" s="1" t="s">
        <v>974</v>
      </c>
      <c r="AU84" s="1">
        <v>2013.0</v>
      </c>
      <c r="AV84" s="1">
        <v>23.0</v>
      </c>
      <c r="AW84" s="1">
        <v>7.0</v>
      </c>
      <c r="AX84" s="1" t="s">
        <v>74</v>
      </c>
      <c r="AY84" s="1" t="s">
        <v>74</v>
      </c>
      <c r="AZ84" s="1" t="s">
        <v>74</v>
      </c>
      <c r="BA84" s="1" t="s">
        <v>74</v>
      </c>
      <c r="BB84" s="1">
        <v>2071.0</v>
      </c>
      <c r="BC84" s="1">
        <v>2078.0</v>
      </c>
      <c r="BD84" s="1" t="s">
        <v>74</v>
      </c>
      <c r="BE84" s="1" t="s">
        <v>975</v>
      </c>
      <c r="BF84" s="2" t="str">
        <f>HYPERLINK("http://dx.doi.org/10.1016/S1003-6326(13)62698-9","http://dx.doi.org/10.1016/S1003-6326(13)62698-9")</f>
        <v>http://dx.doi.org/10.1016/S1003-6326(13)62698-9</v>
      </c>
      <c r="BG84" s="1" t="s">
        <v>74</v>
      </c>
      <c r="BH84" s="1" t="s">
        <v>74</v>
      </c>
      <c r="BI84" s="1" t="s">
        <v>74</v>
      </c>
      <c r="BJ84" s="1" t="s">
        <v>74</v>
      </c>
      <c r="BK84" s="1" t="s">
        <v>74</v>
      </c>
      <c r="BL84" s="1" t="s">
        <v>74</v>
      </c>
      <c r="BM84" s="1" t="s">
        <v>74</v>
      </c>
      <c r="BN84" s="1" t="s">
        <v>74</v>
      </c>
      <c r="BO84" s="1" t="s">
        <v>74</v>
      </c>
      <c r="BP84" s="1" t="s">
        <v>74</v>
      </c>
      <c r="BQ84" s="1" t="s">
        <v>74</v>
      </c>
      <c r="BR84" s="1" t="s">
        <v>74</v>
      </c>
      <c r="BS84" s="1" t="s">
        <v>976</v>
      </c>
      <c r="BT84" s="1" t="str">
        <f>HYPERLINK("https%3A%2F%2Fwww.webofscience.com%2Fwos%2Fwoscc%2Ffull-record%2FWOS:000325599600028","View Full Record in Web of Science")</f>
        <v>View Full Record in Web of Science</v>
      </c>
    </row>
    <row r="85" ht="12.75" customHeight="1">
      <c r="A85" s="1" t="s">
        <v>72</v>
      </c>
      <c r="B85" s="1" t="s">
        <v>977</v>
      </c>
      <c r="C85" s="1" t="s">
        <v>74</v>
      </c>
      <c r="D85" s="1" t="s">
        <v>74</v>
      </c>
      <c r="E85" s="1" t="s">
        <v>74</v>
      </c>
      <c r="F85" s="1" t="s">
        <v>978</v>
      </c>
      <c r="G85" s="1" t="s">
        <v>74</v>
      </c>
      <c r="H85" s="1" t="s">
        <v>74</v>
      </c>
      <c r="I85" s="1" t="s">
        <v>979</v>
      </c>
      <c r="J85" s="1" t="s">
        <v>980</v>
      </c>
      <c r="K85" s="1" t="s">
        <v>74</v>
      </c>
      <c r="L85" s="1" t="s">
        <v>74</v>
      </c>
      <c r="M85" s="1" t="s">
        <v>74</v>
      </c>
      <c r="N85" s="1" t="s">
        <v>74</v>
      </c>
      <c r="O85" s="1" t="s">
        <v>74</v>
      </c>
      <c r="P85" s="1" t="s">
        <v>74</v>
      </c>
      <c r="Q85" s="1" t="s">
        <v>74</v>
      </c>
      <c r="R85" s="1" t="s">
        <v>74</v>
      </c>
      <c r="S85" s="1" t="s">
        <v>74</v>
      </c>
      <c r="T85" s="1" t="s">
        <v>74</v>
      </c>
      <c r="U85" s="1" t="s">
        <v>74</v>
      </c>
      <c r="V85" s="1" t="s">
        <v>981</v>
      </c>
      <c r="W85" s="1" t="s">
        <v>74</v>
      </c>
      <c r="X85" s="1" t="s">
        <v>74</v>
      </c>
      <c r="Y85" s="1" t="s">
        <v>74</v>
      </c>
      <c r="Z85" s="1" t="s">
        <v>74</v>
      </c>
      <c r="AA85" s="1" t="s">
        <v>982</v>
      </c>
      <c r="AB85" s="1" t="s">
        <v>983</v>
      </c>
      <c r="AC85" s="1" t="s">
        <v>74</v>
      </c>
      <c r="AD85" s="1" t="s">
        <v>74</v>
      </c>
      <c r="AE85" s="1" t="s">
        <v>74</v>
      </c>
      <c r="AF85" s="1" t="s">
        <v>74</v>
      </c>
      <c r="AG85" s="1" t="s">
        <v>74</v>
      </c>
      <c r="AH85" s="1" t="s">
        <v>74</v>
      </c>
      <c r="AI85" s="1" t="s">
        <v>74</v>
      </c>
      <c r="AJ85" s="1" t="s">
        <v>74</v>
      </c>
      <c r="AK85" s="1" t="s">
        <v>74</v>
      </c>
      <c r="AL85" s="1" t="s">
        <v>74</v>
      </c>
      <c r="AM85" s="1" t="s">
        <v>74</v>
      </c>
      <c r="AN85" s="1" t="s">
        <v>74</v>
      </c>
      <c r="AO85" s="1" t="s">
        <v>984</v>
      </c>
      <c r="AP85" s="1" t="s">
        <v>985</v>
      </c>
      <c r="AQ85" s="1" t="s">
        <v>74</v>
      </c>
      <c r="AR85" s="1" t="s">
        <v>74</v>
      </c>
      <c r="AS85" s="1" t="s">
        <v>74</v>
      </c>
      <c r="AT85" s="1" t="s">
        <v>385</v>
      </c>
      <c r="AU85" s="1">
        <v>2013.0</v>
      </c>
      <c r="AV85" s="1">
        <v>19.0</v>
      </c>
      <c r="AW85" s="1">
        <v>3.0</v>
      </c>
      <c r="AX85" s="1" t="s">
        <v>74</v>
      </c>
      <c r="AY85" s="1" t="s">
        <v>74</v>
      </c>
      <c r="AZ85" s="1" t="s">
        <v>74</v>
      </c>
      <c r="BA85" s="1" t="s">
        <v>74</v>
      </c>
      <c r="BB85" s="1">
        <v>321.0</v>
      </c>
      <c r="BC85" s="1">
        <v>332.0</v>
      </c>
      <c r="BD85" s="1" t="s">
        <v>74</v>
      </c>
      <c r="BE85" s="1" t="s">
        <v>986</v>
      </c>
      <c r="BF85" s="2" t="str">
        <f>HYPERLINK("http://dx.doi.org/10.1111/j.1365-2095.2012.00961.x","http://dx.doi.org/10.1111/j.1365-2095.2012.00961.x")</f>
        <v>http://dx.doi.org/10.1111/j.1365-2095.2012.00961.x</v>
      </c>
      <c r="BG85" s="1" t="s">
        <v>74</v>
      </c>
      <c r="BH85" s="1" t="s">
        <v>74</v>
      </c>
      <c r="BI85" s="1" t="s">
        <v>74</v>
      </c>
      <c r="BJ85" s="1" t="s">
        <v>74</v>
      </c>
      <c r="BK85" s="1" t="s">
        <v>74</v>
      </c>
      <c r="BL85" s="1" t="s">
        <v>74</v>
      </c>
      <c r="BM85" s="1" t="s">
        <v>74</v>
      </c>
      <c r="BN85" s="1" t="s">
        <v>74</v>
      </c>
      <c r="BO85" s="1" t="s">
        <v>74</v>
      </c>
      <c r="BP85" s="1" t="s">
        <v>74</v>
      </c>
      <c r="BQ85" s="1" t="s">
        <v>74</v>
      </c>
      <c r="BR85" s="1" t="s">
        <v>74</v>
      </c>
      <c r="BS85" s="1" t="s">
        <v>987</v>
      </c>
      <c r="BT85" s="1" t="str">
        <f>HYPERLINK("https%3A%2F%2Fwww.webofscience.com%2Fwos%2Fwoscc%2Ffull-record%2FWOS:000318278300009","View Full Record in Web of Science")</f>
        <v>View Full Record in Web of Science</v>
      </c>
    </row>
    <row r="86" ht="12.75" customHeight="1">
      <c r="A86" s="1" t="s">
        <v>72</v>
      </c>
      <c r="B86" s="1" t="s">
        <v>988</v>
      </c>
      <c r="C86" s="1" t="s">
        <v>74</v>
      </c>
      <c r="D86" s="1" t="s">
        <v>74</v>
      </c>
      <c r="E86" s="1" t="s">
        <v>74</v>
      </c>
      <c r="F86" s="1" t="s">
        <v>989</v>
      </c>
      <c r="G86" s="1" t="s">
        <v>74</v>
      </c>
      <c r="H86" s="1" t="s">
        <v>74</v>
      </c>
      <c r="I86" s="1" t="s">
        <v>990</v>
      </c>
      <c r="J86" s="1" t="s">
        <v>991</v>
      </c>
      <c r="K86" s="1" t="s">
        <v>74</v>
      </c>
      <c r="L86" s="1" t="s">
        <v>74</v>
      </c>
      <c r="M86" s="1" t="s">
        <v>74</v>
      </c>
      <c r="N86" s="1" t="s">
        <v>74</v>
      </c>
      <c r="O86" s="1" t="s">
        <v>74</v>
      </c>
      <c r="P86" s="1" t="s">
        <v>74</v>
      </c>
      <c r="Q86" s="1" t="s">
        <v>74</v>
      </c>
      <c r="R86" s="1" t="s">
        <v>74</v>
      </c>
      <c r="S86" s="1" t="s">
        <v>74</v>
      </c>
      <c r="T86" s="1" t="s">
        <v>74</v>
      </c>
      <c r="U86" s="1" t="s">
        <v>74</v>
      </c>
      <c r="V86" s="1" t="s">
        <v>992</v>
      </c>
      <c r="W86" s="1" t="s">
        <v>74</v>
      </c>
      <c r="X86" s="1" t="s">
        <v>74</v>
      </c>
      <c r="Y86" s="1" t="s">
        <v>74</v>
      </c>
      <c r="Z86" s="1" t="s">
        <v>74</v>
      </c>
      <c r="AA86" s="1" t="s">
        <v>993</v>
      </c>
      <c r="AB86" s="1" t="s">
        <v>994</v>
      </c>
      <c r="AC86" s="1" t="s">
        <v>74</v>
      </c>
      <c r="AD86" s="1" t="s">
        <v>74</v>
      </c>
      <c r="AE86" s="1" t="s">
        <v>74</v>
      </c>
      <c r="AF86" s="1" t="s">
        <v>74</v>
      </c>
      <c r="AG86" s="1" t="s">
        <v>74</v>
      </c>
      <c r="AH86" s="1" t="s">
        <v>74</v>
      </c>
      <c r="AI86" s="1" t="s">
        <v>74</v>
      </c>
      <c r="AJ86" s="1" t="s">
        <v>74</v>
      </c>
      <c r="AK86" s="1" t="s">
        <v>74</v>
      </c>
      <c r="AL86" s="1" t="s">
        <v>74</v>
      </c>
      <c r="AM86" s="1" t="s">
        <v>74</v>
      </c>
      <c r="AN86" s="1" t="s">
        <v>74</v>
      </c>
      <c r="AO86" s="1" t="s">
        <v>995</v>
      </c>
      <c r="AP86" s="1" t="s">
        <v>996</v>
      </c>
      <c r="AQ86" s="1" t="s">
        <v>74</v>
      </c>
      <c r="AR86" s="1" t="s">
        <v>74</v>
      </c>
      <c r="AS86" s="1" t="s">
        <v>74</v>
      </c>
      <c r="AT86" s="1" t="s">
        <v>83</v>
      </c>
      <c r="AU86" s="1">
        <v>2012.0</v>
      </c>
      <c r="AV86" s="1">
        <v>59.0</v>
      </c>
      <c r="AW86" s="1">
        <v>4.0</v>
      </c>
      <c r="AX86" s="1" t="s">
        <v>74</v>
      </c>
      <c r="AY86" s="1" t="s">
        <v>74</v>
      </c>
      <c r="AZ86" s="1" t="s">
        <v>74</v>
      </c>
      <c r="BA86" s="1" t="s">
        <v>74</v>
      </c>
      <c r="BB86" s="1">
        <v>1170.0</v>
      </c>
      <c r="BC86" s="1">
        <v>1183.0</v>
      </c>
      <c r="BD86" s="1" t="s">
        <v>74</v>
      </c>
      <c r="BE86" s="1" t="s">
        <v>997</v>
      </c>
      <c r="BF86" s="2" t="str">
        <f>HYPERLINK("http://dx.doi.org/10.1016/j.compedu.2012.05.013","http://dx.doi.org/10.1016/j.compedu.2012.05.013")</f>
        <v>http://dx.doi.org/10.1016/j.compedu.2012.05.013</v>
      </c>
      <c r="BG86" s="1" t="s">
        <v>74</v>
      </c>
      <c r="BH86" s="1" t="s">
        <v>74</v>
      </c>
      <c r="BI86" s="1" t="s">
        <v>74</v>
      </c>
      <c r="BJ86" s="1" t="s">
        <v>74</v>
      </c>
      <c r="BK86" s="1" t="s">
        <v>74</v>
      </c>
      <c r="BL86" s="1" t="s">
        <v>74</v>
      </c>
      <c r="BM86" s="1" t="s">
        <v>74</v>
      </c>
      <c r="BN86" s="1" t="s">
        <v>74</v>
      </c>
      <c r="BO86" s="1" t="s">
        <v>74</v>
      </c>
      <c r="BP86" s="1" t="s">
        <v>74</v>
      </c>
      <c r="BQ86" s="1" t="s">
        <v>74</v>
      </c>
      <c r="BR86" s="1" t="s">
        <v>74</v>
      </c>
      <c r="BS86" s="1" t="s">
        <v>998</v>
      </c>
      <c r="BT86" s="1" t="str">
        <f>HYPERLINK("https%3A%2F%2Fwww.webofscience.com%2Fwos%2Fwoscc%2Ffull-record%2FWOS:000309307300010","View Full Record in Web of Science")</f>
        <v>View Full Record in Web of Science</v>
      </c>
    </row>
    <row r="87" ht="12.75" customHeight="1">
      <c r="A87" s="1" t="s">
        <v>72</v>
      </c>
      <c r="B87" s="1" t="s">
        <v>999</v>
      </c>
      <c r="C87" s="1" t="s">
        <v>74</v>
      </c>
      <c r="D87" s="1" t="s">
        <v>74</v>
      </c>
      <c r="E87" s="1" t="s">
        <v>74</v>
      </c>
      <c r="F87" s="1" t="s">
        <v>1000</v>
      </c>
      <c r="G87" s="1" t="s">
        <v>74</v>
      </c>
      <c r="H87" s="1" t="s">
        <v>74</v>
      </c>
      <c r="I87" s="1" t="s">
        <v>1001</v>
      </c>
      <c r="J87" s="1" t="s">
        <v>1002</v>
      </c>
      <c r="K87" s="1" t="s">
        <v>74</v>
      </c>
      <c r="L87" s="1" t="s">
        <v>74</v>
      </c>
      <c r="M87" s="1" t="s">
        <v>74</v>
      </c>
      <c r="N87" s="1" t="s">
        <v>74</v>
      </c>
      <c r="O87" s="1" t="s">
        <v>74</v>
      </c>
      <c r="P87" s="1" t="s">
        <v>74</v>
      </c>
      <c r="Q87" s="1" t="s">
        <v>74</v>
      </c>
      <c r="R87" s="1" t="s">
        <v>74</v>
      </c>
      <c r="S87" s="1" t="s">
        <v>74</v>
      </c>
      <c r="T87" s="1" t="s">
        <v>74</v>
      </c>
      <c r="U87" s="1" t="s">
        <v>74</v>
      </c>
      <c r="V87" s="1" t="s">
        <v>1003</v>
      </c>
      <c r="W87" s="1" t="s">
        <v>74</v>
      </c>
      <c r="X87" s="1" t="s">
        <v>74</v>
      </c>
      <c r="Y87" s="1" t="s">
        <v>74</v>
      </c>
      <c r="Z87" s="1" t="s">
        <v>74</v>
      </c>
      <c r="AA87" s="1" t="s">
        <v>1004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1005</v>
      </c>
      <c r="AP87" s="1" t="s">
        <v>1006</v>
      </c>
      <c r="AQ87" s="1" t="s">
        <v>74</v>
      </c>
      <c r="AR87" s="1" t="s">
        <v>74</v>
      </c>
      <c r="AS87" s="1" t="s">
        <v>74</v>
      </c>
      <c r="AT87" s="1" t="s">
        <v>241</v>
      </c>
      <c r="AU87" s="1">
        <v>2011.0</v>
      </c>
      <c r="AV87" s="1">
        <v>84.0</v>
      </c>
      <c r="AW87" s="1">
        <v>3.0</v>
      </c>
      <c r="AX87" s="1" t="s">
        <v>74</v>
      </c>
      <c r="AY87" s="1" t="s">
        <v>74</v>
      </c>
      <c r="AZ87" s="1" t="s">
        <v>74</v>
      </c>
      <c r="BA87" s="1" t="s">
        <v>74</v>
      </c>
      <c r="BB87" s="1">
        <v>307.0</v>
      </c>
      <c r="BC87" s="1">
        <v>323.0</v>
      </c>
      <c r="BD87" s="1" t="s">
        <v>74</v>
      </c>
      <c r="BE87" s="1" t="s">
        <v>1007</v>
      </c>
      <c r="BF87" s="2" t="str">
        <f>HYPERLINK("http://dx.doi.org/10.4067/S0716-078X2011000300001","http://dx.doi.org/10.4067/S0716-078X2011000300001")</f>
        <v>http://dx.doi.org/10.4067/S0716-078X2011000300001</v>
      </c>
      <c r="BG87" s="1" t="s">
        <v>74</v>
      </c>
      <c r="BH87" s="1" t="s">
        <v>74</v>
      </c>
      <c r="BI87" s="1" t="s">
        <v>74</v>
      </c>
      <c r="BJ87" s="1" t="s">
        <v>74</v>
      </c>
      <c r="BK87" s="1" t="s">
        <v>74</v>
      </c>
      <c r="BL87" s="1" t="s">
        <v>74</v>
      </c>
      <c r="BM87" s="1" t="s">
        <v>74</v>
      </c>
      <c r="BN87" s="1" t="s">
        <v>74</v>
      </c>
      <c r="BO87" s="1" t="s">
        <v>74</v>
      </c>
      <c r="BP87" s="1" t="s">
        <v>74</v>
      </c>
      <c r="BQ87" s="1" t="s">
        <v>74</v>
      </c>
      <c r="BR87" s="1" t="s">
        <v>74</v>
      </c>
      <c r="BS87" s="1" t="s">
        <v>1008</v>
      </c>
      <c r="BT87" s="1" t="str">
        <f>HYPERLINK("https%3A%2F%2Fwww.webofscience.com%2Fwos%2Fwoscc%2Ffull-record%2FWOS:000298514900001","View Full Record in Web of Science")</f>
        <v>View Full Record in Web of Science</v>
      </c>
    </row>
    <row r="88" ht="12.75" customHeight="1">
      <c r="A88" s="1" t="s">
        <v>72</v>
      </c>
      <c r="B88" s="1" t="s">
        <v>1009</v>
      </c>
      <c r="C88" s="1" t="s">
        <v>74</v>
      </c>
      <c r="D88" s="1" t="s">
        <v>74</v>
      </c>
      <c r="E88" s="1" t="s">
        <v>74</v>
      </c>
      <c r="F88" s="1" t="s">
        <v>1010</v>
      </c>
      <c r="G88" s="1" t="s">
        <v>74</v>
      </c>
      <c r="H88" s="1" t="s">
        <v>74</v>
      </c>
      <c r="I88" s="1" t="s">
        <v>1011</v>
      </c>
      <c r="J88" s="1" t="s">
        <v>1012</v>
      </c>
      <c r="K88" s="1" t="s">
        <v>74</v>
      </c>
      <c r="L88" s="1" t="s">
        <v>74</v>
      </c>
      <c r="M88" s="1" t="s">
        <v>74</v>
      </c>
      <c r="N88" s="1" t="s">
        <v>74</v>
      </c>
      <c r="O88" s="1" t="s">
        <v>74</v>
      </c>
      <c r="P88" s="1" t="s">
        <v>74</v>
      </c>
      <c r="Q88" s="1" t="s">
        <v>74</v>
      </c>
      <c r="R88" s="1" t="s">
        <v>74</v>
      </c>
      <c r="S88" s="1" t="s">
        <v>74</v>
      </c>
      <c r="T88" s="1" t="s">
        <v>74</v>
      </c>
      <c r="U88" s="1" t="s">
        <v>74</v>
      </c>
      <c r="V88" s="1" t="s">
        <v>1013</v>
      </c>
      <c r="W88" s="1" t="s">
        <v>74</v>
      </c>
      <c r="X88" s="1" t="s">
        <v>74</v>
      </c>
      <c r="Y88" s="1" t="s">
        <v>74</v>
      </c>
      <c r="Z88" s="1" t="s">
        <v>74</v>
      </c>
      <c r="AA88" s="1" t="s">
        <v>1014</v>
      </c>
      <c r="AB88" s="1" t="s">
        <v>1015</v>
      </c>
      <c r="AC88" s="1" t="s">
        <v>74</v>
      </c>
      <c r="AD88" s="1" t="s">
        <v>74</v>
      </c>
      <c r="AE88" s="1" t="s">
        <v>74</v>
      </c>
      <c r="AF88" s="1" t="s">
        <v>74</v>
      </c>
      <c r="AG88" s="1" t="s">
        <v>74</v>
      </c>
      <c r="AH88" s="1" t="s">
        <v>74</v>
      </c>
      <c r="AI88" s="1" t="s">
        <v>74</v>
      </c>
      <c r="AJ88" s="1" t="s">
        <v>74</v>
      </c>
      <c r="AK88" s="1" t="s">
        <v>74</v>
      </c>
      <c r="AL88" s="1" t="s">
        <v>74</v>
      </c>
      <c r="AM88" s="1" t="s">
        <v>74</v>
      </c>
      <c r="AN88" s="1" t="s">
        <v>74</v>
      </c>
      <c r="AO88" s="1" t="s">
        <v>1016</v>
      </c>
      <c r="AP88" s="1" t="s">
        <v>1017</v>
      </c>
      <c r="AQ88" s="1" t="s">
        <v>74</v>
      </c>
      <c r="AR88" s="1" t="s">
        <v>74</v>
      </c>
      <c r="AS88" s="1" t="s">
        <v>74</v>
      </c>
      <c r="AT88" s="1" t="s">
        <v>74</v>
      </c>
      <c r="AU88" s="1">
        <v>2009.0</v>
      </c>
      <c r="AV88" s="1">
        <v>27.0</v>
      </c>
      <c r="AW88" s="1">
        <v>5.0</v>
      </c>
      <c r="AX88" s="1" t="s">
        <v>74</v>
      </c>
      <c r="AY88" s="1" t="s">
        <v>74</v>
      </c>
      <c r="AZ88" s="1" t="s">
        <v>74</v>
      </c>
      <c r="BA88" s="1" t="s">
        <v>74</v>
      </c>
      <c r="BB88" s="1">
        <v>513.0</v>
      </c>
      <c r="BC88" s="1">
        <v>521.0</v>
      </c>
      <c r="BD88" s="1" t="s">
        <v>74</v>
      </c>
      <c r="BE88" s="1" t="s">
        <v>1018</v>
      </c>
      <c r="BF88" s="2" t="str">
        <f>HYPERLINK("http://dx.doi.org/10.1260/0263-6174.27.5.513","http://dx.doi.org/10.1260/0263-6174.27.5.513")</f>
        <v>http://dx.doi.org/10.1260/0263-6174.27.5.513</v>
      </c>
      <c r="BG88" s="1" t="s">
        <v>74</v>
      </c>
      <c r="BH88" s="1" t="s">
        <v>74</v>
      </c>
      <c r="BI88" s="1" t="s">
        <v>74</v>
      </c>
      <c r="BJ88" s="1" t="s">
        <v>74</v>
      </c>
      <c r="BK88" s="1" t="s">
        <v>74</v>
      </c>
      <c r="BL88" s="1" t="s">
        <v>74</v>
      </c>
      <c r="BM88" s="1" t="s">
        <v>74</v>
      </c>
      <c r="BN88" s="1" t="s">
        <v>74</v>
      </c>
      <c r="BO88" s="1" t="s">
        <v>74</v>
      </c>
      <c r="BP88" s="1" t="s">
        <v>74</v>
      </c>
      <c r="BQ88" s="1" t="s">
        <v>74</v>
      </c>
      <c r="BR88" s="1" t="s">
        <v>74</v>
      </c>
      <c r="BS88" s="1" t="s">
        <v>1019</v>
      </c>
      <c r="BT88" s="1" t="str">
        <f>HYPERLINK("https%3A%2F%2Fwww.webofscience.com%2Fwos%2Fwoscc%2Ffull-record%2FWOS:000274213900006","View Full Record in Web of Science")</f>
        <v>View Full Record in Web of Science</v>
      </c>
    </row>
    <row r="89" ht="12.75" customHeight="1">
      <c r="A89" s="1" t="s">
        <v>72</v>
      </c>
      <c r="B89" s="1" t="s">
        <v>1020</v>
      </c>
      <c r="C89" s="1" t="s">
        <v>74</v>
      </c>
      <c r="D89" s="1" t="s">
        <v>74</v>
      </c>
      <c r="E89" s="1" t="s">
        <v>74</v>
      </c>
      <c r="F89" s="1" t="s">
        <v>1021</v>
      </c>
      <c r="G89" s="1" t="s">
        <v>74</v>
      </c>
      <c r="H89" s="1" t="s">
        <v>74</v>
      </c>
      <c r="I89" s="1" t="s">
        <v>1022</v>
      </c>
      <c r="J89" s="1" t="s">
        <v>1023</v>
      </c>
      <c r="K89" s="1" t="s">
        <v>74</v>
      </c>
      <c r="L89" s="1" t="s">
        <v>74</v>
      </c>
      <c r="M89" s="1" t="s">
        <v>74</v>
      </c>
      <c r="N89" s="1" t="s">
        <v>74</v>
      </c>
      <c r="O89" s="1" t="s">
        <v>74</v>
      </c>
      <c r="P89" s="1" t="s">
        <v>74</v>
      </c>
      <c r="Q89" s="1" t="s">
        <v>74</v>
      </c>
      <c r="R89" s="1" t="s">
        <v>74</v>
      </c>
      <c r="S89" s="1" t="s">
        <v>74</v>
      </c>
      <c r="T89" s="1" t="s">
        <v>74</v>
      </c>
      <c r="U89" s="1" t="s">
        <v>74</v>
      </c>
      <c r="V89" s="1" t="s">
        <v>1024</v>
      </c>
      <c r="W89" s="1" t="s">
        <v>74</v>
      </c>
      <c r="X89" s="1" t="s">
        <v>74</v>
      </c>
      <c r="Y89" s="1" t="s">
        <v>74</v>
      </c>
      <c r="Z89" s="1" t="s">
        <v>74</v>
      </c>
      <c r="AA89" s="1" t="s">
        <v>1025</v>
      </c>
      <c r="AB89" s="1" t="s">
        <v>1026</v>
      </c>
      <c r="AC89" s="1" t="s">
        <v>74</v>
      </c>
      <c r="AD89" s="1" t="s">
        <v>74</v>
      </c>
      <c r="AE89" s="1" t="s">
        <v>74</v>
      </c>
      <c r="AF89" s="1" t="s">
        <v>74</v>
      </c>
      <c r="AG89" s="1" t="s">
        <v>74</v>
      </c>
      <c r="AH89" s="1" t="s">
        <v>74</v>
      </c>
      <c r="AI89" s="1" t="s">
        <v>74</v>
      </c>
      <c r="AJ89" s="1" t="s">
        <v>74</v>
      </c>
      <c r="AK89" s="1" t="s">
        <v>74</v>
      </c>
      <c r="AL89" s="1" t="s">
        <v>74</v>
      </c>
      <c r="AM89" s="1" t="s">
        <v>74</v>
      </c>
      <c r="AN89" s="1" t="s">
        <v>74</v>
      </c>
      <c r="AO89" s="1" t="s">
        <v>1027</v>
      </c>
      <c r="AP89" s="1" t="s">
        <v>74</v>
      </c>
      <c r="AQ89" s="1" t="s">
        <v>74</v>
      </c>
      <c r="AR89" s="1" t="s">
        <v>74</v>
      </c>
      <c r="AS89" s="1" t="s">
        <v>74</v>
      </c>
      <c r="AT89" s="1" t="s">
        <v>1028</v>
      </c>
      <c r="AU89" s="1">
        <v>2008.0</v>
      </c>
      <c r="AV89" s="1">
        <v>41.0</v>
      </c>
      <c r="AW89" s="1">
        <v>13.0</v>
      </c>
      <c r="AX89" s="1" t="s">
        <v>74</v>
      </c>
      <c r="AY89" s="1" t="s">
        <v>74</v>
      </c>
      <c r="AZ89" s="1" t="s">
        <v>74</v>
      </c>
      <c r="BA89" s="1" t="s">
        <v>74</v>
      </c>
      <c r="BB89" s="1" t="s">
        <v>74</v>
      </c>
      <c r="BC89" s="1" t="s">
        <v>74</v>
      </c>
      <c r="BD89" s="1">
        <v>132003.0</v>
      </c>
      <c r="BE89" s="1" t="s">
        <v>1029</v>
      </c>
      <c r="BF89" s="2" t="str">
        <f>HYPERLINK("http://dx.doi.org/10.1088/0022-3727/41/13/132003","http://dx.doi.org/10.1088/0022-3727/41/13/132003")</f>
        <v>http://dx.doi.org/10.1088/0022-3727/41/13/132003</v>
      </c>
      <c r="BG89" s="1" t="s">
        <v>74</v>
      </c>
      <c r="BH89" s="1" t="s">
        <v>74</v>
      </c>
      <c r="BI89" s="1" t="s">
        <v>74</v>
      </c>
      <c r="BJ89" s="1" t="s">
        <v>74</v>
      </c>
      <c r="BK89" s="1" t="s">
        <v>74</v>
      </c>
      <c r="BL89" s="1" t="s">
        <v>74</v>
      </c>
      <c r="BM89" s="1" t="s">
        <v>74</v>
      </c>
      <c r="BN89" s="1" t="s">
        <v>74</v>
      </c>
      <c r="BO89" s="1" t="s">
        <v>74</v>
      </c>
      <c r="BP89" s="1" t="s">
        <v>74</v>
      </c>
      <c r="BQ89" s="1" t="s">
        <v>74</v>
      </c>
      <c r="BR89" s="1" t="s">
        <v>74</v>
      </c>
      <c r="BS89" s="1" t="s">
        <v>1030</v>
      </c>
      <c r="BT89" s="1" t="str">
        <f>HYPERLINK("https%3A%2F%2Fwww.webofscience.com%2Fwos%2Fwoscc%2Ffull-record%2FWOS:000256928100004","View Full Record in Web of Science")</f>
        <v>View Full Record in Web of Science</v>
      </c>
    </row>
    <row r="90" ht="12.75" customHeight="1">
      <c r="A90" s="1" t="s">
        <v>72</v>
      </c>
      <c r="B90" s="1" t="s">
        <v>1031</v>
      </c>
      <c r="C90" s="1" t="s">
        <v>74</v>
      </c>
      <c r="D90" s="1" t="s">
        <v>74</v>
      </c>
      <c r="E90" s="1" t="s">
        <v>74</v>
      </c>
      <c r="F90" s="1" t="s">
        <v>1032</v>
      </c>
      <c r="G90" s="1" t="s">
        <v>74</v>
      </c>
      <c r="H90" s="1" t="s">
        <v>74</v>
      </c>
      <c r="I90" s="1" t="s">
        <v>1033</v>
      </c>
      <c r="J90" s="1" t="s">
        <v>1034</v>
      </c>
      <c r="K90" s="1" t="s">
        <v>74</v>
      </c>
      <c r="L90" s="1" t="s">
        <v>74</v>
      </c>
      <c r="M90" s="1" t="s">
        <v>74</v>
      </c>
      <c r="N90" s="1" t="s">
        <v>74</v>
      </c>
      <c r="O90" s="1" t="s">
        <v>74</v>
      </c>
      <c r="P90" s="1" t="s">
        <v>74</v>
      </c>
      <c r="Q90" s="1" t="s">
        <v>74</v>
      </c>
      <c r="R90" s="1" t="s">
        <v>74</v>
      </c>
      <c r="S90" s="1" t="s">
        <v>74</v>
      </c>
      <c r="T90" s="1" t="s">
        <v>74</v>
      </c>
      <c r="U90" s="1" t="s">
        <v>74</v>
      </c>
      <c r="V90" s="1" t="s">
        <v>1035</v>
      </c>
      <c r="W90" s="1" t="s">
        <v>74</v>
      </c>
      <c r="X90" s="1" t="s">
        <v>74</v>
      </c>
      <c r="Y90" s="1" t="s">
        <v>74</v>
      </c>
      <c r="Z90" s="1" t="s">
        <v>74</v>
      </c>
      <c r="AA90" s="1" t="s">
        <v>1036</v>
      </c>
      <c r="AB90" s="1" t="s">
        <v>1037</v>
      </c>
      <c r="AC90" s="1" t="s">
        <v>74</v>
      </c>
      <c r="AD90" s="1" t="s">
        <v>74</v>
      </c>
      <c r="AE90" s="1" t="s">
        <v>74</v>
      </c>
      <c r="AF90" s="1" t="s">
        <v>74</v>
      </c>
      <c r="AG90" s="1" t="s">
        <v>74</v>
      </c>
      <c r="AH90" s="1" t="s">
        <v>74</v>
      </c>
      <c r="AI90" s="1" t="s">
        <v>74</v>
      </c>
      <c r="AJ90" s="1" t="s">
        <v>74</v>
      </c>
      <c r="AK90" s="1" t="s">
        <v>74</v>
      </c>
      <c r="AL90" s="1" t="s">
        <v>74</v>
      </c>
      <c r="AM90" s="1" t="s">
        <v>74</v>
      </c>
      <c r="AN90" s="1" t="s">
        <v>74</v>
      </c>
      <c r="AO90" s="1" t="s">
        <v>1038</v>
      </c>
      <c r="AP90" s="1" t="s">
        <v>1039</v>
      </c>
      <c r="AQ90" s="1" t="s">
        <v>74</v>
      </c>
      <c r="AR90" s="1" t="s">
        <v>74</v>
      </c>
      <c r="AS90" s="1" t="s">
        <v>74</v>
      </c>
      <c r="AT90" s="1" t="s">
        <v>308</v>
      </c>
      <c r="AU90" s="1">
        <v>2008.0</v>
      </c>
      <c r="AV90" s="1">
        <v>19.0</v>
      </c>
      <c r="AW90" s="1">
        <v>4.0</v>
      </c>
      <c r="AX90" s="1" t="s">
        <v>74</v>
      </c>
      <c r="AY90" s="1" t="s">
        <v>74</v>
      </c>
      <c r="AZ90" s="1" t="s">
        <v>74</v>
      </c>
      <c r="BA90" s="1" t="s">
        <v>74</v>
      </c>
      <c r="BB90" s="1" t="s">
        <v>74</v>
      </c>
      <c r="BC90" s="1" t="s">
        <v>74</v>
      </c>
      <c r="BD90" s="1">
        <v>45104.0</v>
      </c>
      <c r="BE90" s="1" t="s">
        <v>1040</v>
      </c>
      <c r="BF90" s="2" t="str">
        <f>HYPERLINK("http://dx.doi.org/10.1088/0957-0233/19/4/045104","http://dx.doi.org/10.1088/0957-0233/19/4/045104")</f>
        <v>http://dx.doi.org/10.1088/0957-0233/19/4/045104</v>
      </c>
      <c r="BG90" s="1" t="s">
        <v>74</v>
      </c>
      <c r="BH90" s="1" t="s">
        <v>74</v>
      </c>
      <c r="BI90" s="1" t="s">
        <v>74</v>
      </c>
      <c r="BJ90" s="1" t="s">
        <v>74</v>
      </c>
      <c r="BK90" s="1" t="s">
        <v>74</v>
      </c>
      <c r="BL90" s="1" t="s">
        <v>74</v>
      </c>
      <c r="BM90" s="1" t="s">
        <v>74</v>
      </c>
      <c r="BN90" s="1" t="s">
        <v>74</v>
      </c>
      <c r="BO90" s="1" t="s">
        <v>74</v>
      </c>
      <c r="BP90" s="1" t="s">
        <v>74</v>
      </c>
      <c r="BQ90" s="1" t="s">
        <v>74</v>
      </c>
      <c r="BR90" s="1" t="s">
        <v>74</v>
      </c>
      <c r="BS90" s="1" t="s">
        <v>1041</v>
      </c>
      <c r="BT90" s="1" t="str">
        <f>HYPERLINK("https%3A%2F%2Fwww.webofscience.com%2Fwos%2Fwoscc%2Ffull-record%2FWOS:000254406700006","View Full Record in Web of Science")</f>
        <v>View Full Record in Web of Science</v>
      </c>
    </row>
    <row r="91" ht="12.75" customHeight="1">
      <c r="A91" s="1" t="s">
        <v>72</v>
      </c>
      <c r="B91" s="1" t="s">
        <v>1042</v>
      </c>
      <c r="C91" s="1" t="s">
        <v>74</v>
      </c>
      <c r="D91" s="1" t="s">
        <v>74</v>
      </c>
      <c r="E91" s="1" t="s">
        <v>74</v>
      </c>
      <c r="F91" s="1" t="s">
        <v>1043</v>
      </c>
      <c r="G91" s="1" t="s">
        <v>74</v>
      </c>
      <c r="H91" s="1" t="s">
        <v>74</v>
      </c>
      <c r="I91" s="1" t="s">
        <v>1044</v>
      </c>
      <c r="J91" s="1" t="s">
        <v>1045</v>
      </c>
      <c r="K91" s="1" t="s">
        <v>74</v>
      </c>
      <c r="L91" s="1" t="s">
        <v>74</v>
      </c>
      <c r="M91" s="1" t="s">
        <v>74</v>
      </c>
      <c r="N91" s="1" t="s">
        <v>74</v>
      </c>
      <c r="O91" s="1" t="s">
        <v>74</v>
      </c>
      <c r="P91" s="1" t="s">
        <v>74</v>
      </c>
      <c r="Q91" s="1" t="s">
        <v>74</v>
      </c>
      <c r="R91" s="1" t="s">
        <v>74</v>
      </c>
      <c r="S91" s="1" t="s">
        <v>74</v>
      </c>
      <c r="T91" s="1" t="s">
        <v>74</v>
      </c>
      <c r="U91" s="1" t="s">
        <v>74</v>
      </c>
      <c r="V91" s="1" t="s">
        <v>1046</v>
      </c>
      <c r="W91" s="1" t="s">
        <v>74</v>
      </c>
      <c r="X91" s="1" t="s">
        <v>74</v>
      </c>
      <c r="Y91" s="1" t="s">
        <v>74</v>
      </c>
      <c r="Z91" s="1" t="s">
        <v>74</v>
      </c>
      <c r="AA91" s="1" t="s">
        <v>74</v>
      </c>
      <c r="AB91" s="1" t="s">
        <v>74</v>
      </c>
      <c r="AC91" s="1" t="s">
        <v>74</v>
      </c>
      <c r="AD91" s="1" t="s">
        <v>74</v>
      </c>
      <c r="AE91" s="1" t="s">
        <v>74</v>
      </c>
      <c r="AF91" s="1" t="s">
        <v>74</v>
      </c>
      <c r="AG91" s="1" t="s">
        <v>74</v>
      </c>
      <c r="AH91" s="1" t="s">
        <v>74</v>
      </c>
      <c r="AI91" s="1" t="s">
        <v>74</v>
      </c>
      <c r="AJ91" s="1" t="s">
        <v>74</v>
      </c>
      <c r="AK91" s="1" t="s">
        <v>74</v>
      </c>
      <c r="AL91" s="1" t="s">
        <v>74</v>
      </c>
      <c r="AM91" s="1" t="s">
        <v>74</v>
      </c>
      <c r="AN91" s="1" t="s">
        <v>74</v>
      </c>
      <c r="AO91" s="1" t="s">
        <v>1047</v>
      </c>
      <c r="AP91" s="1" t="s">
        <v>74</v>
      </c>
      <c r="AQ91" s="1" t="s">
        <v>74</v>
      </c>
      <c r="AR91" s="1" t="s">
        <v>74</v>
      </c>
      <c r="AS91" s="1" t="s">
        <v>74</v>
      </c>
      <c r="AT91" s="1" t="s">
        <v>74</v>
      </c>
      <c r="AU91" s="1">
        <v>2008.0</v>
      </c>
      <c r="AV91" s="1">
        <v>46.0</v>
      </c>
      <c r="AW91" s="1">
        <v>1.0</v>
      </c>
      <c r="AX91" s="1" t="s">
        <v>74</v>
      </c>
      <c r="AY91" s="1" t="s">
        <v>74</v>
      </c>
      <c r="AZ91" s="1" t="s">
        <v>74</v>
      </c>
      <c r="BA91" s="1" t="s">
        <v>74</v>
      </c>
      <c r="BB91" s="1">
        <v>53.0</v>
      </c>
      <c r="BC91" s="1">
        <v>61.0</v>
      </c>
      <c r="BD91" s="1" t="s">
        <v>74</v>
      </c>
      <c r="BE91" s="1" t="s">
        <v>1048</v>
      </c>
      <c r="BF91" s="2" t="str">
        <f>HYPERLINK("http://dx.doi.org/10.1071/SR07009","http://dx.doi.org/10.1071/SR07009")</f>
        <v>http://dx.doi.org/10.1071/SR07009</v>
      </c>
      <c r="BG91" s="1" t="s">
        <v>74</v>
      </c>
      <c r="BH91" s="1" t="s">
        <v>74</v>
      </c>
      <c r="BI91" s="1" t="s">
        <v>74</v>
      </c>
      <c r="BJ91" s="1" t="s">
        <v>74</v>
      </c>
      <c r="BK91" s="1" t="s">
        <v>74</v>
      </c>
      <c r="BL91" s="1" t="s">
        <v>74</v>
      </c>
      <c r="BM91" s="1" t="s">
        <v>74</v>
      </c>
      <c r="BN91" s="1" t="s">
        <v>74</v>
      </c>
      <c r="BO91" s="1" t="s">
        <v>74</v>
      </c>
      <c r="BP91" s="1" t="s">
        <v>74</v>
      </c>
      <c r="BQ91" s="1" t="s">
        <v>74</v>
      </c>
      <c r="BR91" s="1" t="s">
        <v>74</v>
      </c>
      <c r="BS91" s="1" t="s">
        <v>1049</v>
      </c>
      <c r="BT91" s="1" t="str">
        <f>HYPERLINK("https%3A%2F%2Fwww.webofscience.com%2Fwos%2Fwoscc%2Ffull-record%2FWOS:000252979600006","View Full Record in Web of Science")</f>
        <v>View Full Record in Web of Science</v>
      </c>
    </row>
    <row r="92" ht="12.75" customHeight="1">
      <c r="A92" s="1" t="s">
        <v>72</v>
      </c>
      <c r="B92" s="1" t="s">
        <v>1050</v>
      </c>
      <c r="C92" s="1" t="s">
        <v>74</v>
      </c>
      <c r="D92" s="1" t="s">
        <v>74</v>
      </c>
      <c r="E92" s="1" t="s">
        <v>74</v>
      </c>
      <c r="F92" s="1" t="s">
        <v>1051</v>
      </c>
      <c r="G92" s="1" t="s">
        <v>74</v>
      </c>
      <c r="H92" s="1" t="s">
        <v>74</v>
      </c>
      <c r="I92" s="1" t="s">
        <v>1052</v>
      </c>
      <c r="J92" s="1" t="s">
        <v>873</v>
      </c>
      <c r="K92" s="1" t="s">
        <v>74</v>
      </c>
      <c r="L92" s="1" t="s">
        <v>74</v>
      </c>
      <c r="M92" s="1" t="s">
        <v>74</v>
      </c>
      <c r="N92" s="1" t="s">
        <v>74</v>
      </c>
      <c r="O92" s="1" t="s">
        <v>74</v>
      </c>
      <c r="P92" s="1" t="s">
        <v>74</v>
      </c>
      <c r="Q92" s="1" t="s">
        <v>74</v>
      </c>
      <c r="R92" s="1" t="s">
        <v>74</v>
      </c>
      <c r="S92" s="1" t="s">
        <v>74</v>
      </c>
      <c r="T92" s="1" t="s">
        <v>74</v>
      </c>
      <c r="U92" s="1" t="s">
        <v>74</v>
      </c>
      <c r="V92" s="1" t="s">
        <v>1053</v>
      </c>
      <c r="W92" s="1" t="s">
        <v>74</v>
      </c>
      <c r="X92" s="1" t="s">
        <v>74</v>
      </c>
      <c r="Y92" s="1" t="s">
        <v>74</v>
      </c>
      <c r="Z92" s="1" t="s">
        <v>74</v>
      </c>
      <c r="AA92" s="1" t="s">
        <v>1054</v>
      </c>
      <c r="AB92" s="1" t="s">
        <v>1055</v>
      </c>
      <c r="AC92" s="1" t="s">
        <v>74</v>
      </c>
      <c r="AD92" s="1" t="s">
        <v>74</v>
      </c>
      <c r="AE92" s="1" t="s">
        <v>74</v>
      </c>
      <c r="AF92" s="1" t="s">
        <v>74</v>
      </c>
      <c r="AG92" s="1" t="s">
        <v>74</v>
      </c>
      <c r="AH92" s="1" t="s">
        <v>74</v>
      </c>
      <c r="AI92" s="1" t="s">
        <v>74</v>
      </c>
      <c r="AJ92" s="1" t="s">
        <v>74</v>
      </c>
      <c r="AK92" s="1" t="s">
        <v>74</v>
      </c>
      <c r="AL92" s="1" t="s">
        <v>74</v>
      </c>
      <c r="AM92" s="1" t="s">
        <v>74</v>
      </c>
      <c r="AN92" s="1" t="s">
        <v>74</v>
      </c>
      <c r="AO92" s="1" t="s">
        <v>875</v>
      </c>
      <c r="AP92" s="1" t="s">
        <v>876</v>
      </c>
      <c r="AQ92" s="1" t="s">
        <v>74</v>
      </c>
      <c r="AR92" s="1" t="s">
        <v>74</v>
      </c>
      <c r="AS92" s="1" t="s">
        <v>74</v>
      </c>
      <c r="AT92" s="1" t="s">
        <v>974</v>
      </c>
      <c r="AU92" s="1">
        <v>2006.0</v>
      </c>
      <c r="AV92" s="1">
        <v>134.0</v>
      </c>
      <c r="AW92" s="1">
        <v>7.0</v>
      </c>
      <c r="AX92" s="1" t="s">
        <v>74</v>
      </c>
      <c r="AY92" s="1" t="s">
        <v>74</v>
      </c>
      <c r="AZ92" s="1" t="s">
        <v>74</v>
      </c>
      <c r="BA92" s="1" t="s">
        <v>74</v>
      </c>
      <c r="BB92" s="1">
        <v>893.0</v>
      </c>
      <c r="BC92" s="1">
        <v>901.0</v>
      </c>
      <c r="BD92" s="1" t="s">
        <v>74</v>
      </c>
      <c r="BE92" s="1" t="s">
        <v>74</v>
      </c>
      <c r="BF92" s="1" t="s">
        <v>74</v>
      </c>
      <c r="BG92" s="1" t="s">
        <v>74</v>
      </c>
      <c r="BH92" s="1" t="s">
        <v>74</v>
      </c>
      <c r="BI92" s="1" t="s">
        <v>74</v>
      </c>
      <c r="BJ92" s="1" t="s">
        <v>74</v>
      </c>
      <c r="BK92" s="1" t="s">
        <v>74</v>
      </c>
      <c r="BL92" s="1" t="s">
        <v>74</v>
      </c>
      <c r="BM92" s="1" t="s">
        <v>74</v>
      </c>
      <c r="BN92" s="1">
        <v>1.7130974E7</v>
      </c>
      <c r="BO92" s="1" t="s">
        <v>74</v>
      </c>
      <c r="BP92" s="1" t="s">
        <v>74</v>
      </c>
      <c r="BQ92" s="1" t="s">
        <v>74</v>
      </c>
      <c r="BR92" s="1" t="s">
        <v>74</v>
      </c>
      <c r="BS92" s="1" t="s">
        <v>1056</v>
      </c>
      <c r="BT92" s="1" t="str">
        <f>HYPERLINK("https%3A%2F%2Fwww.webofscience.com%2Fwos%2Fwoscc%2Ffull-record%2FWOS:000240253900014","View Full Record in Web of Science")</f>
        <v>View Full Record in Web of Science</v>
      </c>
    </row>
    <row r="93" ht="12.75" customHeight="1">
      <c r="A93" s="1" t="s">
        <v>72</v>
      </c>
      <c r="B93" s="1" t="s">
        <v>1057</v>
      </c>
      <c r="C93" s="1" t="s">
        <v>74</v>
      </c>
      <c r="D93" s="1" t="s">
        <v>74</v>
      </c>
      <c r="E93" s="1" t="s">
        <v>74</v>
      </c>
      <c r="F93" s="1" t="s">
        <v>1057</v>
      </c>
      <c r="G93" s="1" t="s">
        <v>74</v>
      </c>
      <c r="H93" s="1" t="s">
        <v>74</v>
      </c>
      <c r="I93" s="1" t="s">
        <v>1058</v>
      </c>
      <c r="J93" s="1" t="s">
        <v>1059</v>
      </c>
      <c r="K93" s="1" t="s">
        <v>74</v>
      </c>
      <c r="L93" s="1" t="s">
        <v>74</v>
      </c>
      <c r="M93" s="1" t="s">
        <v>74</v>
      </c>
      <c r="N93" s="1" t="s">
        <v>74</v>
      </c>
      <c r="O93" s="1" t="s">
        <v>74</v>
      </c>
      <c r="P93" s="1" t="s">
        <v>74</v>
      </c>
      <c r="Q93" s="1" t="s">
        <v>74</v>
      </c>
      <c r="R93" s="1" t="s">
        <v>74</v>
      </c>
      <c r="S93" s="1" t="s">
        <v>74</v>
      </c>
      <c r="T93" s="1" t="s">
        <v>74</v>
      </c>
      <c r="U93" s="1" t="s">
        <v>74</v>
      </c>
      <c r="V93" s="1" t="s">
        <v>1060</v>
      </c>
      <c r="W93" s="1" t="s">
        <v>74</v>
      </c>
      <c r="X93" s="1" t="s">
        <v>74</v>
      </c>
      <c r="Y93" s="1" t="s">
        <v>74</v>
      </c>
      <c r="Z93" s="1" t="s">
        <v>74</v>
      </c>
      <c r="AA93" s="1" t="s">
        <v>1061</v>
      </c>
      <c r="AB93" s="1" t="s">
        <v>1062</v>
      </c>
      <c r="AC93" s="1" t="s">
        <v>74</v>
      </c>
      <c r="AD93" s="1" t="s">
        <v>74</v>
      </c>
      <c r="AE93" s="1" t="s">
        <v>74</v>
      </c>
      <c r="AF93" s="1" t="s">
        <v>74</v>
      </c>
      <c r="AG93" s="1" t="s">
        <v>74</v>
      </c>
      <c r="AH93" s="1" t="s">
        <v>74</v>
      </c>
      <c r="AI93" s="1" t="s">
        <v>74</v>
      </c>
      <c r="AJ93" s="1" t="s">
        <v>74</v>
      </c>
      <c r="AK93" s="1" t="s">
        <v>74</v>
      </c>
      <c r="AL93" s="1" t="s">
        <v>74</v>
      </c>
      <c r="AM93" s="1" t="s">
        <v>74</v>
      </c>
      <c r="AN93" s="1" t="s">
        <v>74</v>
      </c>
      <c r="AO93" s="1" t="s">
        <v>1063</v>
      </c>
      <c r="AP93" s="1" t="s">
        <v>74</v>
      </c>
      <c r="AQ93" s="1" t="s">
        <v>74</v>
      </c>
      <c r="AR93" s="1" t="s">
        <v>74</v>
      </c>
      <c r="AS93" s="1" t="s">
        <v>74</v>
      </c>
      <c r="AT93" s="1" t="s">
        <v>176</v>
      </c>
      <c r="AU93" s="1">
        <v>2002.0</v>
      </c>
      <c r="AV93" s="1">
        <v>184.0</v>
      </c>
      <c r="AW93" s="1">
        <v>5.0</v>
      </c>
      <c r="AX93" s="1" t="s">
        <v>74</v>
      </c>
      <c r="AY93" s="1" t="s">
        <v>74</v>
      </c>
      <c r="AZ93" s="1" t="s">
        <v>74</v>
      </c>
      <c r="BA93" s="1" t="s">
        <v>74</v>
      </c>
      <c r="BB93" s="1">
        <v>1498.0</v>
      </c>
      <c r="BC93" s="1">
        <v>1501.0</v>
      </c>
      <c r="BD93" s="1" t="s">
        <v>74</v>
      </c>
      <c r="BE93" s="1" t="s">
        <v>1064</v>
      </c>
      <c r="BF93" s="2" t="str">
        <f>HYPERLINK("http://dx.doi.org/10.1128/JB.184.5.1498-1501.2002","http://dx.doi.org/10.1128/JB.184.5.1498-1501.2002")</f>
        <v>http://dx.doi.org/10.1128/JB.184.5.1498-1501.2002</v>
      </c>
      <c r="BG93" s="1" t="s">
        <v>74</v>
      </c>
      <c r="BH93" s="1" t="s">
        <v>74</v>
      </c>
      <c r="BI93" s="1" t="s">
        <v>74</v>
      </c>
      <c r="BJ93" s="1" t="s">
        <v>74</v>
      </c>
      <c r="BK93" s="1" t="s">
        <v>74</v>
      </c>
      <c r="BL93" s="1" t="s">
        <v>74</v>
      </c>
      <c r="BM93" s="1" t="s">
        <v>74</v>
      </c>
      <c r="BN93" s="1">
        <v>1.1844787E7</v>
      </c>
      <c r="BO93" s="1" t="s">
        <v>74</v>
      </c>
      <c r="BP93" s="1" t="s">
        <v>74</v>
      </c>
      <c r="BQ93" s="1" t="s">
        <v>74</v>
      </c>
      <c r="BR93" s="1" t="s">
        <v>74</v>
      </c>
      <c r="BS93" s="1" t="s">
        <v>1065</v>
      </c>
      <c r="BT93" s="1" t="str">
        <f>HYPERLINK("https%3A%2F%2Fwww.webofscience.com%2Fwos%2Fwoscc%2Ffull-record%2FWOS:000173932600038","View Full Record in Web of Science")</f>
        <v>View Full Record in Web of Science</v>
      </c>
    </row>
    <row r="94" ht="12.75" customHeight="1">
      <c r="A94" s="1" t="s">
        <v>72</v>
      </c>
      <c r="B94" s="1" t="s">
        <v>1066</v>
      </c>
      <c r="C94" s="1" t="s">
        <v>74</v>
      </c>
      <c r="D94" s="1" t="s">
        <v>74</v>
      </c>
      <c r="E94" s="1" t="s">
        <v>74</v>
      </c>
      <c r="F94" s="1" t="s">
        <v>1066</v>
      </c>
      <c r="G94" s="1" t="s">
        <v>74</v>
      </c>
      <c r="H94" s="1" t="s">
        <v>74</v>
      </c>
      <c r="I94" s="1" t="s">
        <v>1067</v>
      </c>
      <c r="J94" s="1" t="s">
        <v>1068</v>
      </c>
      <c r="K94" s="1" t="s">
        <v>74</v>
      </c>
      <c r="L94" s="1" t="s">
        <v>74</v>
      </c>
      <c r="M94" s="1" t="s">
        <v>74</v>
      </c>
      <c r="N94" s="1" t="s">
        <v>74</v>
      </c>
      <c r="O94" s="1" t="s">
        <v>74</v>
      </c>
      <c r="P94" s="1" t="s">
        <v>74</v>
      </c>
      <c r="Q94" s="1" t="s">
        <v>74</v>
      </c>
      <c r="R94" s="1" t="s">
        <v>74</v>
      </c>
      <c r="S94" s="1" t="s">
        <v>74</v>
      </c>
      <c r="T94" s="1" t="s">
        <v>74</v>
      </c>
      <c r="U94" s="1" t="s">
        <v>74</v>
      </c>
      <c r="V94" s="1" t="s">
        <v>1069</v>
      </c>
      <c r="W94" s="1" t="s">
        <v>74</v>
      </c>
      <c r="X94" s="1" t="s">
        <v>74</v>
      </c>
      <c r="Y94" s="1" t="s">
        <v>74</v>
      </c>
      <c r="Z94" s="1" t="s">
        <v>74</v>
      </c>
      <c r="AA94" s="1" t="s">
        <v>1070</v>
      </c>
      <c r="AB94" s="1" t="s">
        <v>1071</v>
      </c>
      <c r="AC94" s="1" t="s">
        <v>74</v>
      </c>
      <c r="AD94" s="1" t="s">
        <v>74</v>
      </c>
      <c r="AE94" s="1" t="s">
        <v>74</v>
      </c>
      <c r="AF94" s="1" t="s">
        <v>74</v>
      </c>
      <c r="AG94" s="1" t="s">
        <v>74</v>
      </c>
      <c r="AH94" s="1" t="s">
        <v>74</v>
      </c>
      <c r="AI94" s="1" t="s">
        <v>74</v>
      </c>
      <c r="AJ94" s="1" t="s">
        <v>74</v>
      </c>
      <c r="AK94" s="1" t="s">
        <v>74</v>
      </c>
      <c r="AL94" s="1" t="s">
        <v>74</v>
      </c>
      <c r="AM94" s="1" t="s">
        <v>74</v>
      </c>
      <c r="AN94" s="1" t="s">
        <v>74</v>
      </c>
      <c r="AO94" s="1" t="s">
        <v>1072</v>
      </c>
      <c r="AP94" s="1" t="s">
        <v>74</v>
      </c>
      <c r="AQ94" s="1" t="s">
        <v>74</v>
      </c>
      <c r="AR94" s="1" t="s">
        <v>74</v>
      </c>
      <c r="AS94" s="1" t="s">
        <v>74</v>
      </c>
      <c r="AT94" s="1" t="s">
        <v>83</v>
      </c>
      <c r="AU94" s="1">
        <v>1999.0</v>
      </c>
      <c r="AV94" s="1">
        <v>44.0</v>
      </c>
      <c r="AW94" s="1">
        <v>4.0</v>
      </c>
      <c r="AX94" s="1" t="s">
        <v>74</v>
      </c>
      <c r="AY94" s="1" t="s">
        <v>74</v>
      </c>
      <c r="AZ94" s="1" t="s">
        <v>74</v>
      </c>
      <c r="BA94" s="1" t="s">
        <v>74</v>
      </c>
      <c r="BB94" s="1">
        <v>413.0</v>
      </c>
      <c r="BC94" s="1">
        <v>422.0</v>
      </c>
      <c r="BD94" s="1" t="s">
        <v>74</v>
      </c>
      <c r="BE94" s="1" t="s">
        <v>74</v>
      </c>
      <c r="BF94" s="1" t="s">
        <v>74</v>
      </c>
      <c r="BG94" s="1" t="s">
        <v>74</v>
      </c>
      <c r="BH94" s="1" t="s">
        <v>74</v>
      </c>
      <c r="BI94" s="1" t="s">
        <v>74</v>
      </c>
      <c r="BJ94" s="1" t="s">
        <v>74</v>
      </c>
      <c r="BK94" s="1" t="s">
        <v>74</v>
      </c>
      <c r="BL94" s="1" t="s">
        <v>74</v>
      </c>
      <c r="BM94" s="1" t="s">
        <v>74</v>
      </c>
      <c r="BN94" s="1" t="s">
        <v>74</v>
      </c>
      <c r="BO94" s="1" t="s">
        <v>74</v>
      </c>
      <c r="BP94" s="1" t="s">
        <v>74</v>
      </c>
      <c r="BQ94" s="1" t="s">
        <v>74</v>
      </c>
      <c r="BR94" s="1" t="s">
        <v>74</v>
      </c>
      <c r="BS94" s="1" t="s">
        <v>1073</v>
      </c>
      <c r="BT94" s="1" t="str">
        <f>HYPERLINK("https%3A%2F%2Fwww.webofscience.com%2Fwos%2Fwoscc%2Ffull-record%2FWOS:000084664300003","View Full Record in Web of Science")</f>
        <v>View Full Record in Web of Science</v>
      </c>
    </row>
    <row r="95" ht="12.75" customHeight="1">
      <c r="A95" s="1" t="s">
        <v>72</v>
      </c>
      <c r="B95" s="1" t="s">
        <v>1074</v>
      </c>
      <c r="C95" s="1" t="s">
        <v>74</v>
      </c>
      <c r="D95" s="1" t="s">
        <v>74</v>
      </c>
      <c r="E95" s="1" t="s">
        <v>74</v>
      </c>
      <c r="F95" s="1" t="s">
        <v>1074</v>
      </c>
      <c r="G95" s="1" t="s">
        <v>74</v>
      </c>
      <c r="H95" s="1" t="s">
        <v>74</v>
      </c>
      <c r="I95" s="1" t="s">
        <v>1075</v>
      </c>
      <c r="J95" s="1" t="s">
        <v>1076</v>
      </c>
      <c r="K95" s="1" t="s">
        <v>74</v>
      </c>
      <c r="L95" s="1" t="s">
        <v>74</v>
      </c>
      <c r="M95" s="1" t="s">
        <v>74</v>
      </c>
      <c r="N95" s="1" t="s">
        <v>74</v>
      </c>
      <c r="O95" s="1" t="s">
        <v>74</v>
      </c>
      <c r="P95" s="1" t="s">
        <v>74</v>
      </c>
      <c r="Q95" s="1" t="s">
        <v>74</v>
      </c>
      <c r="R95" s="1" t="s">
        <v>74</v>
      </c>
      <c r="S95" s="1" t="s">
        <v>74</v>
      </c>
      <c r="T95" s="1" t="s">
        <v>74</v>
      </c>
      <c r="U95" s="1" t="s">
        <v>74</v>
      </c>
      <c r="V95" s="1" t="s">
        <v>1077</v>
      </c>
      <c r="W95" s="1" t="s">
        <v>74</v>
      </c>
      <c r="X95" s="1" t="s">
        <v>74</v>
      </c>
      <c r="Y95" s="1" t="s">
        <v>74</v>
      </c>
      <c r="Z95" s="1" t="s">
        <v>74</v>
      </c>
      <c r="AA95" s="1" t="s">
        <v>1078</v>
      </c>
      <c r="AB95" s="1" t="s">
        <v>1079</v>
      </c>
      <c r="AC95" s="1" t="s">
        <v>74</v>
      </c>
      <c r="AD95" s="1" t="s">
        <v>74</v>
      </c>
      <c r="AE95" s="1" t="s">
        <v>74</v>
      </c>
      <c r="AF95" s="1" t="s">
        <v>74</v>
      </c>
      <c r="AG95" s="1" t="s">
        <v>74</v>
      </c>
      <c r="AH95" s="1" t="s">
        <v>74</v>
      </c>
      <c r="AI95" s="1" t="s">
        <v>74</v>
      </c>
      <c r="AJ95" s="1" t="s">
        <v>74</v>
      </c>
      <c r="AK95" s="1" t="s">
        <v>74</v>
      </c>
      <c r="AL95" s="1" t="s">
        <v>74</v>
      </c>
      <c r="AM95" s="1" t="s">
        <v>74</v>
      </c>
      <c r="AN95" s="1" t="s">
        <v>74</v>
      </c>
      <c r="AO95" s="1" t="s">
        <v>1080</v>
      </c>
      <c r="AP95" s="1" t="s">
        <v>1081</v>
      </c>
      <c r="AQ95" s="1" t="s">
        <v>74</v>
      </c>
      <c r="AR95" s="1" t="s">
        <v>74</v>
      </c>
      <c r="AS95" s="1" t="s">
        <v>74</v>
      </c>
      <c r="AT95" s="1" t="s">
        <v>1082</v>
      </c>
      <c r="AU95" s="1">
        <v>1998.0</v>
      </c>
      <c r="AV95" s="1">
        <v>39.0</v>
      </c>
      <c r="AW95" s="1">
        <v>11.0</v>
      </c>
      <c r="AX95" s="1" t="s">
        <v>74</v>
      </c>
      <c r="AY95" s="1" t="s">
        <v>74</v>
      </c>
      <c r="AZ95" s="1" t="s">
        <v>74</v>
      </c>
      <c r="BA95" s="1" t="s">
        <v>74</v>
      </c>
      <c r="BB95" s="1">
        <v>6051.0</v>
      </c>
      <c r="BC95" s="1">
        <v>6065.0</v>
      </c>
      <c r="BD95" s="1" t="s">
        <v>74</v>
      </c>
      <c r="BE95" s="1" t="s">
        <v>1083</v>
      </c>
      <c r="BF95" s="2" t="str">
        <f>HYPERLINK("http://dx.doi.org/10.1063/1.532627","http://dx.doi.org/10.1063/1.532627")</f>
        <v>http://dx.doi.org/10.1063/1.532627</v>
      </c>
      <c r="BG95" s="1" t="s">
        <v>74</v>
      </c>
      <c r="BH95" s="1" t="s">
        <v>74</v>
      </c>
      <c r="BI95" s="1" t="s">
        <v>74</v>
      </c>
      <c r="BJ95" s="1" t="s">
        <v>74</v>
      </c>
      <c r="BK95" s="1" t="s">
        <v>74</v>
      </c>
      <c r="BL95" s="1" t="s">
        <v>74</v>
      </c>
      <c r="BM95" s="1" t="s">
        <v>74</v>
      </c>
      <c r="BN95" s="1" t="s">
        <v>74</v>
      </c>
      <c r="BO95" s="1" t="s">
        <v>74</v>
      </c>
      <c r="BP95" s="1" t="s">
        <v>74</v>
      </c>
      <c r="BQ95" s="1" t="s">
        <v>74</v>
      </c>
      <c r="BR95" s="1" t="s">
        <v>74</v>
      </c>
      <c r="BS95" s="1" t="s">
        <v>1084</v>
      </c>
      <c r="BT95" s="1" t="str">
        <f>HYPERLINK("https%3A%2F%2Fwww.webofscience.com%2Fwos%2Fwoscc%2Ffull-record%2FWOS:000077509100029","View Full Record in Web of Science")</f>
        <v>View Full Record in Web of Science</v>
      </c>
    </row>
    <row r="96" ht="12.75" customHeight="1">
      <c r="A96" s="1" t="s">
        <v>72</v>
      </c>
      <c r="B96" s="1" t="s">
        <v>1085</v>
      </c>
      <c r="C96" s="1" t="s">
        <v>74</v>
      </c>
      <c r="D96" s="1" t="s">
        <v>74</v>
      </c>
      <c r="E96" s="1" t="s">
        <v>74</v>
      </c>
      <c r="F96" s="1" t="s">
        <v>1086</v>
      </c>
      <c r="G96" s="1" t="s">
        <v>74</v>
      </c>
      <c r="H96" s="1" t="s">
        <v>74</v>
      </c>
      <c r="I96" s="1" t="s">
        <v>1087</v>
      </c>
      <c r="J96" s="1" t="s">
        <v>1088</v>
      </c>
      <c r="K96" s="1" t="s">
        <v>74</v>
      </c>
      <c r="L96" s="1" t="s">
        <v>74</v>
      </c>
      <c r="M96" s="1" t="s">
        <v>74</v>
      </c>
      <c r="N96" s="1" t="s">
        <v>74</v>
      </c>
      <c r="O96" s="1" t="s">
        <v>74</v>
      </c>
      <c r="P96" s="1" t="s">
        <v>74</v>
      </c>
      <c r="Q96" s="1" t="s">
        <v>74</v>
      </c>
      <c r="R96" s="1" t="s">
        <v>74</v>
      </c>
      <c r="S96" s="1" t="s">
        <v>74</v>
      </c>
      <c r="T96" s="1" t="s">
        <v>74</v>
      </c>
      <c r="U96" s="1" t="s">
        <v>74</v>
      </c>
      <c r="V96" s="1" t="s">
        <v>1089</v>
      </c>
      <c r="W96" s="1" t="s">
        <v>74</v>
      </c>
      <c r="X96" s="1" t="s">
        <v>74</v>
      </c>
      <c r="Y96" s="1" t="s">
        <v>74</v>
      </c>
      <c r="Z96" s="1" t="s">
        <v>74</v>
      </c>
      <c r="AA96" s="1" t="s">
        <v>1090</v>
      </c>
      <c r="AB96" s="1" t="s">
        <v>1091</v>
      </c>
      <c r="AC96" s="1" t="s">
        <v>74</v>
      </c>
      <c r="AD96" s="1" t="s">
        <v>74</v>
      </c>
      <c r="AE96" s="1" t="s">
        <v>74</v>
      </c>
      <c r="AF96" s="1" t="s">
        <v>74</v>
      </c>
      <c r="AG96" s="1" t="s">
        <v>74</v>
      </c>
      <c r="AH96" s="1" t="s">
        <v>74</v>
      </c>
      <c r="AI96" s="1" t="s">
        <v>74</v>
      </c>
      <c r="AJ96" s="1" t="s">
        <v>74</v>
      </c>
      <c r="AK96" s="1" t="s">
        <v>74</v>
      </c>
      <c r="AL96" s="1" t="s">
        <v>74</v>
      </c>
      <c r="AM96" s="1" t="s">
        <v>74</v>
      </c>
      <c r="AN96" s="1" t="s">
        <v>74</v>
      </c>
      <c r="AO96" s="1" t="s">
        <v>1092</v>
      </c>
      <c r="AP96" s="1" t="s">
        <v>1093</v>
      </c>
      <c r="AQ96" s="1" t="s">
        <v>74</v>
      </c>
      <c r="AR96" s="1" t="s">
        <v>74</v>
      </c>
      <c r="AS96" s="1" t="s">
        <v>74</v>
      </c>
      <c r="AT96" s="1" t="s">
        <v>385</v>
      </c>
      <c r="AU96" s="1">
        <v>2025.0</v>
      </c>
      <c r="AV96" s="1">
        <v>161.0</v>
      </c>
      <c r="AW96" s="1" t="s">
        <v>74</v>
      </c>
      <c r="AX96" s="1" t="s">
        <v>74</v>
      </c>
      <c r="AY96" s="1" t="s">
        <v>74</v>
      </c>
      <c r="AZ96" s="1" t="s">
        <v>74</v>
      </c>
      <c r="BA96" s="1" t="s">
        <v>74</v>
      </c>
      <c r="BB96" s="1" t="s">
        <v>74</v>
      </c>
      <c r="BC96" s="1" t="s">
        <v>74</v>
      </c>
      <c r="BD96" s="1">
        <v>110291.0</v>
      </c>
      <c r="BE96" s="1" t="s">
        <v>1094</v>
      </c>
      <c r="BF96" s="2" t="str">
        <f>HYPERLINK("http://dx.doi.org/10.1016/j.fsi.2025.110291","http://dx.doi.org/10.1016/j.fsi.2025.110291")</f>
        <v>http://dx.doi.org/10.1016/j.fsi.2025.110291</v>
      </c>
      <c r="BG96" s="1" t="s">
        <v>74</v>
      </c>
      <c r="BH96" s="1" t="s">
        <v>1095</v>
      </c>
      <c r="BI96" s="1" t="s">
        <v>74</v>
      </c>
      <c r="BJ96" s="1" t="s">
        <v>74</v>
      </c>
      <c r="BK96" s="1" t="s">
        <v>74</v>
      </c>
      <c r="BL96" s="1" t="s">
        <v>74</v>
      </c>
      <c r="BM96" s="1" t="s">
        <v>74</v>
      </c>
      <c r="BN96" s="1">
        <v>4.012078E7</v>
      </c>
      <c r="BO96" s="1" t="s">
        <v>74</v>
      </c>
      <c r="BP96" s="1" t="s">
        <v>74</v>
      </c>
      <c r="BQ96" s="1" t="s">
        <v>74</v>
      </c>
      <c r="BR96" s="1" t="s">
        <v>74</v>
      </c>
      <c r="BS96" s="1" t="s">
        <v>1096</v>
      </c>
      <c r="BT96" s="1" t="str">
        <f>HYPERLINK("https%3A%2F%2Fwww.webofscience.com%2Fwos%2Fwoscc%2Ffull-record%2FWOS:001460332900001","View Full Record in Web of Science")</f>
        <v>View Full Record in Web of Science</v>
      </c>
    </row>
    <row r="97" ht="12.75" customHeight="1">
      <c r="A97" s="1" t="s">
        <v>72</v>
      </c>
      <c r="B97" s="1" t="s">
        <v>1097</v>
      </c>
      <c r="C97" s="1" t="s">
        <v>74</v>
      </c>
      <c r="D97" s="1" t="s">
        <v>74</v>
      </c>
      <c r="E97" s="1" t="s">
        <v>74</v>
      </c>
      <c r="F97" s="1" t="s">
        <v>1098</v>
      </c>
      <c r="G97" s="1" t="s">
        <v>74</v>
      </c>
      <c r="H97" s="1" t="s">
        <v>74</v>
      </c>
      <c r="I97" s="1" t="s">
        <v>1099</v>
      </c>
      <c r="J97" s="1" t="s">
        <v>263</v>
      </c>
      <c r="K97" s="1" t="s">
        <v>74</v>
      </c>
      <c r="L97" s="1" t="s">
        <v>74</v>
      </c>
      <c r="M97" s="1" t="s">
        <v>74</v>
      </c>
      <c r="N97" s="1" t="s">
        <v>74</v>
      </c>
      <c r="O97" s="1" t="s">
        <v>74</v>
      </c>
      <c r="P97" s="1" t="s">
        <v>74</v>
      </c>
      <c r="Q97" s="1" t="s">
        <v>74</v>
      </c>
      <c r="R97" s="1" t="s">
        <v>74</v>
      </c>
      <c r="S97" s="1" t="s">
        <v>74</v>
      </c>
      <c r="T97" s="1" t="s">
        <v>74</v>
      </c>
      <c r="U97" s="1" t="s">
        <v>74</v>
      </c>
      <c r="V97" s="1" t="s">
        <v>1100</v>
      </c>
      <c r="W97" s="1" t="s">
        <v>74</v>
      </c>
      <c r="X97" s="1" t="s">
        <v>74</v>
      </c>
      <c r="Y97" s="1" t="s">
        <v>74</v>
      </c>
      <c r="Z97" s="1" t="s">
        <v>74</v>
      </c>
      <c r="AA97" s="1" t="s">
        <v>1101</v>
      </c>
      <c r="AB97" s="1" t="s">
        <v>1102</v>
      </c>
      <c r="AC97" s="1" t="s">
        <v>74</v>
      </c>
      <c r="AD97" s="1" t="s">
        <v>74</v>
      </c>
      <c r="AE97" s="1" t="s">
        <v>74</v>
      </c>
      <c r="AF97" s="1" t="s">
        <v>74</v>
      </c>
      <c r="AG97" s="1" t="s">
        <v>74</v>
      </c>
      <c r="AH97" s="1" t="s">
        <v>74</v>
      </c>
      <c r="AI97" s="1" t="s">
        <v>74</v>
      </c>
      <c r="AJ97" s="1" t="s">
        <v>74</v>
      </c>
      <c r="AK97" s="1" t="s">
        <v>74</v>
      </c>
      <c r="AL97" s="1" t="s">
        <v>74</v>
      </c>
      <c r="AM97" s="1" t="s">
        <v>74</v>
      </c>
      <c r="AN97" s="1" t="s">
        <v>74</v>
      </c>
      <c r="AO97" s="1" t="s">
        <v>74</v>
      </c>
      <c r="AP97" s="1" t="s">
        <v>265</v>
      </c>
      <c r="AQ97" s="1" t="s">
        <v>74</v>
      </c>
      <c r="AR97" s="1" t="s">
        <v>74</v>
      </c>
      <c r="AS97" s="1" t="s">
        <v>74</v>
      </c>
      <c r="AT97" s="1" t="s">
        <v>600</v>
      </c>
      <c r="AU97" s="1">
        <v>2025.0</v>
      </c>
      <c r="AV97" s="1">
        <v>17.0</v>
      </c>
      <c r="AW97" s="1">
        <v>2.0</v>
      </c>
      <c r="AX97" s="1" t="s">
        <v>74</v>
      </c>
      <c r="AY97" s="1" t="s">
        <v>74</v>
      </c>
      <c r="AZ97" s="1" t="s">
        <v>74</v>
      </c>
      <c r="BA97" s="1" t="s">
        <v>74</v>
      </c>
      <c r="BB97" s="1" t="s">
        <v>74</v>
      </c>
      <c r="BC97" s="1" t="s">
        <v>74</v>
      </c>
      <c r="BD97" s="1">
        <v>186.0</v>
      </c>
      <c r="BE97" s="1" t="s">
        <v>1103</v>
      </c>
      <c r="BF97" s="2" t="str">
        <f>HYPERLINK("http://dx.doi.org/10.3390/pharmaceutics17020186","http://dx.doi.org/10.3390/pharmaceutics17020186")</f>
        <v>http://dx.doi.org/10.3390/pharmaceutics17020186</v>
      </c>
      <c r="BG97" s="1" t="s">
        <v>74</v>
      </c>
      <c r="BH97" s="1" t="s">
        <v>74</v>
      </c>
      <c r="BI97" s="1" t="s">
        <v>74</v>
      </c>
      <c r="BJ97" s="1" t="s">
        <v>74</v>
      </c>
      <c r="BK97" s="1" t="s">
        <v>74</v>
      </c>
      <c r="BL97" s="1" t="s">
        <v>74</v>
      </c>
      <c r="BM97" s="1" t="s">
        <v>74</v>
      </c>
      <c r="BN97" s="1">
        <v>4.0006553E7</v>
      </c>
      <c r="BO97" s="1" t="s">
        <v>74</v>
      </c>
      <c r="BP97" s="1" t="s">
        <v>74</v>
      </c>
      <c r="BQ97" s="1" t="s">
        <v>74</v>
      </c>
      <c r="BR97" s="1" t="s">
        <v>74</v>
      </c>
      <c r="BS97" s="1" t="s">
        <v>1104</v>
      </c>
      <c r="BT97" s="1" t="str">
        <f>HYPERLINK("https%3A%2F%2Fwww.webofscience.com%2Fwos%2Fwoscc%2Ffull-record%2FWOS:001429809200001","View Full Record in Web of Science")</f>
        <v>View Full Record in Web of Science</v>
      </c>
    </row>
    <row r="98" ht="12.75" customHeight="1">
      <c r="A98" s="1" t="s">
        <v>72</v>
      </c>
      <c r="B98" s="1" t="s">
        <v>1105</v>
      </c>
      <c r="C98" s="1" t="s">
        <v>74</v>
      </c>
      <c r="D98" s="1" t="s">
        <v>74</v>
      </c>
      <c r="E98" s="1" t="s">
        <v>74</v>
      </c>
      <c r="F98" s="1" t="s">
        <v>1106</v>
      </c>
      <c r="G98" s="1" t="s">
        <v>74</v>
      </c>
      <c r="H98" s="1" t="s">
        <v>74</v>
      </c>
      <c r="I98" s="1" t="s">
        <v>1107</v>
      </c>
      <c r="J98" s="1" t="s">
        <v>1108</v>
      </c>
      <c r="K98" s="1" t="s">
        <v>74</v>
      </c>
      <c r="L98" s="1" t="s">
        <v>74</v>
      </c>
      <c r="M98" s="1" t="s">
        <v>74</v>
      </c>
      <c r="N98" s="1" t="s">
        <v>74</v>
      </c>
      <c r="O98" s="1" t="s">
        <v>74</v>
      </c>
      <c r="P98" s="1" t="s">
        <v>74</v>
      </c>
      <c r="Q98" s="1" t="s">
        <v>74</v>
      </c>
      <c r="R98" s="1" t="s">
        <v>74</v>
      </c>
      <c r="S98" s="1" t="s">
        <v>74</v>
      </c>
      <c r="T98" s="1" t="s">
        <v>74</v>
      </c>
      <c r="U98" s="1" t="s">
        <v>74</v>
      </c>
      <c r="V98" s="1" t="s">
        <v>1109</v>
      </c>
      <c r="W98" s="1" t="s">
        <v>74</v>
      </c>
      <c r="X98" s="1" t="s">
        <v>74</v>
      </c>
      <c r="Y98" s="1" t="s">
        <v>74</v>
      </c>
      <c r="Z98" s="1" t="s">
        <v>74</v>
      </c>
      <c r="AA98" s="1" t="s">
        <v>1110</v>
      </c>
      <c r="AB98" s="1" t="s">
        <v>1111</v>
      </c>
      <c r="AC98" s="1" t="s">
        <v>74</v>
      </c>
      <c r="AD98" s="1" t="s">
        <v>74</v>
      </c>
      <c r="AE98" s="1" t="s">
        <v>74</v>
      </c>
      <c r="AF98" s="1" t="s">
        <v>74</v>
      </c>
      <c r="AG98" s="1" t="s">
        <v>74</v>
      </c>
      <c r="AH98" s="1" t="s">
        <v>74</v>
      </c>
      <c r="AI98" s="1" t="s">
        <v>74</v>
      </c>
      <c r="AJ98" s="1" t="s">
        <v>74</v>
      </c>
      <c r="AK98" s="1" t="s">
        <v>74</v>
      </c>
      <c r="AL98" s="1" t="s">
        <v>74</v>
      </c>
      <c r="AM98" s="1" t="s">
        <v>74</v>
      </c>
      <c r="AN98" s="1" t="s">
        <v>74</v>
      </c>
      <c r="AO98" s="1" t="s">
        <v>74</v>
      </c>
      <c r="AP98" s="1" t="s">
        <v>1112</v>
      </c>
      <c r="AQ98" s="1" t="s">
        <v>74</v>
      </c>
      <c r="AR98" s="1" t="s">
        <v>74</v>
      </c>
      <c r="AS98" s="1" t="s">
        <v>74</v>
      </c>
      <c r="AT98" s="1" t="s">
        <v>151</v>
      </c>
      <c r="AU98" s="1">
        <v>2024.0</v>
      </c>
      <c r="AV98" s="1">
        <v>14.0</v>
      </c>
      <c r="AW98" s="1">
        <v>10.0</v>
      </c>
      <c r="AX98" s="1" t="s">
        <v>74</v>
      </c>
      <c r="AY98" s="1" t="s">
        <v>74</v>
      </c>
      <c r="AZ98" s="1" t="s">
        <v>74</v>
      </c>
      <c r="BA98" s="1" t="s">
        <v>74</v>
      </c>
      <c r="BB98" s="1" t="s">
        <v>74</v>
      </c>
      <c r="BC98" s="1" t="s">
        <v>74</v>
      </c>
      <c r="BD98" s="1">
        <v>1103.0</v>
      </c>
      <c r="BE98" s="1" t="s">
        <v>1113</v>
      </c>
      <c r="BF98" s="2" t="str">
        <f>HYPERLINK("http://dx.doi.org/10.3390/met14101103","http://dx.doi.org/10.3390/met14101103")</f>
        <v>http://dx.doi.org/10.3390/met14101103</v>
      </c>
      <c r="BG98" s="1" t="s">
        <v>74</v>
      </c>
      <c r="BH98" s="1" t="s">
        <v>74</v>
      </c>
      <c r="BI98" s="1" t="s">
        <v>74</v>
      </c>
      <c r="BJ98" s="1" t="s">
        <v>74</v>
      </c>
      <c r="BK98" s="1" t="s">
        <v>74</v>
      </c>
      <c r="BL98" s="1" t="s">
        <v>74</v>
      </c>
      <c r="BM98" s="1" t="s">
        <v>74</v>
      </c>
      <c r="BN98" s="1" t="s">
        <v>74</v>
      </c>
      <c r="BO98" s="1" t="s">
        <v>74</v>
      </c>
      <c r="BP98" s="1" t="s">
        <v>74</v>
      </c>
      <c r="BQ98" s="1" t="s">
        <v>74</v>
      </c>
      <c r="BR98" s="1" t="s">
        <v>74</v>
      </c>
      <c r="BS98" s="1" t="s">
        <v>1114</v>
      </c>
      <c r="BT98" s="1" t="str">
        <f>HYPERLINK("https%3A%2F%2Fwww.webofscience.com%2Fwos%2Fwoscc%2Ffull-record%2FWOS:001342535700001","View Full Record in Web of Science")</f>
        <v>View Full Record in Web of Science</v>
      </c>
    </row>
    <row r="99" ht="12.75" customHeight="1">
      <c r="A99" s="1" t="s">
        <v>72</v>
      </c>
      <c r="B99" s="1" t="s">
        <v>1115</v>
      </c>
      <c r="C99" s="1" t="s">
        <v>74</v>
      </c>
      <c r="D99" s="1" t="s">
        <v>74</v>
      </c>
      <c r="E99" s="1" t="s">
        <v>74</v>
      </c>
      <c r="F99" s="1" t="s">
        <v>1116</v>
      </c>
      <c r="G99" s="1" t="s">
        <v>74</v>
      </c>
      <c r="H99" s="1" t="s">
        <v>74</v>
      </c>
      <c r="I99" s="1" t="s">
        <v>1117</v>
      </c>
      <c r="J99" s="1" t="s">
        <v>1118</v>
      </c>
      <c r="K99" s="1" t="s">
        <v>74</v>
      </c>
      <c r="L99" s="1" t="s">
        <v>74</v>
      </c>
      <c r="M99" s="1" t="s">
        <v>74</v>
      </c>
      <c r="N99" s="1" t="s">
        <v>74</v>
      </c>
      <c r="O99" s="1" t="s">
        <v>74</v>
      </c>
      <c r="P99" s="1" t="s">
        <v>74</v>
      </c>
      <c r="Q99" s="1" t="s">
        <v>74</v>
      </c>
      <c r="R99" s="1" t="s">
        <v>74</v>
      </c>
      <c r="S99" s="1" t="s">
        <v>74</v>
      </c>
      <c r="T99" s="1" t="s">
        <v>74</v>
      </c>
      <c r="U99" s="1" t="s">
        <v>74</v>
      </c>
      <c r="V99" s="1" t="s">
        <v>1119</v>
      </c>
      <c r="W99" s="1" t="s">
        <v>74</v>
      </c>
      <c r="X99" s="1" t="s">
        <v>74</v>
      </c>
      <c r="Y99" s="1" t="s">
        <v>74</v>
      </c>
      <c r="Z99" s="1" t="s">
        <v>74</v>
      </c>
      <c r="AA99" s="1" t="s">
        <v>1120</v>
      </c>
      <c r="AB99" s="1" t="s">
        <v>74</v>
      </c>
      <c r="AC99" s="1" t="s">
        <v>74</v>
      </c>
      <c r="AD99" s="1" t="s">
        <v>74</v>
      </c>
      <c r="AE99" s="1" t="s">
        <v>74</v>
      </c>
      <c r="AF99" s="1" t="s">
        <v>74</v>
      </c>
      <c r="AG99" s="1" t="s">
        <v>74</v>
      </c>
      <c r="AH99" s="1" t="s">
        <v>74</v>
      </c>
      <c r="AI99" s="1" t="s">
        <v>74</v>
      </c>
      <c r="AJ99" s="1" t="s">
        <v>74</v>
      </c>
      <c r="AK99" s="1" t="s">
        <v>74</v>
      </c>
      <c r="AL99" s="1" t="s">
        <v>74</v>
      </c>
      <c r="AM99" s="1" t="s">
        <v>74</v>
      </c>
      <c r="AN99" s="1" t="s">
        <v>74</v>
      </c>
      <c r="AO99" s="1" t="s">
        <v>1121</v>
      </c>
      <c r="AP99" s="1" t="s">
        <v>74</v>
      </c>
      <c r="AQ99" s="1" t="s">
        <v>74</v>
      </c>
      <c r="AR99" s="1" t="s">
        <v>74</v>
      </c>
      <c r="AS99" s="1" t="s">
        <v>74</v>
      </c>
      <c r="AT99" s="1" t="s">
        <v>385</v>
      </c>
      <c r="AU99" s="1">
        <v>2024.0</v>
      </c>
      <c r="AV99" s="1" t="s">
        <v>74</v>
      </c>
      <c r="AW99" s="1">
        <v>21.0</v>
      </c>
      <c r="AX99" s="1" t="s">
        <v>74</v>
      </c>
      <c r="AY99" s="1" t="s">
        <v>74</v>
      </c>
      <c r="AZ99" s="1" t="s">
        <v>74</v>
      </c>
      <c r="BA99" s="1" t="s">
        <v>74</v>
      </c>
      <c r="BB99" s="1">
        <v>481.0</v>
      </c>
      <c r="BC99" s="1">
        <v>512.0</v>
      </c>
      <c r="BD99" s="1" t="s">
        <v>74</v>
      </c>
      <c r="BE99" s="1" t="s">
        <v>1122</v>
      </c>
      <c r="BF99" s="2" t="str">
        <f>HYPERLINK("http://dx.doi.org/10.5354/2735-7473.2024.75190","http://dx.doi.org/10.5354/2735-7473.2024.75190")</f>
        <v>http://dx.doi.org/10.5354/2735-7473.2024.75190</v>
      </c>
      <c r="BG99" s="1" t="s">
        <v>74</v>
      </c>
      <c r="BH99" s="1" t="s">
        <v>74</v>
      </c>
      <c r="BI99" s="1" t="s">
        <v>74</v>
      </c>
      <c r="BJ99" s="1" t="s">
        <v>74</v>
      </c>
      <c r="BK99" s="1" t="s">
        <v>74</v>
      </c>
      <c r="BL99" s="1" t="s">
        <v>74</v>
      </c>
      <c r="BM99" s="1" t="s">
        <v>74</v>
      </c>
      <c r="BN99" s="1" t="s">
        <v>74</v>
      </c>
      <c r="BO99" s="1" t="s">
        <v>74</v>
      </c>
      <c r="BP99" s="1" t="s">
        <v>74</v>
      </c>
      <c r="BQ99" s="1" t="s">
        <v>74</v>
      </c>
      <c r="BR99" s="1" t="s">
        <v>74</v>
      </c>
      <c r="BS99" s="1" t="s">
        <v>1123</v>
      </c>
      <c r="BT99" s="1" t="str">
        <f>HYPERLINK("https%3A%2F%2Fwww.webofscience.com%2Fwos%2Fwoscc%2Ffull-record%2FWOS:001266117000016","View Full Record in Web of Science")</f>
        <v>View Full Record in Web of Science</v>
      </c>
    </row>
    <row r="100" ht="12.75" customHeight="1">
      <c r="A100" s="1" t="s">
        <v>72</v>
      </c>
      <c r="B100" s="1" t="s">
        <v>1124</v>
      </c>
      <c r="C100" s="1" t="s">
        <v>74</v>
      </c>
      <c r="D100" s="1" t="s">
        <v>74</v>
      </c>
      <c r="E100" s="1" t="s">
        <v>74</v>
      </c>
      <c r="F100" s="1" t="s">
        <v>1125</v>
      </c>
      <c r="G100" s="1" t="s">
        <v>74</v>
      </c>
      <c r="H100" s="1" t="s">
        <v>74</v>
      </c>
      <c r="I100" s="1" t="s">
        <v>1126</v>
      </c>
      <c r="J100" s="1" t="s">
        <v>1127</v>
      </c>
      <c r="K100" s="1" t="s">
        <v>74</v>
      </c>
      <c r="L100" s="1" t="s">
        <v>74</v>
      </c>
      <c r="M100" s="1" t="s">
        <v>74</v>
      </c>
      <c r="N100" s="1" t="s">
        <v>74</v>
      </c>
      <c r="O100" s="1" t="s">
        <v>74</v>
      </c>
      <c r="P100" s="1" t="s">
        <v>74</v>
      </c>
      <c r="Q100" s="1" t="s">
        <v>74</v>
      </c>
      <c r="R100" s="1" t="s">
        <v>74</v>
      </c>
      <c r="S100" s="1" t="s">
        <v>74</v>
      </c>
      <c r="T100" s="1" t="s">
        <v>74</v>
      </c>
      <c r="U100" s="1" t="s">
        <v>74</v>
      </c>
      <c r="V100" s="1" t="s">
        <v>1128</v>
      </c>
      <c r="W100" s="1" t="s">
        <v>74</v>
      </c>
      <c r="X100" s="1" t="s">
        <v>74</v>
      </c>
      <c r="Y100" s="1" t="s">
        <v>74</v>
      </c>
      <c r="Z100" s="1" t="s">
        <v>74</v>
      </c>
      <c r="AA100" s="1" t="s">
        <v>1129</v>
      </c>
      <c r="AB100" s="1" t="s">
        <v>1130</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1131</v>
      </c>
      <c r="AP100" s="1" t="s">
        <v>1132</v>
      </c>
      <c r="AQ100" s="1" t="s">
        <v>74</v>
      </c>
      <c r="AR100" s="1" t="s">
        <v>74</v>
      </c>
      <c r="AS100" s="1" t="s">
        <v>74</v>
      </c>
      <c r="AT100" s="1" t="s">
        <v>1133</v>
      </c>
      <c r="AU100" s="1">
        <v>2023.0</v>
      </c>
      <c r="AV100" s="1" t="s">
        <v>74</v>
      </c>
      <c r="AW100" s="1" t="s">
        <v>74</v>
      </c>
      <c r="AX100" s="1" t="s">
        <v>74</v>
      </c>
      <c r="AY100" s="1" t="s">
        <v>74</v>
      </c>
      <c r="AZ100" s="1" t="s">
        <v>74</v>
      </c>
      <c r="BA100" s="1" t="s">
        <v>74</v>
      </c>
      <c r="BB100" s="1" t="s">
        <v>74</v>
      </c>
      <c r="BC100" s="1" t="s">
        <v>74</v>
      </c>
      <c r="BD100" s="1" t="s">
        <v>74</v>
      </c>
      <c r="BE100" s="1" t="s">
        <v>1134</v>
      </c>
      <c r="BF100" s="2" t="str">
        <f>HYPERLINK("http://dx.doi.org/10.1007/s11042-023-17220-w","http://dx.doi.org/10.1007/s11042-023-17220-w")</f>
        <v>http://dx.doi.org/10.1007/s11042-023-17220-w</v>
      </c>
      <c r="BG100" s="1" t="s">
        <v>74</v>
      </c>
      <c r="BH100" s="1" t="s">
        <v>1135</v>
      </c>
      <c r="BI100" s="1" t="s">
        <v>74</v>
      </c>
      <c r="BJ100" s="1" t="s">
        <v>74</v>
      </c>
      <c r="BK100" s="1" t="s">
        <v>74</v>
      </c>
      <c r="BL100" s="1" t="s">
        <v>74</v>
      </c>
      <c r="BM100" s="1" t="s">
        <v>74</v>
      </c>
      <c r="BN100" s="1" t="s">
        <v>74</v>
      </c>
      <c r="BO100" s="1" t="s">
        <v>74</v>
      </c>
      <c r="BP100" s="1" t="s">
        <v>74</v>
      </c>
      <c r="BQ100" s="1" t="s">
        <v>74</v>
      </c>
      <c r="BR100" s="1" t="s">
        <v>74</v>
      </c>
      <c r="BS100" s="1" t="s">
        <v>1136</v>
      </c>
      <c r="BT100" s="1" t="str">
        <f>HYPERLINK("https%3A%2F%2Fwww.webofscience.com%2Fwos%2Fwoscc%2Ffull-record%2FWOS:001090305500008","View Full Record in Web of Science")</f>
        <v>View Full Record in Web of Science</v>
      </c>
    </row>
    <row r="101" ht="12.75" customHeight="1">
      <c r="A101" s="1" t="s">
        <v>72</v>
      </c>
      <c r="B101" s="1" t="s">
        <v>1137</v>
      </c>
      <c r="C101" s="1" t="s">
        <v>74</v>
      </c>
      <c r="D101" s="1" t="s">
        <v>74</v>
      </c>
      <c r="E101" s="1" t="s">
        <v>74</v>
      </c>
      <c r="F101" s="1" t="s">
        <v>1138</v>
      </c>
      <c r="G101" s="1" t="s">
        <v>74</v>
      </c>
      <c r="H101" s="1" t="s">
        <v>74</v>
      </c>
      <c r="I101" s="1" t="s">
        <v>1139</v>
      </c>
      <c r="J101" s="1" t="s">
        <v>1140</v>
      </c>
      <c r="K101" s="1" t="s">
        <v>74</v>
      </c>
      <c r="L101" s="1" t="s">
        <v>74</v>
      </c>
      <c r="M101" s="1" t="s">
        <v>74</v>
      </c>
      <c r="N101" s="1" t="s">
        <v>74</v>
      </c>
      <c r="O101" s="1" t="s">
        <v>74</v>
      </c>
      <c r="P101" s="1" t="s">
        <v>74</v>
      </c>
      <c r="Q101" s="1" t="s">
        <v>74</v>
      </c>
      <c r="R101" s="1" t="s">
        <v>74</v>
      </c>
      <c r="S101" s="1" t="s">
        <v>74</v>
      </c>
      <c r="T101" s="1" t="s">
        <v>74</v>
      </c>
      <c r="U101" s="1" t="s">
        <v>74</v>
      </c>
      <c r="V101" s="1" t="s">
        <v>1141</v>
      </c>
      <c r="W101" s="1" t="s">
        <v>74</v>
      </c>
      <c r="X101" s="1" t="s">
        <v>74</v>
      </c>
      <c r="Y101" s="1" t="s">
        <v>74</v>
      </c>
      <c r="Z101" s="1" t="s">
        <v>74</v>
      </c>
      <c r="AA101" s="1" t="s">
        <v>1142</v>
      </c>
      <c r="AB101" s="1" t="s">
        <v>1143</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1144</v>
      </c>
      <c r="AP101" s="1" t="s">
        <v>1145</v>
      </c>
      <c r="AQ101" s="1" t="s">
        <v>74</v>
      </c>
      <c r="AR101" s="1" t="s">
        <v>74</v>
      </c>
      <c r="AS101" s="1" t="s">
        <v>74</v>
      </c>
      <c r="AT101" s="1" t="s">
        <v>94</v>
      </c>
      <c r="AU101" s="1">
        <v>2023.0</v>
      </c>
      <c r="AV101" s="1">
        <v>139.0</v>
      </c>
      <c r="AW101" s="1" t="s">
        <v>74</v>
      </c>
      <c r="AX101" s="1" t="s">
        <v>74</v>
      </c>
      <c r="AY101" s="1" t="s">
        <v>74</v>
      </c>
      <c r="AZ101" s="1" t="s">
        <v>74</v>
      </c>
      <c r="BA101" s="1" t="s">
        <v>74</v>
      </c>
      <c r="BB101" s="1" t="s">
        <v>74</v>
      </c>
      <c r="BC101" s="1" t="s">
        <v>74</v>
      </c>
      <c r="BD101" s="1">
        <v>110270.0</v>
      </c>
      <c r="BE101" s="1" t="s">
        <v>1146</v>
      </c>
      <c r="BF101" s="2" t="str">
        <f>HYPERLINK("http://dx.doi.org/10.1016/j.asoc.2023.110270","http://dx.doi.org/10.1016/j.asoc.2023.110270")</f>
        <v>http://dx.doi.org/10.1016/j.asoc.2023.110270</v>
      </c>
      <c r="BG101" s="1" t="s">
        <v>74</v>
      </c>
      <c r="BH101" s="1" t="s">
        <v>1147</v>
      </c>
      <c r="BI101" s="1" t="s">
        <v>74</v>
      </c>
      <c r="BJ101" s="1" t="s">
        <v>74</v>
      </c>
      <c r="BK101" s="1" t="s">
        <v>74</v>
      </c>
      <c r="BL101" s="1" t="s">
        <v>74</v>
      </c>
      <c r="BM101" s="1" t="s">
        <v>74</v>
      </c>
      <c r="BN101" s="1" t="s">
        <v>74</v>
      </c>
      <c r="BO101" s="1" t="s">
        <v>74</v>
      </c>
      <c r="BP101" s="1" t="s">
        <v>74</v>
      </c>
      <c r="BQ101" s="1" t="s">
        <v>74</v>
      </c>
      <c r="BR101" s="1" t="s">
        <v>74</v>
      </c>
      <c r="BS101" s="1" t="s">
        <v>1148</v>
      </c>
      <c r="BT101" s="1" t="str">
        <f>HYPERLINK("https%3A%2F%2Fwww.webofscience.com%2Fwos%2Fwoscc%2Ffull-record%2FWOS:001029774900001","View Full Record in Web of Science")</f>
        <v>View Full Record in Web of Science</v>
      </c>
    </row>
    <row r="102" ht="12.75" customHeight="1">
      <c r="A102" s="1" t="s">
        <v>72</v>
      </c>
      <c r="B102" s="1" t="s">
        <v>1149</v>
      </c>
      <c r="C102" s="1" t="s">
        <v>74</v>
      </c>
      <c r="D102" s="1" t="s">
        <v>74</v>
      </c>
      <c r="E102" s="1" t="s">
        <v>74</v>
      </c>
      <c r="F102" s="1" t="s">
        <v>1150</v>
      </c>
      <c r="G102" s="1" t="s">
        <v>74</v>
      </c>
      <c r="H102" s="1" t="s">
        <v>74</v>
      </c>
      <c r="I102" s="1" t="s">
        <v>1151</v>
      </c>
      <c r="J102" s="1" t="s">
        <v>1152</v>
      </c>
      <c r="K102" s="1" t="s">
        <v>74</v>
      </c>
      <c r="L102" s="1" t="s">
        <v>74</v>
      </c>
      <c r="M102" s="1" t="s">
        <v>74</v>
      </c>
      <c r="N102" s="1" t="s">
        <v>74</v>
      </c>
      <c r="O102" s="1" t="s">
        <v>74</v>
      </c>
      <c r="P102" s="1" t="s">
        <v>74</v>
      </c>
      <c r="Q102" s="1" t="s">
        <v>74</v>
      </c>
      <c r="R102" s="1" t="s">
        <v>74</v>
      </c>
      <c r="S102" s="1" t="s">
        <v>74</v>
      </c>
      <c r="T102" s="1" t="s">
        <v>74</v>
      </c>
      <c r="U102" s="1" t="s">
        <v>74</v>
      </c>
      <c r="V102" s="1" t="s">
        <v>1153</v>
      </c>
      <c r="W102" s="1" t="s">
        <v>74</v>
      </c>
      <c r="X102" s="1" t="s">
        <v>74</v>
      </c>
      <c r="Y102" s="1" t="s">
        <v>74</v>
      </c>
      <c r="Z102" s="1" t="s">
        <v>74</v>
      </c>
      <c r="AA102" s="1" t="s">
        <v>1154</v>
      </c>
      <c r="AB102" s="1" t="s">
        <v>1155</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74</v>
      </c>
      <c r="AP102" s="1" t="s">
        <v>1156</v>
      </c>
      <c r="AQ102" s="1" t="s">
        <v>74</v>
      </c>
      <c r="AR102" s="1" t="s">
        <v>74</v>
      </c>
      <c r="AS102" s="1" t="s">
        <v>74</v>
      </c>
      <c r="AT102" s="1" t="s">
        <v>176</v>
      </c>
      <c r="AU102" s="1">
        <v>2023.0</v>
      </c>
      <c r="AV102" s="1">
        <v>13.0</v>
      </c>
      <c r="AW102" s="1">
        <v>6.0</v>
      </c>
      <c r="AX102" s="1" t="s">
        <v>74</v>
      </c>
      <c r="AY102" s="1" t="s">
        <v>74</v>
      </c>
      <c r="AZ102" s="1" t="s">
        <v>74</v>
      </c>
      <c r="BA102" s="1" t="s">
        <v>74</v>
      </c>
      <c r="BB102" s="1" t="s">
        <v>74</v>
      </c>
      <c r="BC102" s="1" t="s">
        <v>74</v>
      </c>
      <c r="BD102" s="1">
        <v>1162.0</v>
      </c>
      <c r="BE102" s="1" t="s">
        <v>1157</v>
      </c>
      <c r="BF102" s="2" t="str">
        <f>HYPERLINK("http://dx.doi.org/10.3390/diagnostics13061162","http://dx.doi.org/10.3390/diagnostics13061162")</f>
        <v>http://dx.doi.org/10.3390/diagnostics13061162</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1158</v>
      </c>
      <c r="BT102" s="1" t="str">
        <f>HYPERLINK("https%3A%2F%2Fwww.webofscience.com%2Fwos%2Fwoscc%2Ffull-record%2FWOS:000968410700001","View Full Record in Web of Science")</f>
        <v>View Full Record in Web of Science</v>
      </c>
    </row>
    <row r="103" ht="12.75" customHeight="1">
      <c r="A103" s="1" t="s">
        <v>72</v>
      </c>
      <c r="B103" s="1" t="s">
        <v>1159</v>
      </c>
      <c r="C103" s="1" t="s">
        <v>74</v>
      </c>
      <c r="D103" s="1" t="s">
        <v>74</v>
      </c>
      <c r="E103" s="1" t="s">
        <v>74</v>
      </c>
      <c r="F103" s="1" t="s">
        <v>1160</v>
      </c>
      <c r="G103" s="1" t="s">
        <v>74</v>
      </c>
      <c r="H103" s="1" t="s">
        <v>74</v>
      </c>
      <c r="I103" s="1" t="s">
        <v>1161</v>
      </c>
      <c r="J103" s="1" t="s">
        <v>1162</v>
      </c>
      <c r="K103" s="1" t="s">
        <v>74</v>
      </c>
      <c r="L103" s="1" t="s">
        <v>74</v>
      </c>
      <c r="M103" s="1" t="s">
        <v>74</v>
      </c>
      <c r="N103" s="1" t="s">
        <v>74</v>
      </c>
      <c r="O103" s="1" t="s">
        <v>74</v>
      </c>
      <c r="P103" s="1" t="s">
        <v>74</v>
      </c>
      <c r="Q103" s="1" t="s">
        <v>74</v>
      </c>
      <c r="R103" s="1" t="s">
        <v>74</v>
      </c>
      <c r="S103" s="1" t="s">
        <v>74</v>
      </c>
      <c r="T103" s="1" t="s">
        <v>74</v>
      </c>
      <c r="U103" s="1" t="s">
        <v>74</v>
      </c>
      <c r="V103" s="1" t="s">
        <v>1163</v>
      </c>
      <c r="W103" s="1" t="s">
        <v>74</v>
      </c>
      <c r="X103" s="1" t="s">
        <v>74</v>
      </c>
      <c r="Y103" s="1" t="s">
        <v>74</v>
      </c>
      <c r="Z103" s="1" t="s">
        <v>74</v>
      </c>
      <c r="AA103" s="1" t="s">
        <v>1164</v>
      </c>
      <c r="AB103" s="1" t="s">
        <v>1165</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74</v>
      </c>
      <c r="AP103" s="1" t="s">
        <v>1166</v>
      </c>
      <c r="AQ103" s="1" t="s">
        <v>74</v>
      </c>
      <c r="AR103" s="1" t="s">
        <v>74</v>
      </c>
      <c r="AS103" s="1" t="s">
        <v>74</v>
      </c>
      <c r="AT103" s="1" t="s">
        <v>822</v>
      </c>
      <c r="AU103" s="1">
        <v>2023.0</v>
      </c>
      <c r="AV103" s="1">
        <v>13.0</v>
      </c>
      <c r="AW103" s="1">
        <v>1.0</v>
      </c>
      <c r="AX103" s="1" t="s">
        <v>74</v>
      </c>
      <c r="AY103" s="1" t="s">
        <v>74</v>
      </c>
      <c r="AZ103" s="1" t="s">
        <v>74</v>
      </c>
      <c r="BA103" s="1" t="s">
        <v>74</v>
      </c>
      <c r="BB103" s="1" t="s">
        <v>74</v>
      </c>
      <c r="BC103" s="1" t="s">
        <v>74</v>
      </c>
      <c r="BD103" s="1">
        <v>43.0</v>
      </c>
      <c r="BE103" s="1" t="s">
        <v>1167</v>
      </c>
      <c r="BF103" s="2" t="str">
        <f>HYPERLINK("http://dx.doi.org/10.3390/bios13010043","http://dx.doi.org/10.3390/bios13010043")</f>
        <v>http://dx.doi.org/10.3390/bios13010043</v>
      </c>
      <c r="BG103" s="1" t="s">
        <v>74</v>
      </c>
      <c r="BH103" s="1" t="s">
        <v>74</v>
      </c>
      <c r="BI103" s="1" t="s">
        <v>74</v>
      </c>
      <c r="BJ103" s="1" t="s">
        <v>74</v>
      </c>
      <c r="BK103" s="1" t="s">
        <v>74</v>
      </c>
      <c r="BL103" s="1" t="s">
        <v>74</v>
      </c>
      <c r="BM103" s="1" t="s">
        <v>74</v>
      </c>
      <c r="BN103" s="1">
        <v>3.6671877E7</v>
      </c>
      <c r="BO103" s="1" t="s">
        <v>74</v>
      </c>
      <c r="BP103" s="1" t="s">
        <v>74</v>
      </c>
      <c r="BQ103" s="1" t="s">
        <v>74</v>
      </c>
      <c r="BR103" s="1" t="s">
        <v>74</v>
      </c>
      <c r="BS103" s="1" t="s">
        <v>1168</v>
      </c>
      <c r="BT103" s="1" t="str">
        <f>HYPERLINK("https%3A%2F%2Fwww.webofscience.com%2Fwos%2Fwoscc%2Ffull-record%2FWOS:000917001000001","View Full Record in Web of Science")</f>
        <v>View Full Record in Web of Science</v>
      </c>
    </row>
    <row r="104" ht="12.75" customHeight="1">
      <c r="A104" s="1" t="s">
        <v>72</v>
      </c>
      <c r="B104" s="1" t="s">
        <v>1169</v>
      </c>
      <c r="C104" s="1" t="s">
        <v>74</v>
      </c>
      <c r="D104" s="1" t="s">
        <v>74</v>
      </c>
      <c r="E104" s="1" t="s">
        <v>74</v>
      </c>
      <c r="F104" s="1" t="s">
        <v>1170</v>
      </c>
      <c r="G104" s="1" t="s">
        <v>74</v>
      </c>
      <c r="H104" s="1" t="s">
        <v>74</v>
      </c>
      <c r="I104" s="1" t="s">
        <v>1171</v>
      </c>
      <c r="J104" s="1" t="s">
        <v>1172</v>
      </c>
      <c r="K104" s="1" t="s">
        <v>74</v>
      </c>
      <c r="L104" s="1" t="s">
        <v>74</v>
      </c>
      <c r="M104" s="1" t="s">
        <v>74</v>
      </c>
      <c r="N104" s="1" t="s">
        <v>74</v>
      </c>
      <c r="O104" s="1" t="s">
        <v>74</v>
      </c>
      <c r="P104" s="1" t="s">
        <v>74</v>
      </c>
      <c r="Q104" s="1" t="s">
        <v>74</v>
      </c>
      <c r="R104" s="1" t="s">
        <v>74</v>
      </c>
      <c r="S104" s="1" t="s">
        <v>74</v>
      </c>
      <c r="T104" s="1" t="s">
        <v>74</v>
      </c>
      <c r="U104" s="1" t="s">
        <v>74</v>
      </c>
      <c r="V104" s="1" t="s">
        <v>1173</v>
      </c>
      <c r="W104" s="1" t="s">
        <v>74</v>
      </c>
      <c r="X104" s="1" t="s">
        <v>74</v>
      </c>
      <c r="Y104" s="1" t="s">
        <v>74</v>
      </c>
      <c r="Z104" s="1" t="s">
        <v>74</v>
      </c>
      <c r="AA104" s="1" t="s">
        <v>1174</v>
      </c>
      <c r="AB104" s="1" t="s">
        <v>1175</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1176</v>
      </c>
      <c r="AP104" s="1" t="s">
        <v>1177</v>
      </c>
      <c r="AQ104" s="1" t="s">
        <v>74</v>
      </c>
      <c r="AR104" s="1" t="s">
        <v>74</v>
      </c>
      <c r="AS104" s="1" t="s">
        <v>74</v>
      </c>
      <c r="AT104" s="1" t="s">
        <v>1178</v>
      </c>
      <c r="AU104" s="1">
        <v>2022.0</v>
      </c>
      <c r="AV104" s="1">
        <v>2022.0</v>
      </c>
      <c r="AW104" s="1" t="s">
        <v>74</v>
      </c>
      <c r="AX104" s="1" t="s">
        <v>74</v>
      </c>
      <c r="AY104" s="1" t="s">
        <v>74</v>
      </c>
      <c r="AZ104" s="1" t="s">
        <v>74</v>
      </c>
      <c r="BA104" s="1" t="s">
        <v>74</v>
      </c>
      <c r="BB104" s="1" t="s">
        <v>74</v>
      </c>
      <c r="BC104" s="1" t="s">
        <v>74</v>
      </c>
      <c r="BD104" s="1">
        <v>8903005.0</v>
      </c>
      <c r="BE104" s="1" t="s">
        <v>1179</v>
      </c>
      <c r="BF104" s="2" t="str">
        <f>HYPERLINK("http://dx.doi.org/10.1155/2022/8903005","http://dx.doi.org/10.1155/2022/8903005")</f>
        <v>http://dx.doi.org/10.1155/2022/8903005</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1180</v>
      </c>
      <c r="BT104" s="1" t="str">
        <f>HYPERLINK("https%3A%2F%2Fwww.webofscience.com%2Fwos%2Fwoscc%2Ffull-record%2FWOS:000876528800003","View Full Record in Web of Science")</f>
        <v>View Full Record in Web of Science</v>
      </c>
    </row>
    <row r="105" ht="12.75" customHeight="1">
      <c r="A105" s="1" t="s">
        <v>72</v>
      </c>
      <c r="B105" s="1" t="s">
        <v>1181</v>
      </c>
      <c r="C105" s="1" t="s">
        <v>74</v>
      </c>
      <c r="D105" s="1" t="s">
        <v>74</v>
      </c>
      <c r="E105" s="1" t="s">
        <v>74</v>
      </c>
      <c r="F105" s="1" t="s">
        <v>1182</v>
      </c>
      <c r="G105" s="1" t="s">
        <v>74</v>
      </c>
      <c r="H105" s="1" t="s">
        <v>74</v>
      </c>
      <c r="I105" s="1" t="s">
        <v>1183</v>
      </c>
      <c r="J105" s="1" t="s">
        <v>1184</v>
      </c>
      <c r="K105" s="1" t="s">
        <v>74</v>
      </c>
      <c r="L105" s="1" t="s">
        <v>74</v>
      </c>
      <c r="M105" s="1" t="s">
        <v>74</v>
      </c>
      <c r="N105" s="1" t="s">
        <v>74</v>
      </c>
      <c r="O105" s="1" t="s">
        <v>74</v>
      </c>
      <c r="P105" s="1" t="s">
        <v>74</v>
      </c>
      <c r="Q105" s="1" t="s">
        <v>74</v>
      </c>
      <c r="R105" s="1" t="s">
        <v>74</v>
      </c>
      <c r="S105" s="1" t="s">
        <v>74</v>
      </c>
      <c r="T105" s="1" t="s">
        <v>74</v>
      </c>
      <c r="U105" s="1" t="s">
        <v>74</v>
      </c>
      <c r="V105" s="1" t="s">
        <v>1185</v>
      </c>
      <c r="W105" s="1" t="s">
        <v>74</v>
      </c>
      <c r="X105" s="1" t="s">
        <v>74</v>
      </c>
      <c r="Y105" s="1" t="s">
        <v>74</v>
      </c>
      <c r="Z105" s="1" t="s">
        <v>74</v>
      </c>
      <c r="AA105" s="1" t="s">
        <v>1186</v>
      </c>
      <c r="AB105" s="1" t="s">
        <v>1187</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1188</v>
      </c>
      <c r="AP105" s="1" t="s">
        <v>74</v>
      </c>
      <c r="AQ105" s="1" t="s">
        <v>74</v>
      </c>
      <c r="AR105" s="1" t="s">
        <v>74</v>
      </c>
      <c r="AS105" s="1" t="s">
        <v>74</v>
      </c>
      <c r="AT105" s="1" t="s">
        <v>1082</v>
      </c>
      <c r="AU105" s="1">
        <v>2021.0</v>
      </c>
      <c r="AV105" s="1">
        <v>20.0</v>
      </c>
      <c r="AW105" s="1">
        <v>6.0</v>
      </c>
      <c r="AX105" s="1" t="s">
        <v>74</v>
      </c>
      <c r="AY105" s="1" t="s">
        <v>74</v>
      </c>
      <c r="AZ105" s="1" t="s">
        <v>74</v>
      </c>
      <c r="BA105" s="1" t="s">
        <v>74</v>
      </c>
      <c r="BB105" s="1">
        <v>611.0</v>
      </c>
      <c r="BC105" s="1">
        <v>637.0</v>
      </c>
      <c r="BD105" s="1" t="s">
        <v>74</v>
      </c>
      <c r="BE105" s="1" t="s">
        <v>1189</v>
      </c>
      <c r="BF105" s="2" t="str">
        <f>HYPERLINK("http://dx.doi.org/10.37360/blacpma.21.20.6.44","http://dx.doi.org/10.37360/blacpma.21.20.6.44")</f>
        <v>http://dx.doi.org/10.37360/blacpma.21.20.6.44</v>
      </c>
      <c r="BG105" s="1" t="s">
        <v>74</v>
      </c>
      <c r="BH105" s="1" t="s">
        <v>74</v>
      </c>
      <c r="BI105" s="1" t="s">
        <v>74</v>
      </c>
      <c r="BJ105" s="1" t="s">
        <v>74</v>
      </c>
      <c r="BK105" s="1" t="s">
        <v>74</v>
      </c>
      <c r="BL105" s="1" t="s">
        <v>74</v>
      </c>
      <c r="BM105" s="1" t="s">
        <v>74</v>
      </c>
      <c r="BN105" s="1" t="s">
        <v>74</v>
      </c>
      <c r="BO105" s="1" t="s">
        <v>74</v>
      </c>
      <c r="BP105" s="1" t="s">
        <v>74</v>
      </c>
      <c r="BQ105" s="1" t="s">
        <v>74</v>
      </c>
      <c r="BR105" s="1" t="s">
        <v>74</v>
      </c>
      <c r="BS105" s="1" t="s">
        <v>1190</v>
      </c>
      <c r="BT105" s="1" t="str">
        <f>HYPERLINK("https%3A%2F%2Fwww.webofscience.com%2Fwos%2Fwoscc%2Ffull-record%2FWOS:000674618600004","View Full Record in Web of Science")</f>
        <v>View Full Record in Web of Science</v>
      </c>
    </row>
    <row r="106" ht="12.75" customHeight="1">
      <c r="A106" s="1" t="s">
        <v>72</v>
      </c>
      <c r="B106" s="1" t="s">
        <v>1191</v>
      </c>
      <c r="C106" s="1" t="s">
        <v>74</v>
      </c>
      <c r="D106" s="1" t="s">
        <v>74</v>
      </c>
      <c r="E106" s="1" t="s">
        <v>74</v>
      </c>
      <c r="F106" s="1" t="s">
        <v>1192</v>
      </c>
      <c r="G106" s="1" t="s">
        <v>74</v>
      </c>
      <c r="H106" s="1" t="s">
        <v>74</v>
      </c>
      <c r="I106" s="1" t="s">
        <v>1193</v>
      </c>
      <c r="J106" s="1" t="s">
        <v>1194</v>
      </c>
      <c r="K106" s="1" t="s">
        <v>74</v>
      </c>
      <c r="L106" s="1" t="s">
        <v>74</v>
      </c>
      <c r="M106" s="1" t="s">
        <v>74</v>
      </c>
      <c r="N106" s="1" t="s">
        <v>74</v>
      </c>
      <c r="O106" s="1" t="s">
        <v>74</v>
      </c>
      <c r="P106" s="1" t="s">
        <v>74</v>
      </c>
      <c r="Q106" s="1" t="s">
        <v>74</v>
      </c>
      <c r="R106" s="1" t="s">
        <v>74</v>
      </c>
      <c r="S106" s="1" t="s">
        <v>74</v>
      </c>
      <c r="T106" s="1" t="s">
        <v>74</v>
      </c>
      <c r="U106" s="1" t="s">
        <v>74</v>
      </c>
      <c r="V106" s="1" t="s">
        <v>1195</v>
      </c>
      <c r="W106" s="1" t="s">
        <v>74</v>
      </c>
      <c r="X106" s="1" t="s">
        <v>74</v>
      </c>
      <c r="Y106" s="1" t="s">
        <v>74</v>
      </c>
      <c r="Z106" s="1" t="s">
        <v>74</v>
      </c>
      <c r="AA106" s="1" t="s">
        <v>1196</v>
      </c>
      <c r="AB106" s="1" t="s">
        <v>1197</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1198</v>
      </c>
      <c r="AP106" s="1" t="s">
        <v>1199</v>
      </c>
      <c r="AQ106" s="1" t="s">
        <v>74</v>
      </c>
      <c r="AR106" s="1" t="s">
        <v>74</v>
      </c>
      <c r="AS106" s="1" t="s">
        <v>74</v>
      </c>
      <c r="AT106" s="1" t="s">
        <v>176</v>
      </c>
      <c r="AU106" s="1">
        <v>2022.0</v>
      </c>
      <c r="AV106" s="1">
        <v>193.0</v>
      </c>
      <c r="AW106" s="1" t="s">
        <v>74</v>
      </c>
      <c r="AX106" s="1" t="s">
        <v>74</v>
      </c>
      <c r="AY106" s="1" t="s">
        <v>74</v>
      </c>
      <c r="AZ106" s="1" t="s">
        <v>74</v>
      </c>
      <c r="BA106" s="1" t="s">
        <v>74</v>
      </c>
      <c r="BB106" s="1">
        <v>1.0</v>
      </c>
      <c r="BC106" s="1">
        <v>18.0</v>
      </c>
      <c r="BD106" s="1" t="s">
        <v>74</v>
      </c>
      <c r="BE106" s="1" t="s">
        <v>1200</v>
      </c>
      <c r="BF106" s="2" t="str">
        <f>HYPERLINK("http://dx.doi.org/10.1016/j.matcom.2021.09.016","http://dx.doi.org/10.1016/j.matcom.2021.09.016")</f>
        <v>http://dx.doi.org/10.1016/j.matcom.2021.09.016</v>
      </c>
      <c r="BG106" s="1" t="s">
        <v>74</v>
      </c>
      <c r="BH106" s="1" t="s">
        <v>1201</v>
      </c>
      <c r="BI106" s="1" t="s">
        <v>74</v>
      </c>
      <c r="BJ106" s="1" t="s">
        <v>74</v>
      </c>
      <c r="BK106" s="1" t="s">
        <v>74</v>
      </c>
      <c r="BL106" s="1" t="s">
        <v>74</v>
      </c>
      <c r="BM106" s="1" t="s">
        <v>74</v>
      </c>
      <c r="BN106" s="1">
        <v>3.4608351E7</v>
      </c>
      <c r="BO106" s="1" t="s">
        <v>74</v>
      </c>
      <c r="BP106" s="1" t="s">
        <v>74</v>
      </c>
      <c r="BQ106" s="1" t="s">
        <v>74</v>
      </c>
      <c r="BR106" s="1" t="s">
        <v>74</v>
      </c>
      <c r="BS106" s="1" t="s">
        <v>1202</v>
      </c>
      <c r="BT106" s="1" t="str">
        <f>HYPERLINK("https%3A%2F%2Fwww.webofscience.com%2Fwos%2Fwoscc%2Ffull-record%2FWOS:000711956400001","View Full Record in Web of Science")</f>
        <v>View Full Record in Web of Science</v>
      </c>
    </row>
    <row r="107" ht="12.75" customHeight="1">
      <c r="A107" s="1" t="s">
        <v>72</v>
      </c>
      <c r="B107" s="1" t="s">
        <v>1203</v>
      </c>
      <c r="C107" s="1" t="s">
        <v>74</v>
      </c>
      <c r="D107" s="1" t="s">
        <v>74</v>
      </c>
      <c r="E107" s="1" t="s">
        <v>74</v>
      </c>
      <c r="F107" s="1" t="s">
        <v>1204</v>
      </c>
      <c r="G107" s="1" t="s">
        <v>74</v>
      </c>
      <c r="H107" s="1" t="s">
        <v>74</v>
      </c>
      <c r="I107" s="1" t="s">
        <v>1205</v>
      </c>
      <c r="J107" s="1" t="s">
        <v>1206</v>
      </c>
      <c r="K107" s="1" t="s">
        <v>74</v>
      </c>
      <c r="L107" s="1" t="s">
        <v>74</v>
      </c>
      <c r="M107" s="1" t="s">
        <v>74</v>
      </c>
      <c r="N107" s="1" t="s">
        <v>74</v>
      </c>
      <c r="O107" s="1" t="s">
        <v>74</v>
      </c>
      <c r="P107" s="1" t="s">
        <v>74</v>
      </c>
      <c r="Q107" s="1" t="s">
        <v>74</v>
      </c>
      <c r="R107" s="1" t="s">
        <v>74</v>
      </c>
      <c r="S107" s="1" t="s">
        <v>74</v>
      </c>
      <c r="T107" s="1" t="s">
        <v>74</v>
      </c>
      <c r="U107" s="1" t="s">
        <v>74</v>
      </c>
      <c r="V107" s="1" t="s">
        <v>1207</v>
      </c>
      <c r="W107" s="1" t="s">
        <v>74</v>
      </c>
      <c r="X107" s="1" t="s">
        <v>74</v>
      </c>
      <c r="Y107" s="1" t="s">
        <v>74</v>
      </c>
      <c r="Z107" s="1" t="s">
        <v>74</v>
      </c>
      <c r="AA107" s="1" t="s">
        <v>1208</v>
      </c>
      <c r="AB107" s="1" t="s">
        <v>1209</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1210</v>
      </c>
      <c r="AP107" s="1" t="s">
        <v>1211</v>
      </c>
      <c r="AQ107" s="1" t="s">
        <v>74</v>
      </c>
      <c r="AR107" s="1" t="s">
        <v>74</v>
      </c>
      <c r="AS107" s="1" t="s">
        <v>74</v>
      </c>
      <c r="AT107" s="1" t="s">
        <v>600</v>
      </c>
      <c r="AU107" s="1">
        <v>2021.0</v>
      </c>
      <c r="AV107" s="1">
        <v>151.0</v>
      </c>
      <c r="AW107" s="1">
        <v>1.0</v>
      </c>
      <c r="AX107" s="1" t="s">
        <v>74</v>
      </c>
      <c r="AY107" s="1" t="s">
        <v>74</v>
      </c>
      <c r="AZ107" s="1" t="s">
        <v>74</v>
      </c>
      <c r="BA107" s="1" t="s">
        <v>74</v>
      </c>
      <c r="BB107" s="1">
        <v>187.0</v>
      </c>
      <c r="BC107" s="1">
        <v>201.0</v>
      </c>
      <c r="BD107" s="1" t="s">
        <v>1212</v>
      </c>
      <c r="BE107" s="1" t="s">
        <v>1213</v>
      </c>
      <c r="BF107" s="2" t="str">
        <f>HYPERLINK("http://dx.doi.org/10.1017/prm.2020.9","http://dx.doi.org/10.1017/prm.2020.9")</f>
        <v>http://dx.doi.org/10.1017/prm.2020.9</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1214</v>
      </c>
      <c r="BT107" s="1" t="str">
        <f>HYPERLINK("https%3A%2F%2Fwww.webofscience.com%2Fwos%2Fwoscc%2Ffull-record%2FWOS:000609102100010","View Full Record in Web of Science")</f>
        <v>View Full Record in Web of Science</v>
      </c>
    </row>
    <row r="108" ht="12.75" customHeight="1">
      <c r="A108" s="1" t="s">
        <v>72</v>
      </c>
      <c r="B108" s="1" t="s">
        <v>1215</v>
      </c>
      <c r="C108" s="1" t="s">
        <v>74</v>
      </c>
      <c r="D108" s="1" t="s">
        <v>74</v>
      </c>
      <c r="E108" s="1" t="s">
        <v>74</v>
      </c>
      <c r="F108" s="1" t="s">
        <v>1216</v>
      </c>
      <c r="G108" s="1" t="s">
        <v>74</v>
      </c>
      <c r="H108" s="1" t="s">
        <v>74</v>
      </c>
      <c r="I108" s="1" t="s">
        <v>1217</v>
      </c>
      <c r="J108" s="1" t="s">
        <v>1218</v>
      </c>
      <c r="K108" s="1" t="s">
        <v>74</v>
      </c>
      <c r="L108" s="1" t="s">
        <v>74</v>
      </c>
      <c r="M108" s="1" t="s">
        <v>74</v>
      </c>
      <c r="N108" s="1" t="s">
        <v>74</v>
      </c>
      <c r="O108" s="1" t="s">
        <v>74</v>
      </c>
      <c r="P108" s="1" t="s">
        <v>74</v>
      </c>
      <c r="Q108" s="1" t="s">
        <v>74</v>
      </c>
      <c r="R108" s="1" t="s">
        <v>74</v>
      </c>
      <c r="S108" s="1" t="s">
        <v>74</v>
      </c>
      <c r="T108" s="1" t="s">
        <v>74</v>
      </c>
      <c r="U108" s="1" t="s">
        <v>74</v>
      </c>
      <c r="V108" s="1" t="s">
        <v>1219</v>
      </c>
      <c r="W108" s="1" t="s">
        <v>74</v>
      </c>
      <c r="X108" s="1" t="s">
        <v>74</v>
      </c>
      <c r="Y108" s="1" t="s">
        <v>74</v>
      </c>
      <c r="Z108" s="1" t="s">
        <v>74</v>
      </c>
      <c r="AA108" s="1" t="s">
        <v>1220</v>
      </c>
      <c r="AB108" s="1" t="s">
        <v>1221</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1222</v>
      </c>
      <c r="AP108" s="1" t="s">
        <v>1223</v>
      </c>
      <c r="AQ108" s="1" t="s">
        <v>74</v>
      </c>
      <c r="AR108" s="1" t="s">
        <v>74</v>
      </c>
      <c r="AS108" s="1" t="s">
        <v>74</v>
      </c>
      <c r="AT108" s="1" t="s">
        <v>822</v>
      </c>
      <c r="AU108" s="1">
        <v>2021.0</v>
      </c>
      <c r="AV108" s="1">
        <v>1865.0</v>
      </c>
      <c r="AW108" s="1">
        <v>1.0</v>
      </c>
      <c r="AX108" s="1" t="s">
        <v>74</v>
      </c>
      <c r="AY108" s="1" t="s">
        <v>74</v>
      </c>
      <c r="AZ108" s="1" t="s">
        <v>74</v>
      </c>
      <c r="BA108" s="1" t="s">
        <v>74</v>
      </c>
      <c r="BB108" s="1" t="s">
        <v>74</v>
      </c>
      <c r="BC108" s="1" t="s">
        <v>74</v>
      </c>
      <c r="BD108" s="1">
        <v>129729.0</v>
      </c>
      <c r="BE108" s="1" t="s">
        <v>1224</v>
      </c>
      <c r="BF108" s="2" t="str">
        <f>HYPERLINK("http://dx.doi.org/10.1016/j.bbagen.2020.129729","http://dx.doi.org/10.1016/j.bbagen.2020.129729")</f>
        <v>http://dx.doi.org/10.1016/j.bbagen.2020.129729</v>
      </c>
      <c r="BG108" s="1" t="s">
        <v>74</v>
      </c>
      <c r="BH108" s="1" t="s">
        <v>74</v>
      </c>
      <c r="BI108" s="1" t="s">
        <v>74</v>
      </c>
      <c r="BJ108" s="1" t="s">
        <v>74</v>
      </c>
      <c r="BK108" s="1" t="s">
        <v>74</v>
      </c>
      <c r="BL108" s="1" t="s">
        <v>74</v>
      </c>
      <c r="BM108" s="1" t="s">
        <v>74</v>
      </c>
      <c r="BN108" s="1">
        <v>3.2916204E7</v>
      </c>
      <c r="BO108" s="1" t="s">
        <v>74</v>
      </c>
      <c r="BP108" s="1" t="s">
        <v>74</v>
      </c>
      <c r="BQ108" s="1" t="s">
        <v>74</v>
      </c>
      <c r="BR108" s="1" t="s">
        <v>74</v>
      </c>
      <c r="BS108" s="1" t="s">
        <v>1225</v>
      </c>
      <c r="BT108" s="1" t="str">
        <f>HYPERLINK("https%3A%2F%2Fwww.webofscience.com%2Fwos%2Fwoscc%2Ffull-record%2FWOS:000594131800002","View Full Record in Web of Science")</f>
        <v>View Full Record in Web of Science</v>
      </c>
    </row>
    <row r="109" ht="12.75" customHeight="1">
      <c r="A109" s="1" t="s">
        <v>72</v>
      </c>
      <c r="B109" s="1" t="s">
        <v>1226</v>
      </c>
      <c r="C109" s="1" t="s">
        <v>74</v>
      </c>
      <c r="D109" s="1" t="s">
        <v>74</v>
      </c>
      <c r="E109" s="1" t="s">
        <v>74</v>
      </c>
      <c r="F109" s="1" t="s">
        <v>1227</v>
      </c>
      <c r="G109" s="1" t="s">
        <v>74</v>
      </c>
      <c r="H109" s="1" t="s">
        <v>74</v>
      </c>
      <c r="I109" s="1" t="s">
        <v>1228</v>
      </c>
      <c r="J109" s="1" t="s">
        <v>1229</v>
      </c>
      <c r="K109" s="1" t="s">
        <v>74</v>
      </c>
      <c r="L109" s="1" t="s">
        <v>74</v>
      </c>
      <c r="M109" s="1" t="s">
        <v>74</v>
      </c>
      <c r="N109" s="1" t="s">
        <v>74</v>
      </c>
      <c r="O109" s="1" t="s">
        <v>74</v>
      </c>
      <c r="P109" s="1" t="s">
        <v>74</v>
      </c>
      <c r="Q109" s="1" t="s">
        <v>74</v>
      </c>
      <c r="R109" s="1" t="s">
        <v>74</v>
      </c>
      <c r="S109" s="1" t="s">
        <v>74</v>
      </c>
      <c r="T109" s="1" t="s">
        <v>74</v>
      </c>
      <c r="U109" s="1" t="s">
        <v>74</v>
      </c>
      <c r="V109" s="1" t="s">
        <v>1230</v>
      </c>
      <c r="W109" s="1" t="s">
        <v>74</v>
      </c>
      <c r="X109" s="1" t="s">
        <v>74</v>
      </c>
      <c r="Y109" s="1" t="s">
        <v>74</v>
      </c>
      <c r="Z109" s="1" t="s">
        <v>74</v>
      </c>
      <c r="AA109" s="1" t="s">
        <v>1231</v>
      </c>
      <c r="AB109" s="1" t="s">
        <v>1232</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1233</v>
      </c>
      <c r="AP109" s="1" t="s">
        <v>74</v>
      </c>
      <c r="AQ109" s="1" t="s">
        <v>74</v>
      </c>
      <c r="AR109" s="1" t="s">
        <v>74</v>
      </c>
      <c r="AS109" s="1" t="s">
        <v>74</v>
      </c>
      <c r="AT109" s="1" t="s">
        <v>74</v>
      </c>
      <c r="AU109" s="1">
        <v>2021.0</v>
      </c>
      <c r="AV109" s="1">
        <v>13.0</v>
      </c>
      <c r="AW109" s="1" t="s">
        <v>74</v>
      </c>
      <c r="AX109" s="1" t="s">
        <v>74</v>
      </c>
      <c r="AY109" s="1" t="s">
        <v>1234</v>
      </c>
      <c r="AZ109" s="1" t="s">
        <v>74</v>
      </c>
      <c r="BA109" s="1" t="s">
        <v>74</v>
      </c>
      <c r="BB109" s="1">
        <v>87.0</v>
      </c>
      <c r="BC109" s="1">
        <v>98.0</v>
      </c>
      <c r="BD109" s="1" t="s">
        <v>74</v>
      </c>
      <c r="BE109" s="1" t="s">
        <v>74</v>
      </c>
      <c r="BF109" s="1" t="s">
        <v>74</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1235</v>
      </c>
      <c r="BT109" s="1" t="str">
        <f>HYPERLINK("https%3A%2F%2Fwww.webofscience.com%2Fwos%2Fwoscc%2Ffull-record%2FWOS:000709411800007","View Full Record in Web of Science")</f>
        <v>View Full Record in Web of Science</v>
      </c>
    </row>
    <row r="110" ht="12.75" customHeight="1">
      <c r="A110" s="1" t="s">
        <v>154</v>
      </c>
      <c r="B110" s="1" t="s">
        <v>1236</v>
      </c>
      <c r="C110" s="1" t="s">
        <v>74</v>
      </c>
      <c r="D110" s="1" t="s">
        <v>74</v>
      </c>
      <c r="E110" s="1" t="s">
        <v>323</v>
      </c>
      <c r="F110" s="1" t="s">
        <v>1237</v>
      </c>
      <c r="G110" s="1" t="s">
        <v>74</v>
      </c>
      <c r="H110" s="1" t="s">
        <v>74</v>
      </c>
      <c r="I110" s="1" t="s">
        <v>1238</v>
      </c>
      <c r="J110" s="1" t="s">
        <v>1239</v>
      </c>
      <c r="K110" s="1" t="s">
        <v>74</v>
      </c>
      <c r="L110" s="1" t="s">
        <v>74</v>
      </c>
      <c r="M110" s="1" t="s">
        <v>74</v>
      </c>
      <c r="N110" s="1" t="s">
        <v>74</v>
      </c>
      <c r="O110" s="1" t="s">
        <v>1240</v>
      </c>
      <c r="P110" s="1" t="s">
        <v>1241</v>
      </c>
      <c r="Q110" s="1" t="s">
        <v>1242</v>
      </c>
      <c r="R110" s="1" t="s">
        <v>1243</v>
      </c>
      <c r="S110" s="1" t="s">
        <v>74</v>
      </c>
      <c r="T110" s="1" t="s">
        <v>74</v>
      </c>
      <c r="U110" s="1" t="s">
        <v>74</v>
      </c>
      <c r="V110" s="1" t="s">
        <v>1244</v>
      </c>
      <c r="W110" s="1" t="s">
        <v>74</v>
      </c>
      <c r="X110" s="1" t="s">
        <v>74</v>
      </c>
      <c r="Y110" s="1" t="s">
        <v>74</v>
      </c>
      <c r="Z110" s="1" t="s">
        <v>74</v>
      </c>
      <c r="AA110" s="1" t="s">
        <v>1245</v>
      </c>
      <c r="AB110" s="1" t="s">
        <v>1246</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74</v>
      </c>
      <c r="AP110" s="1" t="s">
        <v>74</v>
      </c>
      <c r="AQ110" s="1" t="s">
        <v>1247</v>
      </c>
      <c r="AR110" s="1" t="s">
        <v>74</v>
      </c>
      <c r="AS110" s="1" t="s">
        <v>74</v>
      </c>
      <c r="AT110" s="1" t="s">
        <v>74</v>
      </c>
      <c r="AU110" s="1">
        <v>2021.0</v>
      </c>
      <c r="AV110" s="1" t="s">
        <v>74</v>
      </c>
      <c r="AW110" s="1" t="s">
        <v>74</v>
      </c>
      <c r="AX110" s="1" t="s">
        <v>74</v>
      </c>
      <c r="AY110" s="1" t="s">
        <v>74</v>
      </c>
      <c r="AZ110" s="1" t="s">
        <v>74</v>
      </c>
      <c r="BA110" s="1" t="s">
        <v>74</v>
      </c>
      <c r="BB110" s="1" t="s">
        <v>74</v>
      </c>
      <c r="BC110" s="1" t="s">
        <v>74</v>
      </c>
      <c r="BD110" s="1" t="s">
        <v>74</v>
      </c>
      <c r="BE110" s="1" t="s">
        <v>1248</v>
      </c>
      <c r="BF110" s="2" t="str">
        <f>HYPERLINK("http://dx.doi.org/10.1109/ICAACCA51523.2021.9465265","http://dx.doi.org/10.1109/ICAACCA51523.2021.9465265")</f>
        <v>http://dx.doi.org/10.1109/ICAACCA51523.2021.9465265</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1249</v>
      </c>
      <c r="BT110" s="1" t="str">
        <f>HYPERLINK("https%3A%2F%2Fwww.webofscience.com%2Fwos%2Fwoscc%2Ffull-record%2FWOS:000855764500085","View Full Record in Web of Science")</f>
        <v>View Full Record in Web of Science</v>
      </c>
    </row>
    <row r="111" ht="12.75" customHeight="1">
      <c r="A111" s="1" t="s">
        <v>72</v>
      </c>
      <c r="B111" s="1" t="s">
        <v>1250</v>
      </c>
      <c r="C111" s="1" t="s">
        <v>74</v>
      </c>
      <c r="D111" s="1" t="s">
        <v>74</v>
      </c>
      <c r="E111" s="1" t="s">
        <v>74</v>
      </c>
      <c r="F111" s="1" t="s">
        <v>1251</v>
      </c>
      <c r="G111" s="1" t="s">
        <v>74</v>
      </c>
      <c r="H111" s="1" t="s">
        <v>74</v>
      </c>
      <c r="I111" s="1" t="s">
        <v>1252</v>
      </c>
      <c r="J111" s="1" t="s">
        <v>1184</v>
      </c>
      <c r="K111" s="1" t="s">
        <v>74</v>
      </c>
      <c r="L111" s="1" t="s">
        <v>74</v>
      </c>
      <c r="M111" s="1" t="s">
        <v>74</v>
      </c>
      <c r="N111" s="1" t="s">
        <v>74</v>
      </c>
      <c r="O111" s="1" t="s">
        <v>74</v>
      </c>
      <c r="P111" s="1" t="s">
        <v>74</v>
      </c>
      <c r="Q111" s="1" t="s">
        <v>74</v>
      </c>
      <c r="R111" s="1" t="s">
        <v>74</v>
      </c>
      <c r="S111" s="1" t="s">
        <v>74</v>
      </c>
      <c r="T111" s="1" t="s">
        <v>74</v>
      </c>
      <c r="U111" s="1" t="s">
        <v>74</v>
      </c>
      <c r="V111" s="1" t="s">
        <v>1253</v>
      </c>
      <c r="W111" s="1" t="s">
        <v>74</v>
      </c>
      <c r="X111" s="1" t="s">
        <v>74</v>
      </c>
      <c r="Y111" s="1" t="s">
        <v>74</v>
      </c>
      <c r="Z111" s="1" t="s">
        <v>74</v>
      </c>
      <c r="AA111" s="1" t="s">
        <v>1254</v>
      </c>
      <c r="AB111" s="1" t="s">
        <v>74</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1188</v>
      </c>
      <c r="AP111" s="1" t="s">
        <v>74</v>
      </c>
      <c r="AQ111" s="1" t="s">
        <v>74</v>
      </c>
      <c r="AR111" s="1" t="s">
        <v>74</v>
      </c>
      <c r="AS111" s="1" t="s">
        <v>74</v>
      </c>
      <c r="AT111" s="1" t="s">
        <v>974</v>
      </c>
      <c r="AU111" s="1">
        <v>2020.0</v>
      </c>
      <c r="AV111" s="1">
        <v>19.0</v>
      </c>
      <c r="AW111" s="1">
        <v>4.0</v>
      </c>
      <c r="AX111" s="1" t="s">
        <v>74</v>
      </c>
      <c r="AY111" s="1" t="s">
        <v>74</v>
      </c>
      <c r="AZ111" s="1" t="s">
        <v>74</v>
      </c>
      <c r="BA111" s="1" t="s">
        <v>74</v>
      </c>
      <c r="BB111" s="1">
        <v>387.0</v>
      </c>
      <c r="BC111" s="1">
        <v>394.0</v>
      </c>
      <c r="BD111" s="1" t="s">
        <v>74</v>
      </c>
      <c r="BE111" s="1" t="s">
        <v>1255</v>
      </c>
      <c r="BF111" s="2" t="str">
        <f>HYPERLINK("http://dx.doi.org/10.37360/blacpma.20.19.4.26","http://dx.doi.org/10.37360/blacpma.20.19.4.26")</f>
        <v>http://dx.doi.org/10.37360/blacpma.20.19.4.26</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1256</v>
      </c>
      <c r="BT111" s="1" t="str">
        <f>HYPERLINK("https%3A%2F%2Fwww.webofscience.com%2Fwos%2Fwoscc%2Ffull-record%2FWOS:000592117200005","View Full Record in Web of Science")</f>
        <v>View Full Record in Web of Science</v>
      </c>
    </row>
    <row r="112" ht="12.75" customHeight="1">
      <c r="A112" s="1" t="s">
        <v>72</v>
      </c>
      <c r="B112" s="1" t="s">
        <v>1257</v>
      </c>
      <c r="C112" s="1" t="s">
        <v>74</v>
      </c>
      <c r="D112" s="1" t="s">
        <v>74</v>
      </c>
      <c r="E112" s="1" t="s">
        <v>74</v>
      </c>
      <c r="F112" s="1" t="s">
        <v>1258</v>
      </c>
      <c r="G112" s="1" t="s">
        <v>74</v>
      </c>
      <c r="H112" s="1" t="s">
        <v>74</v>
      </c>
      <c r="I112" s="1" t="s">
        <v>1259</v>
      </c>
      <c r="J112" s="1" t="s">
        <v>1260</v>
      </c>
      <c r="K112" s="1" t="s">
        <v>74</v>
      </c>
      <c r="L112" s="1" t="s">
        <v>74</v>
      </c>
      <c r="M112" s="1" t="s">
        <v>74</v>
      </c>
      <c r="N112" s="1" t="s">
        <v>74</v>
      </c>
      <c r="O112" s="1" t="s">
        <v>74</v>
      </c>
      <c r="P112" s="1" t="s">
        <v>74</v>
      </c>
      <c r="Q112" s="1" t="s">
        <v>74</v>
      </c>
      <c r="R112" s="1" t="s">
        <v>74</v>
      </c>
      <c r="S112" s="1" t="s">
        <v>74</v>
      </c>
      <c r="T112" s="1" t="s">
        <v>74</v>
      </c>
      <c r="U112" s="1" t="s">
        <v>74</v>
      </c>
      <c r="V112" s="1" t="s">
        <v>1261</v>
      </c>
      <c r="W112" s="1" t="s">
        <v>74</v>
      </c>
      <c r="X112" s="1" t="s">
        <v>74</v>
      </c>
      <c r="Y112" s="1" t="s">
        <v>74</v>
      </c>
      <c r="Z112" s="1" t="s">
        <v>74</v>
      </c>
      <c r="AA112" s="1" t="s">
        <v>1262</v>
      </c>
      <c r="AB112" s="1" t="s">
        <v>1263</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1264</v>
      </c>
      <c r="AP112" s="1" t="s">
        <v>1265</v>
      </c>
      <c r="AQ112" s="1" t="s">
        <v>74</v>
      </c>
      <c r="AR112" s="1" t="s">
        <v>74</v>
      </c>
      <c r="AS112" s="1" t="s">
        <v>74</v>
      </c>
      <c r="AT112" s="1" t="s">
        <v>1266</v>
      </c>
      <c r="AU112" s="1">
        <v>2020.0</v>
      </c>
      <c r="AV112" s="1">
        <v>370.0</v>
      </c>
      <c r="AW112" s="1" t="s">
        <v>74</v>
      </c>
      <c r="AX112" s="1" t="s">
        <v>74</v>
      </c>
      <c r="AY112" s="1" t="s">
        <v>74</v>
      </c>
      <c r="AZ112" s="1" t="s">
        <v>74</v>
      </c>
      <c r="BA112" s="1" t="s">
        <v>74</v>
      </c>
      <c r="BB112" s="1" t="s">
        <v>74</v>
      </c>
      <c r="BC112" s="1" t="s">
        <v>74</v>
      </c>
      <c r="BD112" s="1">
        <v>112683.0</v>
      </c>
      <c r="BE112" s="1" t="s">
        <v>1267</v>
      </c>
      <c r="BF112" s="2" t="str">
        <f>HYPERLINK("http://dx.doi.org/10.1016/j.cam.2019.112683","http://dx.doi.org/10.1016/j.cam.2019.112683")</f>
        <v>http://dx.doi.org/10.1016/j.cam.2019.112683</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1268</v>
      </c>
      <c r="BT112" s="1" t="str">
        <f>HYPERLINK("https%3A%2F%2Fwww.webofscience.com%2Fwos%2Fwoscc%2Ffull-record%2FWOS:000510957900024","View Full Record in Web of Science")</f>
        <v>View Full Record in Web of Science</v>
      </c>
    </row>
    <row r="113" ht="12.75" customHeight="1">
      <c r="A113" s="1" t="s">
        <v>72</v>
      </c>
      <c r="B113" s="1" t="s">
        <v>1269</v>
      </c>
      <c r="C113" s="1" t="s">
        <v>74</v>
      </c>
      <c r="D113" s="1" t="s">
        <v>74</v>
      </c>
      <c r="E113" s="1" t="s">
        <v>74</v>
      </c>
      <c r="F113" s="1" t="s">
        <v>1270</v>
      </c>
      <c r="G113" s="1" t="s">
        <v>74</v>
      </c>
      <c r="H113" s="1" t="s">
        <v>74</v>
      </c>
      <c r="I113" s="1" t="s">
        <v>1271</v>
      </c>
      <c r="J113" s="1" t="s">
        <v>1272</v>
      </c>
      <c r="K113" s="1" t="s">
        <v>74</v>
      </c>
      <c r="L113" s="1" t="s">
        <v>74</v>
      </c>
      <c r="M113" s="1" t="s">
        <v>74</v>
      </c>
      <c r="N113" s="1" t="s">
        <v>74</v>
      </c>
      <c r="O113" s="1" t="s">
        <v>74</v>
      </c>
      <c r="P113" s="1" t="s">
        <v>74</v>
      </c>
      <c r="Q113" s="1" t="s">
        <v>74</v>
      </c>
      <c r="R113" s="1" t="s">
        <v>74</v>
      </c>
      <c r="S113" s="1" t="s">
        <v>74</v>
      </c>
      <c r="T113" s="1" t="s">
        <v>74</v>
      </c>
      <c r="U113" s="1" t="s">
        <v>74</v>
      </c>
      <c r="V113" s="1" t="s">
        <v>1273</v>
      </c>
      <c r="W113" s="1" t="s">
        <v>74</v>
      </c>
      <c r="X113" s="1" t="s">
        <v>74</v>
      </c>
      <c r="Y113" s="1" t="s">
        <v>74</v>
      </c>
      <c r="Z113" s="1" t="s">
        <v>74</v>
      </c>
      <c r="AA113" s="1" t="s">
        <v>1274</v>
      </c>
      <c r="AB113" s="1" t="s">
        <v>1275</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1276</v>
      </c>
      <c r="AP113" s="1" t="s">
        <v>1277</v>
      </c>
      <c r="AQ113" s="1" t="s">
        <v>74</v>
      </c>
      <c r="AR113" s="1" t="s">
        <v>74</v>
      </c>
      <c r="AS113" s="1" t="s">
        <v>74</v>
      </c>
      <c r="AT113" s="1" t="s">
        <v>83</v>
      </c>
      <c r="AU113" s="1">
        <v>2018.0</v>
      </c>
      <c r="AV113" s="1">
        <v>40.0</v>
      </c>
      <c r="AW113" s="1">
        <v>6.0</v>
      </c>
      <c r="AX113" s="1" t="s">
        <v>74</v>
      </c>
      <c r="AY113" s="1" t="s">
        <v>74</v>
      </c>
      <c r="AZ113" s="1" t="s">
        <v>74</v>
      </c>
      <c r="BA113" s="1" t="s">
        <v>74</v>
      </c>
      <c r="BB113" s="1">
        <v>2491.0</v>
      </c>
      <c r="BC113" s="1">
        <v>2509.0</v>
      </c>
      <c r="BD113" s="1" t="s">
        <v>74</v>
      </c>
      <c r="BE113" s="1" t="s">
        <v>1278</v>
      </c>
      <c r="BF113" s="2" t="str">
        <f>HYPERLINK("http://dx.doi.org/10.1007/s10653-018-0115-y","http://dx.doi.org/10.1007/s10653-018-0115-y")</f>
        <v>http://dx.doi.org/10.1007/s10653-018-0115-y</v>
      </c>
      <c r="BG113" s="1" t="s">
        <v>74</v>
      </c>
      <c r="BH113" s="1" t="s">
        <v>74</v>
      </c>
      <c r="BI113" s="1" t="s">
        <v>74</v>
      </c>
      <c r="BJ113" s="1" t="s">
        <v>74</v>
      </c>
      <c r="BK113" s="1" t="s">
        <v>74</v>
      </c>
      <c r="BL113" s="1" t="s">
        <v>74</v>
      </c>
      <c r="BM113" s="1" t="s">
        <v>74</v>
      </c>
      <c r="BN113" s="1">
        <v>2.9876675E7</v>
      </c>
      <c r="BO113" s="1" t="s">
        <v>74</v>
      </c>
      <c r="BP113" s="1" t="s">
        <v>74</v>
      </c>
      <c r="BQ113" s="1" t="s">
        <v>74</v>
      </c>
      <c r="BR113" s="1" t="s">
        <v>74</v>
      </c>
      <c r="BS113" s="1" t="s">
        <v>1279</v>
      </c>
      <c r="BT113" s="1" t="str">
        <f>HYPERLINK("https%3A%2F%2Fwww.webofscience.com%2Fwos%2Fwoscc%2Ffull-record%2FWOS:000452307100015","View Full Record in Web of Science")</f>
        <v>View Full Record in Web of Science</v>
      </c>
    </row>
    <row r="114" ht="12.75" customHeight="1">
      <c r="A114" s="1" t="s">
        <v>72</v>
      </c>
      <c r="B114" s="1" t="s">
        <v>1280</v>
      </c>
      <c r="C114" s="1" t="s">
        <v>74</v>
      </c>
      <c r="D114" s="1" t="s">
        <v>74</v>
      </c>
      <c r="E114" s="1" t="s">
        <v>74</v>
      </c>
      <c r="F114" s="1" t="s">
        <v>1281</v>
      </c>
      <c r="G114" s="1" t="s">
        <v>74</v>
      </c>
      <c r="H114" s="1" t="s">
        <v>74</v>
      </c>
      <c r="I114" s="1" t="s">
        <v>1282</v>
      </c>
      <c r="J114" s="1" t="s">
        <v>472</v>
      </c>
      <c r="K114" s="1" t="s">
        <v>74</v>
      </c>
      <c r="L114" s="1" t="s">
        <v>74</v>
      </c>
      <c r="M114" s="1" t="s">
        <v>74</v>
      </c>
      <c r="N114" s="1" t="s">
        <v>74</v>
      </c>
      <c r="O114" s="1" t="s">
        <v>74</v>
      </c>
      <c r="P114" s="1" t="s">
        <v>74</v>
      </c>
      <c r="Q114" s="1" t="s">
        <v>74</v>
      </c>
      <c r="R114" s="1" t="s">
        <v>74</v>
      </c>
      <c r="S114" s="1" t="s">
        <v>74</v>
      </c>
      <c r="T114" s="1" t="s">
        <v>74</v>
      </c>
      <c r="U114" s="1" t="s">
        <v>74</v>
      </c>
      <c r="V114" s="1" t="s">
        <v>1283</v>
      </c>
      <c r="W114" s="1" t="s">
        <v>74</v>
      </c>
      <c r="X114" s="1" t="s">
        <v>74</v>
      </c>
      <c r="Y114" s="1" t="s">
        <v>74</v>
      </c>
      <c r="Z114" s="1" t="s">
        <v>74</v>
      </c>
      <c r="AA114" s="1" t="s">
        <v>1284</v>
      </c>
      <c r="AB114" s="1" t="s">
        <v>1285</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476</v>
      </c>
      <c r="AP114" s="1" t="s">
        <v>477</v>
      </c>
      <c r="AQ114" s="1" t="s">
        <v>74</v>
      </c>
      <c r="AR114" s="1" t="s">
        <v>74</v>
      </c>
      <c r="AS114" s="1" t="s">
        <v>74</v>
      </c>
      <c r="AT114" s="1" t="s">
        <v>1286</v>
      </c>
      <c r="AU114" s="1">
        <v>2018.0</v>
      </c>
      <c r="AV114" s="1">
        <v>97.0</v>
      </c>
      <c r="AW114" s="1">
        <v>4.0</v>
      </c>
      <c r="AX114" s="1" t="s">
        <v>74</v>
      </c>
      <c r="AY114" s="1" t="s">
        <v>74</v>
      </c>
      <c r="AZ114" s="1" t="s">
        <v>74</v>
      </c>
      <c r="BA114" s="1" t="s">
        <v>74</v>
      </c>
      <c r="BB114" s="1" t="s">
        <v>74</v>
      </c>
      <c r="BC114" s="1" t="s">
        <v>74</v>
      </c>
      <c r="BD114" s="1">
        <v>42601.0</v>
      </c>
      <c r="BE114" s="1" t="s">
        <v>1287</v>
      </c>
      <c r="BF114" s="2" t="str">
        <f>HYPERLINK("http://dx.doi.org/10.1103/PhysRevE.97.042601","http://dx.doi.org/10.1103/PhysRevE.97.042601")</f>
        <v>http://dx.doi.org/10.1103/PhysRevE.97.042601</v>
      </c>
      <c r="BG114" s="1" t="s">
        <v>74</v>
      </c>
      <c r="BH114" s="1" t="s">
        <v>74</v>
      </c>
      <c r="BI114" s="1" t="s">
        <v>74</v>
      </c>
      <c r="BJ114" s="1" t="s">
        <v>74</v>
      </c>
      <c r="BK114" s="1" t="s">
        <v>74</v>
      </c>
      <c r="BL114" s="1" t="s">
        <v>74</v>
      </c>
      <c r="BM114" s="1" t="s">
        <v>74</v>
      </c>
      <c r="BN114" s="1">
        <v>2.9758637E7</v>
      </c>
      <c r="BO114" s="1" t="s">
        <v>74</v>
      </c>
      <c r="BP114" s="1" t="s">
        <v>74</v>
      </c>
      <c r="BQ114" s="1" t="s">
        <v>74</v>
      </c>
      <c r="BR114" s="1" t="s">
        <v>74</v>
      </c>
      <c r="BS114" s="1" t="s">
        <v>1288</v>
      </c>
      <c r="BT114" s="1" t="str">
        <f>HYPERLINK("https%3A%2F%2Fwww.webofscience.com%2Fwos%2Fwoscc%2Ffull-record%2FWOS:000429117200007","View Full Record in Web of Science")</f>
        <v>View Full Record in Web of Science</v>
      </c>
    </row>
    <row r="115" ht="12.75" customHeight="1">
      <c r="A115" s="1" t="s">
        <v>154</v>
      </c>
      <c r="B115" s="1" t="s">
        <v>1289</v>
      </c>
      <c r="C115" s="1" t="s">
        <v>74</v>
      </c>
      <c r="D115" s="1" t="s">
        <v>1290</v>
      </c>
      <c r="E115" s="1" t="s">
        <v>74</v>
      </c>
      <c r="F115" s="1" t="s">
        <v>1291</v>
      </c>
      <c r="G115" s="1" t="s">
        <v>74</v>
      </c>
      <c r="H115" s="1" t="s">
        <v>74</v>
      </c>
      <c r="I115" s="1" t="s">
        <v>1292</v>
      </c>
      <c r="J115" s="1" t="s">
        <v>1293</v>
      </c>
      <c r="K115" s="1" t="s">
        <v>1294</v>
      </c>
      <c r="L115" s="1" t="s">
        <v>74</v>
      </c>
      <c r="M115" s="1" t="s">
        <v>74</v>
      </c>
      <c r="N115" s="1" t="s">
        <v>74</v>
      </c>
      <c r="O115" s="1" t="s">
        <v>1295</v>
      </c>
      <c r="P115" s="1" t="s">
        <v>1296</v>
      </c>
      <c r="Q115" s="1" t="s">
        <v>1297</v>
      </c>
      <c r="R115" s="1" t="s">
        <v>74</v>
      </c>
      <c r="S115" s="1" t="s">
        <v>74</v>
      </c>
      <c r="T115" s="1" t="s">
        <v>74</v>
      </c>
      <c r="U115" s="1" t="s">
        <v>74</v>
      </c>
      <c r="V115" s="1" t="s">
        <v>1298</v>
      </c>
      <c r="W115" s="1" t="s">
        <v>74</v>
      </c>
      <c r="X115" s="1" t="s">
        <v>74</v>
      </c>
      <c r="Y115" s="1" t="s">
        <v>74</v>
      </c>
      <c r="Z115" s="1" t="s">
        <v>74</v>
      </c>
      <c r="AA115" s="1" t="s">
        <v>74</v>
      </c>
      <c r="AB115" s="1" t="s">
        <v>1299</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1300</v>
      </c>
      <c r="AP115" s="1" t="s">
        <v>1301</v>
      </c>
      <c r="AQ115" s="1" t="s">
        <v>1302</v>
      </c>
      <c r="AR115" s="1" t="s">
        <v>74</v>
      </c>
      <c r="AS115" s="1" t="s">
        <v>74</v>
      </c>
      <c r="AT115" s="1" t="s">
        <v>74</v>
      </c>
      <c r="AU115" s="1">
        <v>2018.0</v>
      </c>
      <c r="AV115" s="1">
        <v>11184.0</v>
      </c>
      <c r="AW115" s="1" t="s">
        <v>74</v>
      </c>
      <c r="AX115" s="1" t="s">
        <v>74</v>
      </c>
      <c r="AY115" s="1" t="s">
        <v>74</v>
      </c>
      <c r="AZ115" s="1" t="s">
        <v>74</v>
      </c>
      <c r="BA115" s="1" t="s">
        <v>74</v>
      </c>
      <c r="BB115" s="1">
        <v>379.0</v>
      </c>
      <c r="BC115" s="1">
        <v>387.0</v>
      </c>
      <c r="BD115" s="1" t="s">
        <v>74</v>
      </c>
      <c r="BE115" s="1" t="s">
        <v>1303</v>
      </c>
      <c r="BF115" s="2" t="str">
        <f>HYPERLINK("http://dx.doi.org/10.1007/978-3-030-00898-7_25","http://dx.doi.org/10.1007/978-3-030-00898-7_25")</f>
        <v>http://dx.doi.org/10.1007/978-3-030-00898-7_25</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1304</v>
      </c>
      <c r="BT115" s="1" t="str">
        <f>HYPERLINK("https%3A%2F%2Fwww.webofscience.com%2Fwos%2Fwoscc%2Ffull-record%2FWOS:000477928100025","View Full Record in Web of Science")</f>
        <v>View Full Record in Web of Science</v>
      </c>
    </row>
    <row r="116" ht="12.75" customHeight="1">
      <c r="A116" s="1" t="s">
        <v>154</v>
      </c>
      <c r="B116" s="1" t="s">
        <v>1305</v>
      </c>
      <c r="C116" s="1" t="s">
        <v>74</v>
      </c>
      <c r="D116" s="1" t="s">
        <v>1306</v>
      </c>
      <c r="E116" s="1" t="s">
        <v>74</v>
      </c>
      <c r="F116" s="1" t="s">
        <v>1307</v>
      </c>
      <c r="G116" s="1" t="s">
        <v>74</v>
      </c>
      <c r="H116" s="1" t="s">
        <v>74</v>
      </c>
      <c r="I116" s="1" t="s">
        <v>1308</v>
      </c>
      <c r="J116" s="1" t="s">
        <v>1309</v>
      </c>
      <c r="K116" s="1" t="s">
        <v>74</v>
      </c>
      <c r="L116" s="1" t="s">
        <v>74</v>
      </c>
      <c r="M116" s="1" t="s">
        <v>74</v>
      </c>
      <c r="N116" s="1" t="s">
        <v>74</v>
      </c>
      <c r="O116" s="1" t="s">
        <v>1310</v>
      </c>
      <c r="P116" s="1" t="s">
        <v>1311</v>
      </c>
      <c r="Q116" s="1" t="s">
        <v>1312</v>
      </c>
      <c r="R116" s="1" t="s">
        <v>1313</v>
      </c>
      <c r="S116" s="1" t="s">
        <v>74</v>
      </c>
      <c r="T116" s="1" t="s">
        <v>74</v>
      </c>
      <c r="U116" s="1" t="s">
        <v>74</v>
      </c>
      <c r="V116" s="1" t="s">
        <v>1314</v>
      </c>
      <c r="W116" s="1" t="s">
        <v>74</v>
      </c>
      <c r="X116" s="1" t="s">
        <v>74</v>
      </c>
      <c r="Y116" s="1" t="s">
        <v>74</v>
      </c>
      <c r="Z116" s="1" t="s">
        <v>74</v>
      </c>
      <c r="AA116" s="1" t="s">
        <v>1315</v>
      </c>
      <c r="AB116" s="1" t="s">
        <v>1316</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74</v>
      </c>
      <c r="AP116" s="1" t="s">
        <v>74</v>
      </c>
      <c r="AQ116" s="1" t="s">
        <v>1317</v>
      </c>
      <c r="AR116" s="1" t="s">
        <v>74</v>
      </c>
      <c r="AS116" s="1" t="s">
        <v>74</v>
      </c>
      <c r="AT116" s="1" t="s">
        <v>74</v>
      </c>
      <c r="AU116" s="1">
        <v>2018.0</v>
      </c>
      <c r="AV116" s="1" t="s">
        <v>74</v>
      </c>
      <c r="AW116" s="1" t="s">
        <v>74</v>
      </c>
      <c r="AX116" s="1" t="s">
        <v>74</v>
      </c>
      <c r="AY116" s="1" t="s">
        <v>74</v>
      </c>
      <c r="AZ116" s="1" t="s">
        <v>74</v>
      </c>
      <c r="BA116" s="1" t="s">
        <v>74</v>
      </c>
      <c r="BB116" s="1">
        <v>203.0</v>
      </c>
      <c r="BC116" s="1">
        <v>209.0</v>
      </c>
      <c r="BD116" s="1" t="s">
        <v>74</v>
      </c>
      <c r="BE116" s="1" t="s">
        <v>74</v>
      </c>
      <c r="BF116" s="1" t="s">
        <v>74</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1318</v>
      </c>
      <c r="BT116" s="1" t="str">
        <f>HYPERLINK("https%3A%2F%2Fwww.webofscience.com%2Fwos%2Fwoscc%2Ffull-record%2FWOS:000437157500030","View Full Record in Web of Science")</f>
        <v>View Full Record in Web of Science</v>
      </c>
    </row>
    <row r="117" ht="12.75" customHeight="1">
      <c r="A117" s="1" t="s">
        <v>72</v>
      </c>
      <c r="B117" s="1" t="s">
        <v>1319</v>
      </c>
      <c r="C117" s="1" t="s">
        <v>74</v>
      </c>
      <c r="D117" s="1" t="s">
        <v>74</v>
      </c>
      <c r="E117" s="1" t="s">
        <v>74</v>
      </c>
      <c r="F117" s="1" t="s">
        <v>1320</v>
      </c>
      <c r="G117" s="1" t="s">
        <v>74</v>
      </c>
      <c r="H117" s="1" t="s">
        <v>74</v>
      </c>
      <c r="I117" s="1" t="s">
        <v>1321</v>
      </c>
      <c r="J117" s="1" t="s">
        <v>1322</v>
      </c>
      <c r="K117" s="1" t="s">
        <v>74</v>
      </c>
      <c r="L117" s="1" t="s">
        <v>74</v>
      </c>
      <c r="M117" s="1" t="s">
        <v>74</v>
      </c>
      <c r="N117" s="1" t="s">
        <v>74</v>
      </c>
      <c r="O117" s="1" t="s">
        <v>74</v>
      </c>
      <c r="P117" s="1" t="s">
        <v>74</v>
      </c>
      <c r="Q117" s="1" t="s">
        <v>74</v>
      </c>
      <c r="R117" s="1" t="s">
        <v>74</v>
      </c>
      <c r="S117" s="1" t="s">
        <v>74</v>
      </c>
      <c r="T117" s="1" t="s">
        <v>74</v>
      </c>
      <c r="U117" s="1" t="s">
        <v>74</v>
      </c>
      <c r="V117" s="1" t="s">
        <v>1323</v>
      </c>
      <c r="W117" s="1" t="s">
        <v>74</v>
      </c>
      <c r="X117" s="1" t="s">
        <v>74</v>
      </c>
      <c r="Y117" s="1" t="s">
        <v>74</v>
      </c>
      <c r="Z117" s="1" t="s">
        <v>74</v>
      </c>
      <c r="AA117" s="1" t="s">
        <v>1324</v>
      </c>
      <c r="AB117" s="1" t="s">
        <v>1325</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1326</v>
      </c>
      <c r="AP117" s="1" t="s">
        <v>1327</v>
      </c>
      <c r="AQ117" s="1" t="s">
        <v>74</v>
      </c>
      <c r="AR117" s="1" t="s">
        <v>74</v>
      </c>
      <c r="AS117" s="1" t="s">
        <v>74</v>
      </c>
      <c r="AT117" s="1" t="s">
        <v>210</v>
      </c>
      <c r="AU117" s="1">
        <v>2017.0</v>
      </c>
      <c r="AV117" s="1">
        <v>405.0</v>
      </c>
      <c r="AW117" s="1" t="s">
        <v>74</v>
      </c>
      <c r="AX117" s="1" t="s">
        <v>74</v>
      </c>
      <c r="AY117" s="1" t="s">
        <v>74</v>
      </c>
      <c r="AZ117" s="1" t="s">
        <v>74</v>
      </c>
      <c r="BA117" s="1" t="s">
        <v>74</v>
      </c>
      <c r="BB117" s="1">
        <v>246.0</v>
      </c>
      <c r="BC117" s="1">
        <v>256.0</v>
      </c>
      <c r="BD117" s="1" t="s">
        <v>74</v>
      </c>
      <c r="BE117" s="1" t="s">
        <v>1328</v>
      </c>
      <c r="BF117" s="2" t="str">
        <f>HYPERLINK("http://dx.doi.org/10.1016/j.foreco.2017.09.026","http://dx.doi.org/10.1016/j.foreco.2017.09.026")</f>
        <v>http://dx.doi.org/10.1016/j.foreco.2017.09.026</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1329</v>
      </c>
      <c r="BT117" s="1" t="str">
        <f>HYPERLINK("https%3A%2F%2Fwww.webofscience.com%2Fwos%2Fwoscc%2Ffull-record%2FWOS:000413878500023","View Full Record in Web of Science")</f>
        <v>View Full Record in Web of Science</v>
      </c>
    </row>
    <row r="118" ht="12.75" customHeight="1">
      <c r="A118" s="1" t="s">
        <v>72</v>
      </c>
      <c r="B118" s="1" t="s">
        <v>1330</v>
      </c>
      <c r="C118" s="1" t="s">
        <v>74</v>
      </c>
      <c r="D118" s="1" t="s">
        <v>74</v>
      </c>
      <c r="E118" s="1" t="s">
        <v>74</v>
      </c>
      <c r="F118" s="1" t="s">
        <v>1331</v>
      </c>
      <c r="G118" s="1" t="s">
        <v>74</v>
      </c>
      <c r="H118" s="1" t="s">
        <v>74</v>
      </c>
      <c r="I118" s="1" t="s">
        <v>1332</v>
      </c>
      <c r="J118" s="1" t="s">
        <v>1333</v>
      </c>
      <c r="K118" s="1" t="s">
        <v>74</v>
      </c>
      <c r="L118" s="1" t="s">
        <v>74</v>
      </c>
      <c r="M118" s="1" t="s">
        <v>74</v>
      </c>
      <c r="N118" s="1" t="s">
        <v>74</v>
      </c>
      <c r="O118" s="1" t="s">
        <v>74</v>
      </c>
      <c r="P118" s="1" t="s">
        <v>74</v>
      </c>
      <c r="Q118" s="1" t="s">
        <v>74</v>
      </c>
      <c r="R118" s="1" t="s">
        <v>74</v>
      </c>
      <c r="S118" s="1" t="s">
        <v>74</v>
      </c>
      <c r="T118" s="1" t="s">
        <v>74</v>
      </c>
      <c r="U118" s="1" t="s">
        <v>74</v>
      </c>
      <c r="V118" s="1" t="s">
        <v>1334</v>
      </c>
      <c r="W118" s="1" t="s">
        <v>74</v>
      </c>
      <c r="X118" s="1" t="s">
        <v>74</v>
      </c>
      <c r="Y118" s="1" t="s">
        <v>74</v>
      </c>
      <c r="Z118" s="1" t="s">
        <v>74</v>
      </c>
      <c r="AA118" s="1" t="s">
        <v>1335</v>
      </c>
      <c r="AB118" s="1" t="s">
        <v>1336</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1337</v>
      </c>
      <c r="AP118" s="1" t="s">
        <v>74</v>
      </c>
      <c r="AQ118" s="1" t="s">
        <v>74</v>
      </c>
      <c r="AR118" s="1" t="s">
        <v>74</v>
      </c>
      <c r="AS118" s="1" t="s">
        <v>74</v>
      </c>
      <c r="AT118" s="1" t="s">
        <v>83</v>
      </c>
      <c r="AU118" s="1">
        <v>2017.0</v>
      </c>
      <c r="AV118" s="1">
        <v>12.0</v>
      </c>
      <c r="AW118" s="1">
        <v>2.0</v>
      </c>
      <c r="AX118" s="1" t="s">
        <v>74</v>
      </c>
      <c r="AY118" s="1" t="s">
        <v>74</v>
      </c>
      <c r="AZ118" s="1" t="s">
        <v>74</v>
      </c>
      <c r="BA118" s="1" t="s">
        <v>74</v>
      </c>
      <c r="BB118" s="1" t="s">
        <v>74</v>
      </c>
      <c r="BC118" s="1" t="s">
        <v>74</v>
      </c>
      <c r="BD118" s="1">
        <v>15.0</v>
      </c>
      <c r="BE118" s="1" t="s">
        <v>1338</v>
      </c>
      <c r="BF118" s="2" t="str">
        <f>HYPERLINK("http://dx.doi.org/10.5751/ACE-01106-120215","http://dx.doi.org/10.5751/ACE-01106-120215")</f>
        <v>http://dx.doi.org/10.5751/ACE-01106-120215</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1339</v>
      </c>
      <c r="BT118" s="1" t="str">
        <f>HYPERLINK("https%3A%2F%2Fwww.webofscience.com%2Fwos%2Fwoscc%2Ffull-record%2FWOS:000419347000018","View Full Record in Web of Science")</f>
        <v>View Full Record in Web of Science</v>
      </c>
    </row>
    <row r="119" ht="12.75" customHeight="1">
      <c r="A119" s="1" t="s">
        <v>72</v>
      </c>
      <c r="B119" s="1" t="s">
        <v>1340</v>
      </c>
      <c r="C119" s="1" t="s">
        <v>74</v>
      </c>
      <c r="D119" s="1" t="s">
        <v>74</v>
      </c>
      <c r="E119" s="1" t="s">
        <v>74</v>
      </c>
      <c r="F119" s="1" t="s">
        <v>1341</v>
      </c>
      <c r="G119" s="1" t="s">
        <v>74</v>
      </c>
      <c r="H119" s="1" t="s">
        <v>74</v>
      </c>
      <c r="I119" s="1" t="s">
        <v>1342</v>
      </c>
      <c r="J119" s="1" t="s">
        <v>1343</v>
      </c>
      <c r="K119" s="1" t="s">
        <v>74</v>
      </c>
      <c r="L119" s="1" t="s">
        <v>74</v>
      </c>
      <c r="M119" s="1" t="s">
        <v>74</v>
      </c>
      <c r="N119" s="1" t="s">
        <v>74</v>
      </c>
      <c r="O119" s="1" t="s">
        <v>74</v>
      </c>
      <c r="P119" s="1" t="s">
        <v>74</v>
      </c>
      <c r="Q119" s="1" t="s">
        <v>74</v>
      </c>
      <c r="R119" s="1" t="s">
        <v>74</v>
      </c>
      <c r="S119" s="1" t="s">
        <v>74</v>
      </c>
      <c r="T119" s="1" t="s">
        <v>74</v>
      </c>
      <c r="U119" s="1" t="s">
        <v>74</v>
      </c>
      <c r="V119" s="1" t="s">
        <v>1344</v>
      </c>
      <c r="W119" s="1" t="s">
        <v>74</v>
      </c>
      <c r="X119" s="1" t="s">
        <v>74</v>
      </c>
      <c r="Y119" s="1" t="s">
        <v>74</v>
      </c>
      <c r="Z119" s="1" t="s">
        <v>74</v>
      </c>
      <c r="AA119" s="1" t="s">
        <v>1345</v>
      </c>
      <c r="AB119" s="1" t="s">
        <v>1346</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1347</v>
      </c>
      <c r="AP119" s="1" t="s">
        <v>1348</v>
      </c>
      <c r="AQ119" s="1" t="s">
        <v>74</v>
      </c>
      <c r="AR119" s="1" t="s">
        <v>74</v>
      </c>
      <c r="AS119" s="1" t="s">
        <v>74</v>
      </c>
      <c r="AT119" s="1" t="s">
        <v>1349</v>
      </c>
      <c r="AU119" s="1">
        <v>2017.0</v>
      </c>
      <c r="AV119" s="1">
        <v>29.0</v>
      </c>
      <c r="AW119" s="1">
        <v>17.0</v>
      </c>
      <c r="AX119" s="1" t="s">
        <v>74</v>
      </c>
      <c r="AY119" s="1" t="s">
        <v>74</v>
      </c>
      <c r="AZ119" s="1" t="s">
        <v>1350</v>
      </c>
      <c r="BA119" s="1" t="s">
        <v>74</v>
      </c>
      <c r="BB119" s="1" t="s">
        <v>74</v>
      </c>
      <c r="BC119" s="1" t="s">
        <v>74</v>
      </c>
      <c r="BD119" s="1" t="s">
        <v>1351</v>
      </c>
      <c r="BE119" s="1" t="s">
        <v>1352</v>
      </c>
      <c r="BF119" s="2" t="str">
        <f>HYPERLINK("http://dx.doi.org/10.1002/cpe.4062","http://dx.doi.org/10.1002/cpe.4062")</f>
        <v>http://dx.doi.org/10.1002/cpe.4062</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1353</v>
      </c>
      <c r="BT119" s="1" t="str">
        <f>HYPERLINK("https%3A%2F%2Fwww.webofscience.com%2Fwos%2Fwoscc%2Ffull-record%2FWOS:000407650600007","View Full Record in Web of Science")</f>
        <v>View Full Record in Web of Science</v>
      </c>
    </row>
    <row r="120" ht="12.75" customHeight="1">
      <c r="A120" s="1" t="s">
        <v>72</v>
      </c>
      <c r="B120" s="1" t="s">
        <v>1354</v>
      </c>
      <c r="C120" s="1" t="s">
        <v>74</v>
      </c>
      <c r="D120" s="1" t="s">
        <v>74</v>
      </c>
      <c r="E120" s="1" t="s">
        <v>74</v>
      </c>
      <c r="F120" s="1" t="s">
        <v>1355</v>
      </c>
      <c r="G120" s="1" t="s">
        <v>74</v>
      </c>
      <c r="H120" s="1" t="s">
        <v>74</v>
      </c>
      <c r="I120" s="1" t="s">
        <v>1356</v>
      </c>
      <c r="J120" s="1" t="s">
        <v>1357</v>
      </c>
      <c r="K120" s="1" t="s">
        <v>74</v>
      </c>
      <c r="L120" s="1" t="s">
        <v>74</v>
      </c>
      <c r="M120" s="1" t="s">
        <v>74</v>
      </c>
      <c r="N120" s="1" t="s">
        <v>74</v>
      </c>
      <c r="O120" s="1" t="s">
        <v>74</v>
      </c>
      <c r="P120" s="1" t="s">
        <v>74</v>
      </c>
      <c r="Q120" s="1" t="s">
        <v>74</v>
      </c>
      <c r="R120" s="1" t="s">
        <v>74</v>
      </c>
      <c r="S120" s="1" t="s">
        <v>74</v>
      </c>
      <c r="T120" s="1" t="s">
        <v>74</v>
      </c>
      <c r="U120" s="1" t="s">
        <v>74</v>
      </c>
      <c r="V120" s="1" t="s">
        <v>1358</v>
      </c>
      <c r="W120" s="1" t="s">
        <v>74</v>
      </c>
      <c r="X120" s="1" t="s">
        <v>74</v>
      </c>
      <c r="Y120" s="1" t="s">
        <v>74</v>
      </c>
      <c r="Z120" s="1" t="s">
        <v>74</v>
      </c>
      <c r="AA120" s="1" t="s">
        <v>1359</v>
      </c>
      <c r="AB120" s="1" t="s">
        <v>1360</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1361</v>
      </c>
      <c r="AP120" s="1" t="s">
        <v>1362</v>
      </c>
      <c r="AQ120" s="1" t="s">
        <v>74</v>
      </c>
      <c r="AR120" s="1" t="s">
        <v>74</v>
      </c>
      <c r="AS120" s="1" t="s">
        <v>74</v>
      </c>
      <c r="AT120" s="1" t="s">
        <v>1363</v>
      </c>
      <c r="AU120" s="1">
        <v>2017.0</v>
      </c>
      <c r="AV120" s="1">
        <v>32.0</v>
      </c>
      <c r="AW120" s="1">
        <v>5.0</v>
      </c>
      <c r="AX120" s="1" t="s">
        <v>74</v>
      </c>
      <c r="AY120" s="1" t="s">
        <v>74</v>
      </c>
      <c r="AZ120" s="1" t="s">
        <v>74</v>
      </c>
      <c r="BA120" s="1" t="s">
        <v>74</v>
      </c>
      <c r="BB120" s="1" t="s">
        <v>74</v>
      </c>
      <c r="BC120" s="1" t="s">
        <v>74</v>
      </c>
      <c r="BD120" s="1">
        <v>1750032.0</v>
      </c>
      <c r="BE120" s="1" t="s">
        <v>1364</v>
      </c>
      <c r="BF120" s="2" t="str">
        <f>HYPERLINK("http://dx.doi.org/10.1142/S0217732317500328","http://dx.doi.org/10.1142/S0217732317500328")</f>
        <v>http://dx.doi.org/10.1142/S0217732317500328</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1365</v>
      </c>
      <c r="BT120" s="1" t="str">
        <f>HYPERLINK("https%3A%2F%2Fwww.webofscience.com%2Fwos%2Fwoscc%2Ffull-record%2FWOS:000441355200003","View Full Record in Web of Science")</f>
        <v>View Full Record in Web of Science</v>
      </c>
    </row>
    <row r="121" ht="12.75" customHeight="1">
      <c r="A121" s="1" t="s">
        <v>72</v>
      </c>
      <c r="B121" s="1" t="s">
        <v>1366</v>
      </c>
      <c r="C121" s="1" t="s">
        <v>74</v>
      </c>
      <c r="D121" s="1" t="s">
        <v>74</v>
      </c>
      <c r="E121" s="1" t="s">
        <v>74</v>
      </c>
      <c r="F121" s="1" t="s">
        <v>1367</v>
      </c>
      <c r="G121" s="1" t="s">
        <v>74</v>
      </c>
      <c r="H121" s="1" t="s">
        <v>74</v>
      </c>
      <c r="I121" s="1" t="s">
        <v>1368</v>
      </c>
      <c r="J121" s="1" t="s">
        <v>1369</v>
      </c>
      <c r="K121" s="1" t="s">
        <v>74</v>
      </c>
      <c r="L121" s="1" t="s">
        <v>74</v>
      </c>
      <c r="M121" s="1" t="s">
        <v>74</v>
      </c>
      <c r="N121" s="1" t="s">
        <v>74</v>
      </c>
      <c r="O121" s="1" t="s">
        <v>74</v>
      </c>
      <c r="P121" s="1" t="s">
        <v>74</v>
      </c>
      <c r="Q121" s="1" t="s">
        <v>74</v>
      </c>
      <c r="R121" s="1" t="s">
        <v>74</v>
      </c>
      <c r="S121" s="1" t="s">
        <v>74</v>
      </c>
      <c r="T121" s="1" t="s">
        <v>74</v>
      </c>
      <c r="U121" s="1" t="s">
        <v>74</v>
      </c>
      <c r="V121" s="1" t="s">
        <v>1370</v>
      </c>
      <c r="W121" s="1" t="s">
        <v>74</v>
      </c>
      <c r="X121" s="1" t="s">
        <v>74</v>
      </c>
      <c r="Y121" s="1" t="s">
        <v>74</v>
      </c>
      <c r="Z121" s="1" t="s">
        <v>74</v>
      </c>
      <c r="AA121" s="1" t="s">
        <v>1371</v>
      </c>
      <c r="AB121" s="1" t="s">
        <v>1372</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74</v>
      </c>
      <c r="AP121" s="1" t="s">
        <v>1373</v>
      </c>
      <c r="AQ121" s="1" t="s">
        <v>74</v>
      </c>
      <c r="AR121" s="1" t="s">
        <v>74</v>
      </c>
      <c r="AS121" s="1" t="s">
        <v>74</v>
      </c>
      <c r="AT121" s="1" t="s">
        <v>1374</v>
      </c>
      <c r="AU121" s="1">
        <v>2017.0</v>
      </c>
      <c r="AV121" s="1">
        <v>8.0</v>
      </c>
      <c r="AW121" s="1">
        <v>6.0</v>
      </c>
      <c r="AX121" s="1" t="s">
        <v>74</v>
      </c>
      <c r="AY121" s="1" t="s">
        <v>74</v>
      </c>
      <c r="AZ121" s="1" t="s">
        <v>74</v>
      </c>
      <c r="BA121" s="1" t="s">
        <v>74</v>
      </c>
      <c r="BB121" s="1">
        <v>9767.0</v>
      </c>
      <c r="BC121" s="1">
        <v>9782.0</v>
      </c>
      <c r="BD121" s="1" t="s">
        <v>74</v>
      </c>
      <c r="BE121" s="1" t="s">
        <v>1375</v>
      </c>
      <c r="BF121" s="2" t="str">
        <f>HYPERLINK("http://dx.doi.org/10.18632/oncotarget.14213","http://dx.doi.org/10.18632/oncotarget.14213")</f>
        <v>http://dx.doi.org/10.18632/oncotarget.14213</v>
      </c>
      <c r="BG121" s="1" t="s">
        <v>74</v>
      </c>
      <c r="BH121" s="1" t="s">
        <v>74</v>
      </c>
      <c r="BI121" s="1" t="s">
        <v>74</v>
      </c>
      <c r="BJ121" s="1" t="s">
        <v>74</v>
      </c>
      <c r="BK121" s="1" t="s">
        <v>74</v>
      </c>
      <c r="BL121" s="1" t="s">
        <v>74</v>
      </c>
      <c r="BM121" s="1" t="s">
        <v>74</v>
      </c>
      <c r="BN121" s="1">
        <v>2.8038459E7</v>
      </c>
      <c r="BO121" s="1" t="s">
        <v>74</v>
      </c>
      <c r="BP121" s="1" t="s">
        <v>74</v>
      </c>
      <c r="BQ121" s="1" t="s">
        <v>74</v>
      </c>
      <c r="BR121" s="1" t="s">
        <v>74</v>
      </c>
      <c r="BS121" s="1" t="s">
        <v>1376</v>
      </c>
      <c r="BT121" s="1" t="str">
        <f>HYPERLINK("https%3A%2F%2Fwww.webofscience.com%2Fwos%2Fwoscc%2Ffull-record%2FWOS:000394181800071","View Full Record in Web of Science")</f>
        <v>View Full Record in Web of Science</v>
      </c>
    </row>
    <row r="122" ht="12.75" customHeight="1">
      <c r="A122" s="1" t="s">
        <v>72</v>
      </c>
      <c r="B122" s="1" t="s">
        <v>1377</v>
      </c>
      <c r="C122" s="1" t="s">
        <v>74</v>
      </c>
      <c r="D122" s="1" t="s">
        <v>74</v>
      </c>
      <c r="E122" s="1" t="s">
        <v>74</v>
      </c>
      <c r="F122" s="1" t="s">
        <v>1378</v>
      </c>
      <c r="G122" s="1" t="s">
        <v>74</v>
      </c>
      <c r="H122" s="1" t="s">
        <v>74</v>
      </c>
      <c r="I122" s="1" t="s">
        <v>1379</v>
      </c>
      <c r="J122" s="1" t="s">
        <v>1380</v>
      </c>
      <c r="K122" s="1" t="s">
        <v>74</v>
      </c>
      <c r="L122" s="1" t="s">
        <v>74</v>
      </c>
      <c r="M122" s="1" t="s">
        <v>74</v>
      </c>
      <c r="N122" s="1" t="s">
        <v>74</v>
      </c>
      <c r="O122" s="1" t="s">
        <v>74</v>
      </c>
      <c r="P122" s="1" t="s">
        <v>74</v>
      </c>
      <c r="Q122" s="1" t="s">
        <v>74</v>
      </c>
      <c r="R122" s="1" t="s">
        <v>74</v>
      </c>
      <c r="S122" s="1" t="s">
        <v>74</v>
      </c>
      <c r="T122" s="1" t="s">
        <v>74</v>
      </c>
      <c r="U122" s="1" t="s">
        <v>74</v>
      </c>
      <c r="V122" s="1" t="s">
        <v>1381</v>
      </c>
      <c r="W122" s="1" t="s">
        <v>74</v>
      </c>
      <c r="X122" s="1" t="s">
        <v>74</v>
      </c>
      <c r="Y122" s="1" t="s">
        <v>74</v>
      </c>
      <c r="Z122" s="1" t="s">
        <v>74</v>
      </c>
      <c r="AA122" s="1" t="s">
        <v>1382</v>
      </c>
      <c r="AB122" s="1" t="s">
        <v>1383</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1384</v>
      </c>
      <c r="AP122" s="1" t="s">
        <v>74</v>
      </c>
      <c r="AQ122" s="1" t="s">
        <v>74</v>
      </c>
      <c r="AR122" s="1" t="s">
        <v>74</v>
      </c>
      <c r="AS122" s="1" t="s">
        <v>74</v>
      </c>
      <c r="AT122" s="1" t="s">
        <v>74</v>
      </c>
      <c r="AU122" s="1">
        <v>2017.0</v>
      </c>
      <c r="AV122" s="1">
        <v>8.0</v>
      </c>
      <c r="AW122" s="1" t="s">
        <v>74</v>
      </c>
      <c r="AX122" s="1" t="s">
        <v>74</v>
      </c>
      <c r="AY122" s="1" t="s">
        <v>74</v>
      </c>
      <c r="AZ122" s="1" t="s">
        <v>74</v>
      </c>
      <c r="BA122" s="1" t="s">
        <v>74</v>
      </c>
      <c r="BB122" s="1" t="s">
        <v>74</v>
      </c>
      <c r="BC122" s="1" t="s">
        <v>74</v>
      </c>
      <c r="BD122" s="1">
        <v>4104505.0</v>
      </c>
      <c r="BE122" s="1" t="s">
        <v>1385</v>
      </c>
      <c r="BF122" s="2" t="str">
        <f>HYPERLINK("http://dx.doi.org/10.1109/LMAG.2017.2664038","http://dx.doi.org/10.1109/LMAG.2017.2664038")</f>
        <v>http://dx.doi.org/10.1109/LMAG.2017.2664038</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1386</v>
      </c>
      <c r="BT122" s="1" t="str">
        <f>HYPERLINK("https%3A%2F%2Fwww.webofscience.com%2Fwos%2Fwoscc%2Ffull-record%2FWOS:000398703200001","View Full Record in Web of Science")</f>
        <v>View Full Record in Web of Science</v>
      </c>
    </row>
    <row r="123" ht="12.75" customHeight="1">
      <c r="A123" s="1" t="s">
        <v>72</v>
      </c>
      <c r="B123" s="1" t="s">
        <v>1387</v>
      </c>
      <c r="C123" s="1" t="s">
        <v>74</v>
      </c>
      <c r="D123" s="1" t="s">
        <v>74</v>
      </c>
      <c r="E123" s="1" t="s">
        <v>74</v>
      </c>
      <c r="F123" s="1" t="s">
        <v>1388</v>
      </c>
      <c r="G123" s="1" t="s">
        <v>74</v>
      </c>
      <c r="H123" s="1" t="s">
        <v>74</v>
      </c>
      <c r="I123" s="1" t="s">
        <v>1389</v>
      </c>
      <c r="J123" s="1" t="s">
        <v>1390</v>
      </c>
      <c r="K123" s="1" t="s">
        <v>74</v>
      </c>
      <c r="L123" s="1" t="s">
        <v>74</v>
      </c>
      <c r="M123" s="1" t="s">
        <v>74</v>
      </c>
      <c r="N123" s="1" t="s">
        <v>74</v>
      </c>
      <c r="O123" s="1" t="s">
        <v>74</v>
      </c>
      <c r="P123" s="1" t="s">
        <v>74</v>
      </c>
      <c r="Q123" s="1" t="s">
        <v>74</v>
      </c>
      <c r="R123" s="1" t="s">
        <v>74</v>
      </c>
      <c r="S123" s="1" t="s">
        <v>74</v>
      </c>
      <c r="T123" s="1" t="s">
        <v>74</v>
      </c>
      <c r="U123" s="1" t="s">
        <v>74</v>
      </c>
      <c r="V123" s="1" t="s">
        <v>74</v>
      </c>
      <c r="W123" s="1" t="s">
        <v>74</v>
      </c>
      <c r="X123" s="1" t="s">
        <v>74</v>
      </c>
      <c r="Y123" s="1" t="s">
        <v>74</v>
      </c>
      <c r="Z123" s="1" t="s">
        <v>74</v>
      </c>
      <c r="AA123" s="1" t="s">
        <v>74</v>
      </c>
      <c r="AB123" s="1" t="s">
        <v>1391</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1392</v>
      </c>
      <c r="AP123" s="1" t="s">
        <v>1393</v>
      </c>
      <c r="AQ123" s="1" t="s">
        <v>74</v>
      </c>
      <c r="AR123" s="1" t="s">
        <v>74</v>
      </c>
      <c r="AS123" s="1" t="s">
        <v>74</v>
      </c>
      <c r="AT123" s="1" t="s">
        <v>241</v>
      </c>
      <c r="AU123" s="1">
        <v>2016.0</v>
      </c>
      <c r="AV123" s="1">
        <v>138.0</v>
      </c>
      <c r="AW123" s="1">
        <v>9.0</v>
      </c>
      <c r="AX123" s="1" t="s">
        <v>74</v>
      </c>
      <c r="AY123" s="1" t="s">
        <v>74</v>
      </c>
      <c r="AZ123" s="1" t="s">
        <v>74</v>
      </c>
      <c r="BA123" s="1" t="s">
        <v>74</v>
      </c>
      <c r="BB123" s="1" t="s">
        <v>74</v>
      </c>
      <c r="BC123" s="1" t="s">
        <v>74</v>
      </c>
      <c r="BD123" s="1">
        <v>90301.0</v>
      </c>
      <c r="BE123" s="1" t="s">
        <v>1394</v>
      </c>
      <c r="BF123" s="2" t="str">
        <f>HYPERLINK("http://dx.doi.org/10.1115/1.4033324","http://dx.doi.org/10.1115/1.4033324")</f>
        <v>http://dx.doi.org/10.1115/1.4033324</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1395</v>
      </c>
      <c r="BT123" s="1" t="str">
        <f>HYPERLINK("https%3A%2F%2Fwww.webofscience.com%2Fwos%2Fwoscc%2Ffull-record%2FWOS:000383784700001","View Full Record in Web of Science")</f>
        <v>View Full Record in Web of Science</v>
      </c>
    </row>
    <row r="124" ht="12.75" customHeight="1">
      <c r="A124" s="1" t="s">
        <v>72</v>
      </c>
      <c r="B124" s="1" t="s">
        <v>1396</v>
      </c>
      <c r="C124" s="1" t="s">
        <v>74</v>
      </c>
      <c r="D124" s="1" t="s">
        <v>74</v>
      </c>
      <c r="E124" s="1" t="s">
        <v>74</v>
      </c>
      <c r="F124" s="1" t="s">
        <v>1397</v>
      </c>
      <c r="G124" s="1" t="s">
        <v>74</v>
      </c>
      <c r="H124" s="1" t="s">
        <v>74</v>
      </c>
      <c r="I124" s="1" t="s">
        <v>1398</v>
      </c>
      <c r="J124" s="1" t="s">
        <v>1399</v>
      </c>
      <c r="K124" s="1" t="s">
        <v>74</v>
      </c>
      <c r="L124" s="1" t="s">
        <v>74</v>
      </c>
      <c r="M124" s="1" t="s">
        <v>74</v>
      </c>
      <c r="N124" s="1" t="s">
        <v>74</v>
      </c>
      <c r="O124" s="1" t="s">
        <v>74</v>
      </c>
      <c r="P124" s="1" t="s">
        <v>74</v>
      </c>
      <c r="Q124" s="1" t="s">
        <v>74</v>
      </c>
      <c r="R124" s="1" t="s">
        <v>74</v>
      </c>
      <c r="S124" s="1" t="s">
        <v>74</v>
      </c>
      <c r="T124" s="1" t="s">
        <v>74</v>
      </c>
      <c r="U124" s="1" t="s">
        <v>74</v>
      </c>
      <c r="V124" s="1" t="s">
        <v>1400</v>
      </c>
      <c r="W124" s="1" t="s">
        <v>74</v>
      </c>
      <c r="X124" s="1" t="s">
        <v>74</v>
      </c>
      <c r="Y124" s="1" t="s">
        <v>74</v>
      </c>
      <c r="Z124" s="1" t="s">
        <v>74</v>
      </c>
      <c r="AA124" s="1" t="s">
        <v>1401</v>
      </c>
      <c r="AB124" s="1" t="s">
        <v>1402</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1403</v>
      </c>
      <c r="AP124" s="1" t="s">
        <v>74</v>
      </c>
      <c r="AQ124" s="1" t="s">
        <v>74</v>
      </c>
      <c r="AR124" s="1" t="s">
        <v>74</v>
      </c>
      <c r="AS124" s="1" t="s">
        <v>74</v>
      </c>
      <c r="AT124" s="1" t="s">
        <v>1404</v>
      </c>
      <c r="AU124" s="1">
        <v>2015.0</v>
      </c>
      <c r="AV124" s="1">
        <v>133.0</v>
      </c>
      <c r="AW124" s="1">
        <v>6.0</v>
      </c>
      <c r="AX124" s="1" t="s">
        <v>74</v>
      </c>
      <c r="AY124" s="1" t="s">
        <v>74</v>
      </c>
      <c r="AZ124" s="1" t="s">
        <v>74</v>
      </c>
      <c r="BA124" s="1" t="s">
        <v>74</v>
      </c>
      <c r="BB124" s="1">
        <v>480.0</v>
      </c>
      <c r="BC124" s="1">
        <v>487.0</v>
      </c>
      <c r="BD124" s="1" t="s">
        <v>74</v>
      </c>
      <c r="BE124" s="1" t="s">
        <v>1405</v>
      </c>
      <c r="BF124" s="2" t="str">
        <f>HYPERLINK("http://dx.doi.org/10.1590/1516-3180.2014.9142511","http://dx.doi.org/10.1590/1516-3180.2014.9142511")</f>
        <v>http://dx.doi.org/10.1590/1516-3180.2014.9142511</v>
      </c>
      <c r="BG124" s="1" t="s">
        <v>74</v>
      </c>
      <c r="BH124" s="1" t="s">
        <v>74</v>
      </c>
      <c r="BI124" s="1" t="s">
        <v>74</v>
      </c>
      <c r="BJ124" s="1" t="s">
        <v>74</v>
      </c>
      <c r="BK124" s="1" t="s">
        <v>74</v>
      </c>
      <c r="BL124" s="1" t="s">
        <v>74</v>
      </c>
      <c r="BM124" s="1" t="s">
        <v>74</v>
      </c>
      <c r="BN124" s="1">
        <v>2.6465817E7</v>
      </c>
      <c r="BO124" s="1" t="s">
        <v>74</v>
      </c>
      <c r="BP124" s="1" t="s">
        <v>74</v>
      </c>
      <c r="BQ124" s="1" t="s">
        <v>74</v>
      </c>
      <c r="BR124" s="1" t="s">
        <v>74</v>
      </c>
      <c r="BS124" s="1" t="s">
        <v>1406</v>
      </c>
      <c r="BT124" s="1" t="str">
        <f>HYPERLINK("https%3A%2F%2Fwww.webofscience.com%2Fwos%2Fwoscc%2Ffull-record%2FWOS:000368271900005","View Full Record in Web of Science")</f>
        <v>View Full Record in Web of Science</v>
      </c>
    </row>
    <row r="125" ht="12.75" customHeight="1">
      <c r="A125" s="1" t="s">
        <v>72</v>
      </c>
      <c r="B125" s="1" t="s">
        <v>1407</v>
      </c>
      <c r="C125" s="1" t="s">
        <v>74</v>
      </c>
      <c r="D125" s="1" t="s">
        <v>74</v>
      </c>
      <c r="E125" s="1" t="s">
        <v>74</v>
      </c>
      <c r="F125" s="1" t="s">
        <v>1408</v>
      </c>
      <c r="G125" s="1" t="s">
        <v>74</v>
      </c>
      <c r="H125" s="1" t="s">
        <v>74</v>
      </c>
      <c r="I125" s="1" t="s">
        <v>1409</v>
      </c>
      <c r="J125" s="1" t="s">
        <v>1410</v>
      </c>
      <c r="K125" s="1" t="s">
        <v>74</v>
      </c>
      <c r="L125" s="1" t="s">
        <v>74</v>
      </c>
      <c r="M125" s="1" t="s">
        <v>74</v>
      </c>
      <c r="N125" s="1" t="s">
        <v>74</v>
      </c>
      <c r="O125" s="1" t="s">
        <v>74</v>
      </c>
      <c r="P125" s="1" t="s">
        <v>74</v>
      </c>
      <c r="Q125" s="1" t="s">
        <v>74</v>
      </c>
      <c r="R125" s="1" t="s">
        <v>74</v>
      </c>
      <c r="S125" s="1" t="s">
        <v>74</v>
      </c>
      <c r="T125" s="1" t="s">
        <v>74</v>
      </c>
      <c r="U125" s="1" t="s">
        <v>74</v>
      </c>
      <c r="V125" s="1" t="s">
        <v>1411</v>
      </c>
      <c r="W125" s="1" t="s">
        <v>74</v>
      </c>
      <c r="X125" s="1" t="s">
        <v>74</v>
      </c>
      <c r="Y125" s="1" t="s">
        <v>74</v>
      </c>
      <c r="Z125" s="1" t="s">
        <v>74</v>
      </c>
      <c r="AA125" s="1" t="s">
        <v>897</v>
      </c>
      <c r="AB125" s="1" t="s">
        <v>1412</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1413</v>
      </c>
      <c r="AP125" s="1" t="s">
        <v>1414</v>
      </c>
      <c r="AQ125" s="1" t="s">
        <v>74</v>
      </c>
      <c r="AR125" s="1" t="s">
        <v>74</v>
      </c>
      <c r="AS125" s="1" t="s">
        <v>74</v>
      </c>
      <c r="AT125" s="1" t="s">
        <v>83</v>
      </c>
      <c r="AU125" s="1">
        <v>2014.0</v>
      </c>
      <c r="AV125" s="1">
        <v>41.0</v>
      </c>
      <c r="AW125" s="1" t="s">
        <v>74</v>
      </c>
      <c r="AX125" s="1" t="s">
        <v>74</v>
      </c>
      <c r="AY125" s="1" t="s">
        <v>74</v>
      </c>
      <c r="AZ125" s="1" t="s">
        <v>74</v>
      </c>
      <c r="BA125" s="1" t="s">
        <v>74</v>
      </c>
      <c r="BB125" s="1">
        <v>21.0</v>
      </c>
      <c r="BC125" s="1">
        <v>32.0</v>
      </c>
      <c r="BD125" s="1" t="s">
        <v>74</v>
      </c>
      <c r="BE125" s="1" t="s">
        <v>1415</v>
      </c>
      <c r="BF125" s="2" t="str">
        <f>HYPERLINK("http://dx.doi.org/10.1016/j.chb.2014.09.010","http://dx.doi.org/10.1016/j.chb.2014.09.010")</f>
        <v>http://dx.doi.org/10.1016/j.chb.2014.09.010</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1416</v>
      </c>
      <c r="BT125" s="1" t="str">
        <f>HYPERLINK("https%3A%2F%2Fwww.webofscience.com%2Fwos%2Fwoscc%2Ffull-record%2FWOS:000347755000004","View Full Record in Web of Science")</f>
        <v>View Full Record in Web of Science</v>
      </c>
    </row>
    <row r="126" ht="12.75" customHeight="1">
      <c r="A126" s="1" t="s">
        <v>72</v>
      </c>
      <c r="B126" s="1" t="s">
        <v>1417</v>
      </c>
      <c r="C126" s="1" t="s">
        <v>74</v>
      </c>
      <c r="D126" s="1" t="s">
        <v>74</v>
      </c>
      <c r="E126" s="1" t="s">
        <v>74</v>
      </c>
      <c r="F126" s="1" t="s">
        <v>1418</v>
      </c>
      <c r="G126" s="1" t="s">
        <v>74</v>
      </c>
      <c r="H126" s="1" t="s">
        <v>74</v>
      </c>
      <c r="I126" s="1" t="s">
        <v>1419</v>
      </c>
      <c r="J126" s="1" t="s">
        <v>1420</v>
      </c>
      <c r="K126" s="1" t="s">
        <v>74</v>
      </c>
      <c r="L126" s="1" t="s">
        <v>74</v>
      </c>
      <c r="M126" s="1" t="s">
        <v>74</v>
      </c>
      <c r="N126" s="1" t="s">
        <v>74</v>
      </c>
      <c r="O126" s="1" t="s">
        <v>74</v>
      </c>
      <c r="P126" s="1" t="s">
        <v>74</v>
      </c>
      <c r="Q126" s="1" t="s">
        <v>74</v>
      </c>
      <c r="R126" s="1" t="s">
        <v>74</v>
      </c>
      <c r="S126" s="1" t="s">
        <v>74</v>
      </c>
      <c r="T126" s="1" t="s">
        <v>74</v>
      </c>
      <c r="U126" s="1" t="s">
        <v>74</v>
      </c>
      <c r="V126" s="1" t="s">
        <v>1421</v>
      </c>
      <c r="W126" s="1" t="s">
        <v>74</v>
      </c>
      <c r="X126" s="1" t="s">
        <v>74</v>
      </c>
      <c r="Y126" s="1" t="s">
        <v>74</v>
      </c>
      <c r="Z126" s="1" t="s">
        <v>74</v>
      </c>
      <c r="AA126" s="1" t="s">
        <v>1422</v>
      </c>
      <c r="AB126" s="1" t="s">
        <v>1423</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1424</v>
      </c>
      <c r="AP126" s="1" t="s">
        <v>1425</v>
      </c>
      <c r="AQ126" s="1" t="s">
        <v>74</v>
      </c>
      <c r="AR126" s="1" t="s">
        <v>74</v>
      </c>
      <c r="AS126" s="1" t="s">
        <v>74</v>
      </c>
      <c r="AT126" s="1" t="s">
        <v>1426</v>
      </c>
      <c r="AU126" s="1">
        <v>2014.0</v>
      </c>
      <c r="AV126" s="1">
        <v>138.0</v>
      </c>
      <c r="AW126" s="1" t="s">
        <v>74</v>
      </c>
      <c r="AX126" s="1" t="s">
        <v>74</v>
      </c>
      <c r="AY126" s="1" t="s">
        <v>74</v>
      </c>
      <c r="AZ126" s="1" t="s">
        <v>74</v>
      </c>
      <c r="BA126" s="1" t="s">
        <v>74</v>
      </c>
      <c r="BB126" s="1">
        <v>139.0</v>
      </c>
      <c r="BC126" s="1">
        <v>151.0</v>
      </c>
      <c r="BD126" s="1" t="s">
        <v>74</v>
      </c>
      <c r="BE126" s="1" t="s">
        <v>1427</v>
      </c>
      <c r="BF126" s="2" t="str">
        <f>HYPERLINK("http://dx.doi.org/10.1016/j.atmosres.2013.11.006","http://dx.doi.org/10.1016/j.atmosres.2013.11.006")</f>
        <v>http://dx.doi.org/10.1016/j.atmosres.2013.11.006</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1428</v>
      </c>
      <c r="BT126" s="1" t="str">
        <f>HYPERLINK("https%3A%2F%2Fwww.webofscience.com%2Fwos%2Fwoscc%2Ffull-record%2FWOS:000333504300011","View Full Record in Web of Science")</f>
        <v>View Full Record in Web of Science</v>
      </c>
    </row>
    <row r="127" ht="12.75" customHeight="1">
      <c r="A127" s="1" t="s">
        <v>72</v>
      </c>
      <c r="B127" s="1" t="s">
        <v>1429</v>
      </c>
      <c r="C127" s="1" t="s">
        <v>74</v>
      </c>
      <c r="D127" s="1" t="s">
        <v>74</v>
      </c>
      <c r="E127" s="1" t="s">
        <v>74</v>
      </c>
      <c r="F127" s="1" t="s">
        <v>1430</v>
      </c>
      <c r="G127" s="1" t="s">
        <v>74</v>
      </c>
      <c r="H127" s="1" t="s">
        <v>74</v>
      </c>
      <c r="I127" s="1" t="s">
        <v>1431</v>
      </c>
      <c r="J127" s="1" t="s">
        <v>1432</v>
      </c>
      <c r="K127" s="1" t="s">
        <v>74</v>
      </c>
      <c r="L127" s="1" t="s">
        <v>74</v>
      </c>
      <c r="M127" s="1" t="s">
        <v>74</v>
      </c>
      <c r="N127" s="1" t="s">
        <v>74</v>
      </c>
      <c r="O127" s="1" t="s">
        <v>74</v>
      </c>
      <c r="P127" s="1" t="s">
        <v>74</v>
      </c>
      <c r="Q127" s="1" t="s">
        <v>74</v>
      </c>
      <c r="R127" s="1" t="s">
        <v>74</v>
      </c>
      <c r="S127" s="1" t="s">
        <v>74</v>
      </c>
      <c r="T127" s="1" t="s">
        <v>74</v>
      </c>
      <c r="U127" s="1" t="s">
        <v>74</v>
      </c>
      <c r="V127" s="1" t="s">
        <v>1433</v>
      </c>
      <c r="W127" s="1" t="s">
        <v>74</v>
      </c>
      <c r="X127" s="1" t="s">
        <v>74</v>
      </c>
      <c r="Y127" s="1" t="s">
        <v>74</v>
      </c>
      <c r="Z127" s="1" t="s">
        <v>74</v>
      </c>
      <c r="AA127" s="1" t="s">
        <v>1434</v>
      </c>
      <c r="AB127" s="1" t="s">
        <v>1435</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1436</v>
      </c>
      <c r="AP127" s="1" t="s">
        <v>1437</v>
      </c>
      <c r="AQ127" s="1" t="s">
        <v>74</v>
      </c>
      <c r="AR127" s="1" t="s">
        <v>74</v>
      </c>
      <c r="AS127" s="1" t="s">
        <v>74</v>
      </c>
      <c r="AT127" s="1" t="s">
        <v>822</v>
      </c>
      <c r="AU127" s="1">
        <v>2014.0</v>
      </c>
      <c r="AV127" s="1">
        <v>172.0</v>
      </c>
      <c r="AW127" s="1">
        <v>1.0</v>
      </c>
      <c r="AX127" s="1" t="s">
        <v>74</v>
      </c>
      <c r="AY127" s="1" t="s">
        <v>74</v>
      </c>
      <c r="AZ127" s="1" t="s">
        <v>74</v>
      </c>
      <c r="BA127" s="1" t="s">
        <v>74</v>
      </c>
      <c r="BB127" s="1">
        <v>524.0</v>
      </c>
      <c r="BC127" s="1">
        <v>532.0</v>
      </c>
      <c r="BD127" s="1" t="s">
        <v>74</v>
      </c>
      <c r="BE127" s="1" t="s">
        <v>1438</v>
      </c>
      <c r="BF127" s="2" t="str">
        <f>HYPERLINK("http://dx.doi.org/10.1007/s12010-013-0551-1","http://dx.doi.org/10.1007/s12010-013-0551-1")</f>
        <v>http://dx.doi.org/10.1007/s12010-013-0551-1</v>
      </c>
      <c r="BG127" s="1" t="s">
        <v>74</v>
      </c>
      <c r="BH127" s="1" t="s">
        <v>74</v>
      </c>
      <c r="BI127" s="1" t="s">
        <v>74</v>
      </c>
      <c r="BJ127" s="1" t="s">
        <v>74</v>
      </c>
      <c r="BK127" s="1" t="s">
        <v>74</v>
      </c>
      <c r="BL127" s="1" t="s">
        <v>74</v>
      </c>
      <c r="BM127" s="1" t="s">
        <v>74</v>
      </c>
      <c r="BN127" s="1">
        <v>2.4096527E7</v>
      </c>
      <c r="BO127" s="1" t="s">
        <v>74</v>
      </c>
      <c r="BP127" s="1" t="s">
        <v>74</v>
      </c>
      <c r="BQ127" s="1" t="s">
        <v>74</v>
      </c>
      <c r="BR127" s="1" t="s">
        <v>74</v>
      </c>
      <c r="BS127" s="1" t="s">
        <v>1439</v>
      </c>
      <c r="BT127" s="1" t="str">
        <f>HYPERLINK("https%3A%2F%2Fwww.webofscience.com%2Fwos%2Fwoscc%2Ffull-record%2FWOS:000331005200043","View Full Record in Web of Science")</f>
        <v>View Full Record in Web of Science</v>
      </c>
    </row>
    <row r="128" ht="12.75" customHeight="1">
      <c r="A128" s="1" t="s">
        <v>72</v>
      </c>
      <c r="B128" s="1" t="s">
        <v>1440</v>
      </c>
      <c r="C128" s="1" t="s">
        <v>74</v>
      </c>
      <c r="D128" s="1" t="s">
        <v>74</v>
      </c>
      <c r="E128" s="1" t="s">
        <v>74</v>
      </c>
      <c r="F128" s="1" t="s">
        <v>1441</v>
      </c>
      <c r="G128" s="1" t="s">
        <v>74</v>
      </c>
      <c r="H128" s="1" t="s">
        <v>74</v>
      </c>
      <c r="I128" s="1" t="s">
        <v>1442</v>
      </c>
      <c r="J128" s="1" t="s">
        <v>1443</v>
      </c>
      <c r="K128" s="1" t="s">
        <v>74</v>
      </c>
      <c r="L128" s="1" t="s">
        <v>74</v>
      </c>
      <c r="M128" s="1" t="s">
        <v>74</v>
      </c>
      <c r="N128" s="1" t="s">
        <v>74</v>
      </c>
      <c r="O128" s="1" t="s">
        <v>74</v>
      </c>
      <c r="P128" s="1" t="s">
        <v>74</v>
      </c>
      <c r="Q128" s="1" t="s">
        <v>74</v>
      </c>
      <c r="R128" s="1" t="s">
        <v>74</v>
      </c>
      <c r="S128" s="1" t="s">
        <v>74</v>
      </c>
      <c r="T128" s="1" t="s">
        <v>74</v>
      </c>
      <c r="U128" s="1" t="s">
        <v>74</v>
      </c>
      <c r="V128" s="1" t="s">
        <v>1444</v>
      </c>
      <c r="W128" s="1" t="s">
        <v>74</v>
      </c>
      <c r="X128" s="1" t="s">
        <v>74</v>
      </c>
      <c r="Y128" s="1" t="s">
        <v>74</v>
      </c>
      <c r="Z128" s="1" t="s">
        <v>74</v>
      </c>
      <c r="AA128" s="1" t="s">
        <v>1445</v>
      </c>
      <c r="AB128" s="1" t="s">
        <v>1446</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1447</v>
      </c>
      <c r="AP128" s="1" t="s">
        <v>1448</v>
      </c>
      <c r="AQ128" s="1" t="s">
        <v>74</v>
      </c>
      <c r="AR128" s="1" t="s">
        <v>74</v>
      </c>
      <c r="AS128" s="1" t="s">
        <v>74</v>
      </c>
      <c r="AT128" s="1" t="s">
        <v>74</v>
      </c>
      <c r="AU128" s="1">
        <v>2014.0</v>
      </c>
      <c r="AV128" s="1">
        <v>66.0</v>
      </c>
      <c r="AW128" s="1">
        <v>9.0</v>
      </c>
      <c r="AX128" s="1" t="s">
        <v>74</v>
      </c>
      <c r="AY128" s="1" t="s">
        <v>74</v>
      </c>
      <c r="AZ128" s="1" t="s">
        <v>74</v>
      </c>
      <c r="BA128" s="1" t="s">
        <v>74</v>
      </c>
      <c r="BB128" s="1">
        <v>990.0</v>
      </c>
      <c r="BC128" s="1">
        <v>1019.0</v>
      </c>
      <c r="BD128" s="1" t="s">
        <v>74</v>
      </c>
      <c r="BE128" s="1" t="s">
        <v>1449</v>
      </c>
      <c r="BF128" s="2" t="str">
        <f>HYPERLINK("http://dx.doi.org/10.1080/10407782.2014.894387","http://dx.doi.org/10.1080/10407782.2014.894387")</f>
        <v>http://dx.doi.org/10.1080/10407782.2014.894387</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1450</v>
      </c>
      <c r="BT128" s="1" t="str">
        <f>HYPERLINK("https%3A%2F%2Fwww.webofscience.com%2Fwos%2Fwoscc%2Ffull-record%2FWOS:000339327100002","View Full Record in Web of Science")</f>
        <v>View Full Record in Web of Science</v>
      </c>
    </row>
    <row r="129" ht="12.75" customHeight="1">
      <c r="A129" s="1" t="s">
        <v>72</v>
      </c>
      <c r="B129" s="1" t="s">
        <v>1451</v>
      </c>
      <c r="C129" s="1" t="s">
        <v>74</v>
      </c>
      <c r="D129" s="1" t="s">
        <v>74</v>
      </c>
      <c r="E129" s="1" t="s">
        <v>74</v>
      </c>
      <c r="F129" s="1" t="s">
        <v>1452</v>
      </c>
      <c r="G129" s="1" t="s">
        <v>74</v>
      </c>
      <c r="H129" s="1" t="s">
        <v>74</v>
      </c>
      <c r="I129" s="1" t="s">
        <v>1453</v>
      </c>
      <c r="J129" s="1" t="s">
        <v>1454</v>
      </c>
      <c r="K129" s="1" t="s">
        <v>74</v>
      </c>
      <c r="L129" s="1" t="s">
        <v>74</v>
      </c>
      <c r="M129" s="1" t="s">
        <v>74</v>
      </c>
      <c r="N129" s="1" t="s">
        <v>74</v>
      </c>
      <c r="O129" s="1" t="s">
        <v>74</v>
      </c>
      <c r="P129" s="1" t="s">
        <v>74</v>
      </c>
      <c r="Q129" s="1" t="s">
        <v>74</v>
      </c>
      <c r="R129" s="1" t="s">
        <v>74</v>
      </c>
      <c r="S129" s="1" t="s">
        <v>74</v>
      </c>
      <c r="T129" s="1" t="s">
        <v>74</v>
      </c>
      <c r="U129" s="1" t="s">
        <v>74</v>
      </c>
      <c r="V129" s="1" t="s">
        <v>1455</v>
      </c>
      <c r="W129" s="1" t="s">
        <v>74</v>
      </c>
      <c r="X129" s="1" t="s">
        <v>74</v>
      </c>
      <c r="Y129" s="1" t="s">
        <v>74</v>
      </c>
      <c r="Z129" s="1" t="s">
        <v>74</v>
      </c>
      <c r="AA129" s="1" t="s">
        <v>1456</v>
      </c>
      <c r="AB129" s="1" t="s">
        <v>1457</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1458</v>
      </c>
      <c r="AP129" s="1" t="s">
        <v>1459</v>
      </c>
      <c r="AQ129" s="1" t="s">
        <v>74</v>
      </c>
      <c r="AR129" s="1" t="s">
        <v>74</v>
      </c>
      <c r="AS129" s="1" t="s">
        <v>74</v>
      </c>
      <c r="AT129" s="1" t="s">
        <v>176</v>
      </c>
      <c r="AU129" s="1">
        <v>2012.0</v>
      </c>
      <c r="AV129" s="1">
        <v>53.0</v>
      </c>
      <c r="AW129" s="1">
        <v>2.0</v>
      </c>
      <c r="AX129" s="1" t="s">
        <v>74</v>
      </c>
      <c r="AY129" s="1" t="s">
        <v>74</v>
      </c>
      <c r="AZ129" s="1" t="s">
        <v>74</v>
      </c>
      <c r="BA129" s="1" t="s">
        <v>74</v>
      </c>
      <c r="BB129" s="1">
        <v>152.0</v>
      </c>
      <c r="BC129" s="1">
        <v>155.0</v>
      </c>
      <c r="BD129" s="1" t="s">
        <v>74</v>
      </c>
      <c r="BE129" s="1" t="s">
        <v>1460</v>
      </c>
      <c r="BF129" s="2" t="str">
        <f>HYPERLINK("http://dx.doi.org/10.1007/s10267-011-0144-1","http://dx.doi.org/10.1007/s10267-011-0144-1")</f>
        <v>http://dx.doi.org/10.1007/s10267-011-0144-1</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1461</v>
      </c>
      <c r="BT129" s="1" t="str">
        <f>HYPERLINK("https%3A%2F%2Fwww.webofscience.com%2Fwos%2Fwoscc%2Ffull-record%2FWOS:000301638800010","View Full Record in Web of Science")</f>
        <v>View Full Record in Web of Science</v>
      </c>
    </row>
    <row r="130" ht="12.75" customHeight="1">
      <c r="A130" s="1" t="s">
        <v>72</v>
      </c>
      <c r="B130" s="1" t="s">
        <v>1462</v>
      </c>
      <c r="C130" s="1" t="s">
        <v>74</v>
      </c>
      <c r="D130" s="1" t="s">
        <v>74</v>
      </c>
      <c r="E130" s="1" t="s">
        <v>74</v>
      </c>
      <c r="F130" s="1" t="s">
        <v>1463</v>
      </c>
      <c r="G130" s="1" t="s">
        <v>74</v>
      </c>
      <c r="H130" s="1" t="s">
        <v>74</v>
      </c>
      <c r="I130" s="1" t="s">
        <v>1464</v>
      </c>
      <c r="J130" s="1" t="s">
        <v>1465</v>
      </c>
      <c r="K130" s="1" t="s">
        <v>74</v>
      </c>
      <c r="L130" s="1" t="s">
        <v>74</v>
      </c>
      <c r="M130" s="1" t="s">
        <v>74</v>
      </c>
      <c r="N130" s="1" t="s">
        <v>74</v>
      </c>
      <c r="O130" s="1" t="s">
        <v>74</v>
      </c>
      <c r="P130" s="1" t="s">
        <v>74</v>
      </c>
      <c r="Q130" s="1" t="s">
        <v>74</v>
      </c>
      <c r="R130" s="1" t="s">
        <v>74</v>
      </c>
      <c r="S130" s="1" t="s">
        <v>74</v>
      </c>
      <c r="T130" s="1" t="s">
        <v>74</v>
      </c>
      <c r="U130" s="1" t="s">
        <v>74</v>
      </c>
      <c r="V130" s="1" t="s">
        <v>1466</v>
      </c>
      <c r="W130" s="1" t="s">
        <v>74</v>
      </c>
      <c r="X130" s="1" t="s">
        <v>74</v>
      </c>
      <c r="Y130" s="1" t="s">
        <v>74</v>
      </c>
      <c r="Z130" s="1" t="s">
        <v>74</v>
      </c>
      <c r="AA130" s="1" t="s">
        <v>1467</v>
      </c>
      <c r="AB130" s="1" t="s">
        <v>1468</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1469</v>
      </c>
      <c r="AP130" s="1" t="s">
        <v>1470</v>
      </c>
      <c r="AQ130" s="1" t="s">
        <v>74</v>
      </c>
      <c r="AR130" s="1" t="s">
        <v>74</v>
      </c>
      <c r="AS130" s="1" t="s">
        <v>74</v>
      </c>
      <c r="AT130" s="1" t="s">
        <v>74</v>
      </c>
      <c r="AU130" s="1">
        <v>2012.0</v>
      </c>
      <c r="AV130" s="1">
        <v>35.0</v>
      </c>
      <c r="AW130" s="1">
        <v>5.0</v>
      </c>
      <c r="AX130" s="1" t="s">
        <v>74</v>
      </c>
      <c r="AY130" s="1" t="s">
        <v>74</v>
      </c>
      <c r="AZ130" s="1" t="s">
        <v>74</v>
      </c>
      <c r="BA130" s="1" t="s">
        <v>74</v>
      </c>
      <c r="BB130" s="1">
        <v>1016.0</v>
      </c>
      <c r="BC130" s="1">
        <v>1019.0</v>
      </c>
      <c r="BD130" s="1" t="s">
        <v>74</v>
      </c>
      <c r="BE130" s="1" t="s">
        <v>1471</v>
      </c>
      <c r="BF130" s="2" t="str">
        <f>HYPERLINK("http://dx.doi.org/10.1590/S0100-40422012000500027","http://dx.doi.org/10.1590/S0100-40422012000500027")</f>
        <v>http://dx.doi.org/10.1590/S0100-40422012000500027</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1472</v>
      </c>
      <c r="BT130" s="1" t="str">
        <f>HYPERLINK("https%3A%2F%2Fwww.webofscience.com%2Fwos%2Fwoscc%2Ffull-record%2FWOS:000306136000027","View Full Record in Web of Science")</f>
        <v>View Full Record in Web of Science</v>
      </c>
    </row>
    <row r="131" ht="12.75" customHeight="1">
      <c r="A131" s="1" t="s">
        <v>72</v>
      </c>
      <c r="B131" s="1" t="s">
        <v>1473</v>
      </c>
      <c r="C131" s="1" t="s">
        <v>74</v>
      </c>
      <c r="D131" s="1" t="s">
        <v>74</v>
      </c>
      <c r="E131" s="1" t="s">
        <v>74</v>
      </c>
      <c r="F131" s="1" t="s">
        <v>1474</v>
      </c>
      <c r="G131" s="1" t="s">
        <v>74</v>
      </c>
      <c r="H131" s="1" t="s">
        <v>74</v>
      </c>
      <c r="I131" s="1" t="s">
        <v>1475</v>
      </c>
      <c r="J131" s="1" t="s">
        <v>1476</v>
      </c>
      <c r="K131" s="1" t="s">
        <v>74</v>
      </c>
      <c r="L131" s="1" t="s">
        <v>74</v>
      </c>
      <c r="M131" s="1" t="s">
        <v>74</v>
      </c>
      <c r="N131" s="1" t="s">
        <v>74</v>
      </c>
      <c r="O131" s="1" t="s">
        <v>74</v>
      </c>
      <c r="P131" s="1" t="s">
        <v>74</v>
      </c>
      <c r="Q131" s="1" t="s">
        <v>74</v>
      </c>
      <c r="R131" s="1" t="s">
        <v>74</v>
      </c>
      <c r="S131" s="1" t="s">
        <v>74</v>
      </c>
      <c r="T131" s="1" t="s">
        <v>74</v>
      </c>
      <c r="U131" s="1" t="s">
        <v>74</v>
      </c>
      <c r="V131" s="1" t="s">
        <v>1477</v>
      </c>
      <c r="W131" s="1" t="s">
        <v>74</v>
      </c>
      <c r="X131" s="1" t="s">
        <v>74</v>
      </c>
      <c r="Y131" s="1" t="s">
        <v>74</v>
      </c>
      <c r="Z131" s="1" t="s">
        <v>74</v>
      </c>
      <c r="AA131" s="1" t="s">
        <v>1478</v>
      </c>
      <c r="AB131" s="1" t="s">
        <v>1479</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1480</v>
      </c>
      <c r="AP131" s="1" t="s">
        <v>1481</v>
      </c>
      <c r="AQ131" s="1" t="s">
        <v>74</v>
      </c>
      <c r="AR131" s="1" t="s">
        <v>74</v>
      </c>
      <c r="AS131" s="1" t="s">
        <v>74</v>
      </c>
      <c r="AT131" s="1" t="s">
        <v>877</v>
      </c>
      <c r="AU131" s="1">
        <v>2011.0</v>
      </c>
      <c r="AV131" s="1">
        <v>26.0</v>
      </c>
      <c r="AW131" s="1">
        <v>4.0</v>
      </c>
      <c r="AX131" s="1" t="s">
        <v>74</v>
      </c>
      <c r="AY131" s="1" t="s">
        <v>74</v>
      </c>
      <c r="AZ131" s="1" t="s">
        <v>74</v>
      </c>
      <c r="BA131" s="1" t="s">
        <v>74</v>
      </c>
      <c r="BB131" s="1">
        <v>273.0</v>
      </c>
      <c r="BC131" s="1">
        <v>285.0</v>
      </c>
      <c r="BD131" s="1" t="s">
        <v>74</v>
      </c>
      <c r="BE131" s="1" t="s">
        <v>1482</v>
      </c>
      <c r="BF131" s="2" t="str">
        <f>HYPERLINK("http://dx.doi.org/10.1152/physiol.00004.2011","http://dx.doi.org/10.1152/physiol.00004.2011")</f>
        <v>http://dx.doi.org/10.1152/physiol.00004.2011</v>
      </c>
      <c r="BG131" s="1" t="s">
        <v>74</v>
      </c>
      <c r="BH131" s="1" t="s">
        <v>74</v>
      </c>
      <c r="BI131" s="1" t="s">
        <v>74</v>
      </c>
      <c r="BJ131" s="1" t="s">
        <v>74</v>
      </c>
      <c r="BK131" s="1" t="s">
        <v>74</v>
      </c>
      <c r="BL131" s="1" t="s">
        <v>74</v>
      </c>
      <c r="BM131" s="1" t="s">
        <v>74</v>
      </c>
      <c r="BN131" s="1">
        <v>2.1841075E7</v>
      </c>
      <c r="BO131" s="1" t="s">
        <v>74</v>
      </c>
      <c r="BP131" s="1" t="s">
        <v>74</v>
      </c>
      <c r="BQ131" s="1" t="s">
        <v>74</v>
      </c>
      <c r="BR131" s="1" t="s">
        <v>74</v>
      </c>
      <c r="BS131" s="1" t="s">
        <v>1483</v>
      </c>
      <c r="BT131" s="1" t="str">
        <f>HYPERLINK("https%3A%2F%2Fwww.webofscience.com%2Fwos%2Fwoscc%2Ffull-record%2FWOS:000293829900007","View Full Record in Web of Science")</f>
        <v>View Full Record in Web of Science</v>
      </c>
    </row>
    <row r="132" ht="12.75" customHeight="1">
      <c r="A132" s="1" t="s">
        <v>72</v>
      </c>
      <c r="B132" s="1" t="s">
        <v>1484</v>
      </c>
      <c r="C132" s="1" t="s">
        <v>74</v>
      </c>
      <c r="D132" s="1" t="s">
        <v>74</v>
      </c>
      <c r="E132" s="1" t="s">
        <v>74</v>
      </c>
      <c r="F132" s="1" t="s">
        <v>1485</v>
      </c>
      <c r="G132" s="1" t="s">
        <v>74</v>
      </c>
      <c r="H132" s="1" t="s">
        <v>74</v>
      </c>
      <c r="I132" s="1" t="s">
        <v>1486</v>
      </c>
      <c r="J132" s="1" t="s">
        <v>1487</v>
      </c>
      <c r="K132" s="1" t="s">
        <v>74</v>
      </c>
      <c r="L132" s="1" t="s">
        <v>74</v>
      </c>
      <c r="M132" s="1" t="s">
        <v>74</v>
      </c>
      <c r="N132" s="1" t="s">
        <v>74</v>
      </c>
      <c r="O132" s="1" t="s">
        <v>74</v>
      </c>
      <c r="P132" s="1" t="s">
        <v>74</v>
      </c>
      <c r="Q132" s="1" t="s">
        <v>74</v>
      </c>
      <c r="R132" s="1" t="s">
        <v>74</v>
      </c>
      <c r="S132" s="1" t="s">
        <v>74</v>
      </c>
      <c r="T132" s="1" t="s">
        <v>74</v>
      </c>
      <c r="U132" s="1" t="s">
        <v>74</v>
      </c>
      <c r="V132" s="1" t="s">
        <v>1488</v>
      </c>
      <c r="W132" s="1" t="s">
        <v>74</v>
      </c>
      <c r="X132" s="1" t="s">
        <v>74</v>
      </c>
      <c r="Y132" s="1" t="s">
        <v>74</v>
      </c>
      <c r="Z132" s="1" t="s">
        <v>74</v>
      </c>
      <c r="AA132" s="1" t="s">
        <v>1489</v>
      </c>
      <c r="AB132" s="1" t="s">
        <v>1490</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1491</v>
      </c>
      <c r="AP132" s="1" t="s">
        <v>1492</v>
      </c>
      <c r="AQ132" s="1" t="s">
        <v>74</v>
      </c>
      <c r="AR132" s="1" t="s">
        <v>74</v>
      </c>
      <c r="AS132" s="1" t="s">
        <v>74</v>
      </c>
      <c r="AT132" s="1" t="s">
        <v>1493</v>
      </c>
      <c r="AU132" s="1">
        <v>2010.0</v>
      </c>
      <c r="AV132" s="1">
        <v>99.0</v>
      </c>
      <c r="AW132" s="1">
        <v>4.0</v>
      </c>
      <c r="AX132" s="1" t="s">
        <v>74</v>
      </c>
      <c r="AY132" s="1" t="s">
        <v>74</v>
      </c>
      <c r="AZ132" s="1" t="s">
        <v>74</v>
      </c>
      <c r="BA132" s="1" t="s">
        <v>74</v>
      </c>
      <c r="BB132" s="1">
        <v>1182.0</v>
      </c>
      <c r="BC132" s="1">
        <v>1191.0</v>
      </c>
      <c r="BD132" s="1" t="s">
        <v>74</v>
      </c>
      <c r="BE132" s="1" t="s">
        <v>1494</v>
      </c>
      <c r="BF132" s="2" t="str">
        <f>HYPERLINK("http://dx.doi.org/10.1016/j.bpj.2010.05.035","http://dx.doi.org/10.1016/j.bpj.2010.05.035")</f>
        <v>http://dx.doi.org/10.1016/j.bpj.2010.05.035</v>
      </c>
      <c r="BG132" s="1" t="s">
        <v>74</v>
      </c>
      <c r="BH132" s="1" t="s">
        <v>74</v>
      </c>
      <c r="BI132" s="1" t="s">
        <v>74</v>
      </c>
      <c r="BJ132" s="1" t="s">
        <v>74</v>
      </c>
      <c r="BK132" s="1" t="s">
        <v>74</v>
      </c>
      <c r="BL132" s="1" t="s">
        <v>74</v>
      </c>
      <c r="BM132" s="1" t="s">
        <v>74</v>
      </c>
      <c r="BN132" s="1">
        <v>2.0713002E7</v>
      </c>
      <c r="BO132" s="1" t="s">
        <v>74</v>
      </c>
      <c r="BP132" s="1" t="s">
        <v>74</v>
      </c>
      <c r="BQ132" s="1" t="s">
        <v>74</v>
      </c>
      <c r="BR132" s="1" t="s">
        <v>74</v>
      </c>
      <c r="BS132" s="1" t="s">
        <v>1495</v>
      </c>
      <c r="BT132" s="1" t="str">
        <f>HYPERLINK("https%3A%2F%2Fwww.webofscience.com%2Fwos%2Fwoscc%2Ffull-record%2FWOS:000281103200022","View Full Record in Web of Science")</f>
        <v>View Full Record in Web of Science</v>
      </c>
    </row>
    <row r="133" ht="12.75" customHeight="1">
      <c r="A133" s="1" t="s">
        <v>72</v>
      </c>
      <c r="B133" s="1" t="s">
        <v>1496</v>
      </c>
      <c r="C133" s="1" t="s">
        <v>74</v>
      </c>
      <c r="D133" s="1" t="s">
        <v>74</v>
      </c>
      <c r="E133" s="1" t="s">
        <v>74</v>
      </c>
      <c r="F133" s="1" t="s">
        <v>1497</v>
      </c>
      <c r="G133" s="1" t="s">
        <v>74</v>
      </c>
      <c r="H133" s="1" t="s">
        <v>74</v>
      </c>
      <c r="I133" s="1" t="s">
        <v>1498</v>
      </c>
      <c r="J133" s="1" t="s">
        <v>1499</v>
      </c>
      <c r="K133" s="1" t="s">
        <v>74</v>
      </c>
      <c r="L133" s="1" t="s">
        <v>74</v>
      </c>
      <c r="M133" s="1" t="s">
        <v>74</v>
      </c>
      <c r="N133" s="1" t="s">
        <v>74</v>
      </c>
      <c r="O133" s="1" t="s">
        <v>74</v>
      </c>
      <c r="P133" s="1" t="s">
        <v>74</v>
      </c>
      <c r="Q133" s="1" t="s">
        <v>74</v>
      </c>
      <c r="R133" s="1" t="s">
        <v>74</v>
      </c>
      <c r="S133" s="1" t="s">
        <v>74</v>
      </c>
      <c r="T133" s="1" t="s">
        <v>74</v>
      </c>
      <c r="U133" s="1" t="s">
        <v>74</v>
      </c>
      <c r="V133" s="1" t="s">
        <v>1500</v>
      </c>
      <c r="W133" s="1" t="s">
        <v>74</v>
      </c>
      <c r="X133" s="1" t="s">
        <v>74</v>
      </c>
      <c r="Y133" s="1" t="s">
        <v>74</v>
      </c>
      <c r="Z133" s="1" t="s">
        <v>74</v>
      </c>
      <c r="AA133" s="1" t="s">
        <v>74</v>
      </c>
      <c r="AB133" s="1" t="s">
        <v>1501</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1502</v>
      </c>
      <c r="AP133" s="1" t="s">
        <v>1503</v>
      </c>
      <c r="AQ133" s="1" t="s">
        <v>74</v>
      </c>
      <c r="AR133" s="1" t="s">
        <v>74</v>
      </c>
      <c r="AS133" s="1" t="s">
        <v>74</v>
      </c>
      <c r="AT133" s="1" t="s">
        <v>151</v>
      </c>
      <c r="AU133" s="1">
        <v>2008.0</v>
      </c>
      <c r="AV133" s="1">
        <v>29.0</v>
      </c>
      <c r="AW133" s="1">
        <v>10.0</v>
      </c>
      <c r="AX133" s="1" t="s">
        <v>74</v>
      </c>
      <c r="AY133" s="1" t="s">
        <v>74</v>
      </c>
      <c r="AZ133" s="1" t="s">
        <v>74</v>
      </c>
      <c r="BA133" s="1" t="s">
        <v>74</v>
      </c>
      <c r="BB133" s="1">
        <v>1179.0</v>
      </c>
      <c r="BC133" s="1">
        <v>1193.0</v>
      </c>
      <c r="BD133" s="1" t="s">
        <v>74</v>
      </c>
      <c r="BE133" s="1" t="s">
        <v>1504</v>
      </c>
      <c r="BF133" s="2" t="str">
        <f>HYPERLINK("http://dx.doi.org/10.1088/0967-3334/29/10/003","http://dx.doi.org/10.1088/0967-3334/29/10/003")</f>
        <v>http://dx.doi.org/10.1088/0967-3334/29/10/003</v>
      </c>
      <c r="BG133" s="1" t="s">
        <v>74</v>
      </c>
      <c r="BH133" s="1" t="s">
        <v>74</v>
      </c>
      <c r="BI133" s="1" t="s">
        <v>74</v>
      </c>
      <c r="BJ133" s="1" t="s">
        <v>74</v>
      </c>
      <c r="BK133" s="1" t="s">
        <v>74</v>
      </c>
      <c r="BL133" s="1" t="s">
        <v>74</v>
      </c>
      <c r="BM133" s="1" t="s">
        <v>74</v>
      </c>
      <c r="BN133" s="1">
        <v>1.8799835E7</v>
      </c>
      <c r="BO133" s="1" t="s">
        <v>74</v>
      </c>
      <c r="BP133" s="1" t="s">
        <v>74</v>
      </c>
      <c r="BQ133" s="1" t="s">
        <v>74</v>
      </c>
      <c r="BR133" s="1" t="s">
        <v>74</v>
      </c>
      <c r="BS133" s="1" t="s">
        <v>1505</v>
      </c>
      <c r="BT133" s="1" t="str">
        <f>HYPERLINK("https%3A%2F%2Fwww.webofscience.com%2Fwos%2Fwoscc%2Ffull-record%2FWOS:000259693900004","View Full Record in Web of Science")</f>
        <v>View Full Record in Web of Science</v>
      </c>
    </row>
    <row r="134" ht="12.75" customHeight="1">
      <c r="A134" s="1" t="s">
        <v>72</v>
      </c>
      <c r="B134" s="1" t="s">
        <v>1506</v>
      </c>
      <c r="C134" s="1" t="s">
        <v>74</v>
      </c>
      <c r="D134" s="1" t="s">
        <v>74</v>
      </c>
      <c r="E134" s="1" t="s">
        <v>74</v>
      </c>
      <c r="F134" s="1" t="s">
        <v>1506</v>
      </c>
      <c r="G134" s="1" t="s">
        <v>74</v>
      </c>
      <c r="H134" s="1" t="s">
        <v>74</v>
      </c>
      <c r="I134" s="1" t="s">
        <v>1507</v>
      </c>
      <c r="J134" s="1" t="s">
        <v>1508</v>
      </c>
      <c r="K134" s="1" t="s">
        <v>74</v>
      </c>
      <c r="L134" s="1" t="s">
        <v>74</v>
      </c>
      <c r="M134" s="1" t="s">
        <v>74</v>
      </c>
      <c r="N134" s="1" t="s">
        <v>74</v>
      </c>
      <c r="O134" s="1" t="s">
        <v>74</v>
      </c>
      <c r="P134" s="1" t="s">
        <v>74</v>
      </c>
      <c r="Q134" s="1" t="s">
        <v>74</v>
      </c>
      <c r="R134" s="1" t="s">
        <v>74</v>
      </c>
      <c r="S134" s="1" t="s">
        <v>74</v>
      </c>
      <c r="T134" s="1" t="s">
        <v>74</v>
      </c>
      <c r="U134" s="1" t="s">
        <v>74</v>
      </c>
      <c r="V134" s="1" t="s">
        <v>1509</v>
      </c>
      <c r="W134" s="1" t="s">
        <v>74</v>
      </c>
      <c r="X134" s="1" t="s">
        <v>74</v>
      </c>
      <c r="Y134" s="1" t="s">
        <v>74</v>
      </c>
      <c r="Z134" s="1" t="s">
        <v>74</v>
      </c>
      <c r="AA134" s="1" t="s">
        <v>1510</v>
      </c>
      <c r="AB134" s="1" t="s">
        <v>1511</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1512</v>
      </c>
      <c r="AP134" s="1" t="s">
        <v>74</v>
      </c>
      <c r="AQ134" s="1" t="s">
        <v>74</v>
      </c>
      <c r="AR134" s="1" t="s">
        <v>74</v>
      </c>
      <c r="AS134" s="1" t="s">
        <v>74</v>
      </c>
      <c r="AT134" s="1" t="s">
        <v>151</v>
      </c>
      <c r="AU134" s="1">
        <v>2002.0</v>
      </c>
      <c r="AV134" s="1">
        <v>93.0</v>
      </c>
      <c r="AW134" s="1">
        <v>10.0</v>
      </c>
      <c r="AX134" s="1" t="s">
        <v>74</v>
      </c>
      <c r="AY134" s="1" t="s">
        <v>74</v>
      </c>
      <c r="AZ134" s="1" t="s">
        <v>74</v>
      </c>
      <c r="BA134" s="1" t="s">
        <v>74</v>
      </c>
      <c r="BB134" s="1">
        <v>974.0</v>
      </c>
      <c r="BC134" s="1">
        <v>977.0</v>
      </c>
      <c r="BD134" s="1" t="s">
        <v>74</v>
      </c>
      <c r="BE134" s="1" t="s">
        <v>1513</v>
      </c>
      <c r="BF134" s="2" t="str">
        <f>HYPERLINK("http://dx.doi.org/10.3139/146.020974","http://dx.doi.org/10.3139/146.020974")</f>
        <v>http://dx.doi.org/10.3139/146.020974</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1514</v>
      </c>
      <c r="BT134" s="1" t="str">
        <f>HYPERLINK("https%3A%2F%2Fwww.webofscience.com%2Fwos%2Fwoscc%2Ffull-record%2FWOS:000179591100007","View Full Record in Web of Science")</f>
        <v>View Full Record in Web of Science</v>
      </c>
    </row>
    <row r="135" ht="12.75" customHeight="1">
      <c r="A135" s="1" t="s">
        <v>72</v>
      </c>
      <c r="B135" s="1" t="s">
        <v>1515</v>
      </c>
      <c r="C135" s="1" t="s">
        <v>74</v>
      </c>
      <c r="D135" s="1" t="s">
        <v>74</v>
      </c>
      <c r="E135" s="1" t="s">
        <v>74</v>
      </c>
      <c r="F135" s="1" t="s">
        <v>1515</v>
      </c>
      <c r="G135" s="1" t="s">
        <v>74</v>
      </c>
      <c r="H135" s="1" t="s">
        <v>74</v>
      </c>
      <c r="I135" s="1" t="s">
        <v>1516</v>
      </c>
      <c r="J135" s="1" t="s">
        <v>1517</v>
      </c>
      <c r="K135" s="1" t="s">
        <v>74</v>
      </c>
      <c r="L135" s="1" t="s">
        <v>74</v>
      </c>
      <c r="M135" s="1" t="s">
        <v>74</v>
      </c>
      <c r="N135" s="1" t="s">
        <v>74</v>
      </c>
      <c r="O135" s="1" t="s">
        <v>74</v>
      </c>
      <c r="P135" s="1" t="s">
        <v>74</v>
      </c>
      <c r="Q135" s="1" t="s">
        <v>74</v>
      </c>
      <c r="R135" s="1" t="s">
        <v>74</v>
      </c>
      <c r="S135" s="1" t="s">
        <v>74</v>
      </c>
      <c r="T135" s="1" t="s">
        <v>74</v>
      </c>
      <c r="U135" s="1" t="s">
        <v>74</v>
      </c>
      <c r="V135" s="1" t="s">
        <v>1518</v>
      </c>
      <c r="W135" s="1" t="s">
        <v>74</v>
      </c>
      <c r="X135" s="1" t="s">
        <v>74</v>
      </c>
      <c r="Y135" s="1" t="s">
        <v>74</v>
      </c>
      <c r="Z135" s="1" t="s">
        <v>74</v>
      </c>
      <c r="AA135" s="1" t="s">
        <v>1519</v>
      </c>
      <c r="AB135" s="1" t="s">
        <v>1520</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1521</v>
      </c>
      <c r="AP135" s="1" t="s">
        <v>1522</v>
      </c>
      <c r="AQ135" s="1" t="s">
        <v>74</v>
      </c>
      <c r="AR135" s="1" t="s">
        <v>74</v>
      </c>
      <c r="AS135" s="1" t="s">
        <v>74</v>
      </c>
      <c r="AT135" s="1" t="s">
        <v>589</v>
      </c>
      <c r="AU135" s="1">
        <v>2001.0</v>
      </c>
      <c r="AV135" s="1">
        <v>46.0</v>
      </c>
      <c r="AW135" s="1">
        <v>16.0</v>
      </c>
      <c r="AX135" s="1" t="s">
        <v>74</v>
      </c>
      <c r="AY135" s="1" t="s">
        <v>74</v>
      </c>
      <c r="AZ135" s="1" t="s">
        <v>74</v>
      </c>
      <c r="BA135" s="1" t="s">
        <v>74</v>
      </c>
      <c r="BB135" s="1">
        <v>2545.0</v>
      </c>
      <c r="BC135" s="1">
        <v>2551.0</v>
      </c>
      <c r="BD135" s="1" t="s">
        <v>74</v>
      </c>
      <c r="BE135" s="1" t="s">
        <v>1523</v>
      </c>
      <c r="BF135" s="2" t="str">
        <f>HYPERLINK("http://dx.doi.org/10.1016/S0013-4686(01)00448-0","http://dx.doi.org/10.1016/S0013-4686(01)00448-0")</f>
        <v>http://dx.doi.org/10.1016/S0013-4686(01)00448-0</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1524</v>
      </c>
      <c r="BT135" s="1" t="str">
        <f>HYPERLINK("https%3A%2F%2Fwww.webofscience.com%2Fwos%2Fwoscc%2Ffull-record%2FWOS:000169043700011","View Full Record in Web of Science")</f>
        <v>View Full Record in Web of Science</v>
      </c>
    </row>
    <row r="136" ht="12.75" customHeight="1">
      <c r="A136" s="1" t="s">
        <v>72</v>
      </c>
      <c r="B136" s="1" t="s">
        <v>1525</v>
      </c>
      <c r="C136" s="1" t="s">
        <v>74</v>
      </c>
      <c r="D136" s="1" t="s">
        <v>74</v>
      </c>
      <c r="E136" s="1" t="s">
        <v>74</v>
      </c>
      <c r="F136" s="1" t="s">
        <v>1526</v>
      </c>
      <c r="G136" s="1" t="s">
        <v>74</v>
      </c>
      <c r="H136" s="1" t="s">
        <v>74</v>
      </c>
      <c r="I136" s="1" t="s">
        <v>1527</v>
      </c>
      <c r="J136" s="1" t="s">
        <v>1528</v>
      </c>
      <c r="K136" s="1" t="s">
        <v>74</v>
      </c>
      <c r="L136" s="1" t="s">
        <v>74</v>
      </c>
      <c r="M136" s="1" t="s">
        <v>74</v>
      </c>
      <c r="N136" s="1" t="s">
        <v>74</v>
      </c>
      <c r="O136" s="1" t="s">
        <v>74</v>
      </c>
      <c r="P136" s="1" t="s">
        <v>74</v>
      </c>
      <c r="Q136" s="1" t="s">
        <v>74</v>
      </c>
      <c r="R136" s="1" t="s">
        <v>74</v>
      </c>
      <c r="S136" s="1" t="s">
        <v>74</v>
      </c>
      <c r="T136" s="1" t="s">
        <v>74</v>
      </c>
      <c r="U136" s="1" t="s">
        <v>74</v>
      </c>
      <c r="V136" s="1" t="s">
        <v>1529</v>
      </c>
      <c r="W136" s="1" t="s">
        <v>74</v>
      </c>
      <c r="X136" s="1" t="s">
        <v>74</v>
      </c>
      <c r="Y136" s="1" t="s">
        <v>74</v>
      </c>
      <c r="Z136" s="1" t="s">
        <v>74</v>
      </c>
      <c r="AA136" s="1" t="s">
        <v>1530</v>
      </c>
      <c r="AB136" s="1" t="s">
        <v>1531</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1532</v>
      </c>
      <c r="AP136" s="1" t="s">
        <v>74</v>
      </c>
      <c r="AQ136" s="1" t="s">
        <v>74</v>
      </c>
      <c r="AR136" s="1" t="s">
        <v>74</v>
      </c>
      <c r="AS136" s="1" t="s">
        <v>74</v>
      </c>
      <c r="AT136" s="1" t="s">
        <v>1533</v>
      </c>
      <c r="AU136" s="1">
        <v>2025.0</v>
      </c>
      <c r="AV136" s="1">
        <v>12.0</v>
      </c>
      <c r="AW136" s="1" t="s">
        <v>74</v>
      </c>
      <c r="AX136" s="1" t="s">
        <v>74</v>
      </c>
      <c r="AY136" s="1" t="s">
        <v>74</v>
      </c>
      <c r="AZ136" s="1" t="s">
        <v>74</v>
      </c>
      <c r="BA136" s="1" t="s">
        <v>74</v>
      </c>
      <c r="BB136" s="1" t="s">
        <v>74</v>
      </c>
      <c r="BC136" s="1" t="s">
        <v>74</v>
      </c>
      <c r="BD136" s="1">
        <v>1494780.0</v>
      </c>
      <c r="BE136" s="1" t="s">
        <v>1534</v>
      </c>
      <c r="BF136" s="2" t="str">
        <f>HYPERLINK("http://dx.doi.org/10.3389/fsurg.2025.1494780","http://dx.doi.org/10.3389/fsurg.2025.1494780")</f>
        <v>http://dx.doi.org/10.3389/fsurg.2025.1494780</v>
      </c>
      <c r="BG136" s="1" t="s">
        <v>74</v>
      </c>
      <c r="BH136" s="1" t="s">
        <v>74</v>
      </c>
      <c r="BI136" s="1" t="s">
        <v>74</v>
      </c>
      <c r="BJ136" s="1" t="s">
        <v>74</v>
      </c>
      <c r="BK136" s="1" t="s">
        <v>74</v>
      </c>
      <c r="BL136" s="1" t="s">
        <v>74</v>
      </c>
      <c r="BM136" s="1" t="s">
        <v>74</v>
      </c>
      <c r="BN136" s="1">
        <v>4.0012544E7</v>
      </c>
      <c r="BO136" s="1" t="s">
        <v>74</v>
      </c>
      <c r="BP136" s="1" t="s">
        <v>74</v>
      </c>
      <c r="BQ136" s="1" t="s">
        <v>74</v>
      </c>
      <c r="BR136" s="1" t="s">
        <v>74</v>
      </c>
      <c r="BS136" s="1" t="s">
        <v>1535</v>
      </c>
      <c r="BT136" s="1" t="str">
        <f>HYPERLINK("https%3A%2F%2Fwww.webofscience.com%2Fwos%2Fwoscc%2Ffull-record%2FWOS:001432204100001","View Full Record in Web of Science")</f>
        <v>View Full Record in Web of Science</v>
      </c>
    </row>
    <row r="137" ht="12.75" customHeight="1">
      <c r="A137" s="1" t="s">
        <v>72</v>
      </c>
      <c r="B137" s="1" t="s">
        <v>1536</v>
      </c>
      <c r="C137" s="1" t="s">
        <v>74</v>
      </c>
      <c r="D137" s="1" t="s">
        <v>74</v>
      </c>
      <c r="E137" s="1" t="s">
        <v>74</v>
      </c>
      <c r="F137" s="1" t="s">
        <v>1537</v>
      </c>
      <c r="G137" s="1" t="s">
        <v>74</v>
      </c>
      <c r="H137" s="1" t="s">
        <v>74</v>
      </c>
      <c r="I137" s="1" t="s">
        <v>1538</v>
      </c>
      <c r="J137" s="1" t="s">
        <v>629</v>
      </c>
      <c r="K137" s="1" t="s">
        <v>74</v>
      </c>
      <c r="L137" s="1" t="s">
        <v>74</v>
      </c>
      <c r="M137" s="1" t="s">
        <v>74</v>
      </c>
      <c r="N137" s="1" t="s">
        <v>74</v>
      </c>
      <c r="O137" s="1" t="s">
        <v>74</v>
      </c>
      <c r="P137" s="1" t="s">
        <v>74</v>
      </c>
      <c r="Q137" s="1" t="s">
        <v>74</v>
      </c>
      <c r="R137" s="1" t="s">
        <v>74</v>
      </c>
      <c r="S137" s="1" t="s">
        <v>74</v>
      </c>
      <c r="T137" s="1" t="s">
        <v>74</v>
      </c>
      <c r="U137" s="1" t="s">
        <v>74</v>
      </c>
      <c r="V137" s="1" t="s">
        <v>1539</v>
      </c>
      <c r="W137" s="1" t="s">
        <v>74</v>
      </c>
      <c r="X137" s="1" t="s">
        <v>74</v>
      </c>
      <c r="Y137" s="1" t="s">
        <v>74</v>
      </c>
      <c r="Z137" s="1" t="s">
        <v>74</v>
      </c>
      <c r="AA137" s="1" t="s">
        <v>1540</v>
      </c>
      <c r="AB137" s="1" t="s">
        <v>1541</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633</v>
      </c>
      <c r="AP137" s="1" t="s">
        <v>634</v>
      </c>
      <c r="AQ137" s="1" t="s">
        <v>74</v>
      </c>
      <c r="AR137" s="1" t="s">
        <v>74</v>
      </c>
      <c r="AS137" s="1" t="s">
        <v>74</v>
      </c>
      <c r="AT137" s="1" t="s">
        <v>1542</v>
      </c>
      <c r="AU137" s="1">
        <v>2025.0</v>
      </c>
      <c r="AV137" s="1">
        <v>1013.0</v>
      </c>
      <c r="AW137" s="1" t="s">
        <v>74</v>
      </c>
      <c r="AX137" s="1" t="s">
        <v>74</v>
      </c>
      <c r="AY137" s="1" t="s">
        <v>74</v>
      </c>
      <c r="AZ137" s="1" t="s">
        <v>74</v>
      </c>
      <c r="BA137" s="1" t="s">
        <v>74</v>
      </c>
      <c r="BB137" s="1" t="s">
        <v>74</v>
      </c>
      <c r="BC137" s="1" t="s">
        <v>74</v>
      </c>
      <c r="BD137" s="1">
        <v>178339.0</v>
      </c>
      <c r="BE137" s="1" t="s">
        <v>1543</v>
      </c>
      <c r="BF137" s="2" t="str">
        <f>HYPERLINK("http://dx.doi.org/10.1016/j.jallcom.2024.178339","http://dx.doi.org/10.1016/j.jallcom.2024.178339")</f>
        <v>http://dx.doi.org/10.1016/j.jallcom.2024.178339</v>
      </c>
      <c r="BG137" s="1" t="s">
        <v>74</v>
      </c>
      <c r="BH137" s="1" t="s">
        <v>1544</v>
      </c>
      <c r="BI137" s="1" t="s">
        <v>74</v>
      </c>
      <c r="BJ137" s="1" t="s">
        <v>74</v>
      </c>
      <c r="BK137" s="1" t="s">
        <v>74</v>
      </c>
      <c r="BL137" s="1" t="s">
        <v>74</v>
      </c>
      <c r="BM137" s="1" t="s">
        <v>74</v>
      </c>
      <c r="BN137" s="1" t="s">
        <v>74</v>
      </c>
      <c r="BO137" s="1" t="s">
        <v>74</v>
      </c>
      <c r="BP137" s="1" t="s">
        <v>74</v>
      </c>
      <c r="BQ137" s="1" t="s">
        <v>74</v>
      </c>
      <c r="BR137" s="1" t="s">
        <v>74</v>
      </c>
      <c r="BS137" s="1" t="s">
        <v>1545</v>
      </c>
      <c r="BT137" s="1" t="str">
        <f>HYPERLINK("https%3A%2F%2Fwww.webofscience.com%2Fwos%2Fwoscc%2Ffull-record%2FWOS:001399729900001","View Full Record in Web of Science")</f>
        <v>View Full Record in Web of Science</v>
      </c>
    </row>
    <row r="138" ht="12.75" customHeight="1">
      <c r="A138" s="1" t="s">
        <v>72</v>
      </c>
      <c r="B138" s="1" t="s">
        <v>1546</v>
      </c>
      <c r="C138" s="1" t="s">
        <v>74</v>
      </c>
      <c r="D138" s="1" t="s">
        <v>74</v>
      </c>
      <c r="E138" s="1" t="s">
        <v>74</v>
      </c>
      <c r="F138" s="1" t="s">
        <v>1547</v>
      </c>
      <c r="G138" s="1" t="s">
        <v>74</v>
      </c>
      <c r="H138" s="1" t="s">
        <v>74</v>
      </c>
      <c r="I138" s="1" t="s">
        <v>1548</v>
      </c>
      <c r="J138" s="1" t="s">
        <v>380</v>
      </c>
      <c r="K138" s="1" t="s">
        <v>74</v>
      </c>
      <c r="L138" s="1" t="s">
        <v>74</v>
      </c>
      <c r="M138" s="1" t="s">
        <v>74</v>
      </c>
      <c r="N138" s="1" t="s">
        <v>74</v>
      </c>
      <c r="O138" s="1" t="s">
        <v>74</v>
      </c>
      <c r="P138" s="1" t="s">
        <v>74</v>
      </c>
      <c r="Q138" s="1" t="s">
        <v>74</v>
      </c>
      <c r="R138" s="1" t="s">
        <v>74</v>
      </c>
      <c r="S138" s="1" t="s">
        <v>74</v>
      </c>
      <c r="T138" s="1" t="s">
        <v>74</v>
      </c>
      <c r="U138" s="1" t="s">
        <v>74</v>
      </c>
      <c r="V138" s="1" t="s">
        <v>1549</v>
      </c>
      <c r="W138" s="1" t="s">
        <v>74</v>
      </c>
      <c r="X138" s="1" t="s">
        <v>74</v>
      </c>
      <c r="Y138" s="1" t="s">
        <v>74</v>
      </c>
      <c r="Z138" s="1" t="s">
        <v>74</v>
      </c>
      <c r="AA138" s="1" t="s">
        <v>1550</v>
      </c>
      <c r="AB138" s="1" t="s">
        <v>1551</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384</v>
      </c>
      <c r="AP138" s="1" t="s">
        <v>74</v>
      </c>
      <c r="AQ138" s="1" t="s">
        <v>74</v>
      </c>
      <c r="AR138" s="1" t="s">
        <v>74</v>
      </c>
      <c r="AS138" s="1" t="s">
        <v>74</v>
      </c>
      <c r="AT138" s="1" t="s">
        <v>74</v>
      </c>
      <c r="AU138" s="1">
        <v>2025.0</v>
      </c>
      <c r="AV138" s="1">
        <v>25.0</v>
      </c>
      <c r="AW138" s="1">
        <v>2.0</v>
      </c>
      <c r="AX138" s="1" t="s">
        <v>74</v>
      </c>
      <c r="AY138" s="1" t="s">
        <v>74</v>
      </c>
      <c r="AZ138" s="1" t="s">
        <v>74</v>
      </c>
      <c r="BA138" s="1" t="s">
        <v>74</v>
      </c>
      <c r="BB138" s="1" t="s">
        <v>74</v>
      </c>
      <c r="BC138" s="1" t="s">
        <v>74</v>
      </c>
      <c r="BD138" s="1" t="s">
        <v>1552</v>
      </c>
      <c r="BE138" s="1" t="s">
        <v>1553</v>
      </c>
      <c r="BF138" s="2" t="str">
        <f>HYPERLINK("http://dx.doi.org/10.5867/medwave.2025.02.3020","http://dx.doi.org/10.5867/medwave.2025.02.3020")</f>
        <v>http://dx.doi.org/10.5867/medwave.2025.02.3020</v>
      </c>
      <c r="BG138" s="1" t="s">
        <v>74</v>
      </c>
      <c r="BH138" s="1" t="s">
        <v>74</v>
      </c>
      <c r="BI138" s="1" t="s">
        <v>74</v>
      </c>
      <c r="BJ138" s="1" t="s">
        <v>74</v>
      </c>
      <c r="BK138" s="1" t="s">
        <v>74</v>
      </c>
      <c r="BL138" s="1" t="s">
        <v>74</v>
      </c>
      <c r="BM138" s="1" t="s">
        <v>74</v>
      </c>
      <c r="BN138" s="1">
        <v>4.0063926E7</v>
      </c>
      <c r="BO138" s="1" t="s">
        <v>74</v>
      </c>
      <c r="BP138" s="1" t="s">
        <v>74</v>
      </c>
      <c r="BQ138" s="1" t="s">
        <v>74</v>
      </c>
      <c r="BR138" s="1" t="s">
        <v>74</v>
      </c>
      <c r="BS138" s="1" t="s">
        <v>1554</v>
      </c>
      <c r="BT138" s="1" t="str">
        <f>HYPERLINK("https%3A%2F%2Fwww.webofscience.com%2Fwos%2Fwoscc%2Ffull-record%2FWOS:001460603700002","View Full Record in Web of Science")</f>
        <v>View Full Record in Web of Science</v>
      </c>
    </row>
    <row r="139" ht="12.75" customHeight="1">
      <c r="A139" s="1" t="s">
        <v>72</v>
      </c>
      <c r="B139" s="1" t="s">
        <v>1555</v>
      </c>
      <c r="C139" s="1" t="s">
        <v>74</v>
      </c>
      <c r="D139" s="1" t="s">
        <v>74</v>
      </c>
      <c r="E139" s="1" t="s">
        <v>74</v>
      </c>
      <c r="F139" s="1" t="s">
        <v>1556</v>
      </c>
      <c r="G139" s="1" t="s">
        <v>74</v>
      </c>
      <c r="H139" s="1" t="s">
        <v>74</v>
      </c>
      <c r="I139" s="1" t="s">
        <v>1557</v>
      </c>
      <c r="J139" s="1" t="s">
        <v>1558</v>
      </c>
      <c r="K139" s="1" t="s">
        <v>74</v>
      </c>
      <c r="L139" s="1" t="s">
        <v>74</v>
      </c>
      <c r="M139" s="1" t="s">
        <v>74</v>
      </c>
      <c r="N139" s="1" t="s">
        <v>74</v>
      </c>
      <c r="O139" s="1" t="s">
        <v>74</v>
      </c>
      <c r="P139" s="1" t="s">
        <v>74</v>
      </c>
      <c r="Q139" s="1" t="s">
        <v>74</v>
      </c>
      <c r="R139" s="1" t="s">
        <v>74</v>
      </c>
      <c r="S139" s="1" t="s">
        <v>74</v>
      </c>
      <c r="T139" s="1" t="s">
        <v>74</v>
      </c>
      <c r="U139" s="1" t="s">
        <v>74</v>
      </c>
      <c r="V139" s="1" t="s">
        <v>1559</v>
      </c>
      <c r="W139" s="1" t="s">
        <v>74</v>
      </c>
      <c r="X139" s="1" t="s">
        <v>74</v>
      </c>
      <c r="Y139" s="1" t="s">
        <v>74</v>
      </c>
      <c r="Z139" s="1" t="s">
        <v>74</v>
      </c>
      <c r="AA139" s="1" t="s">
        <v>1560</v>
      </c>
      <c r="AB139" s="1" t="s">
        <v>1561</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1562</v>
      </c>
      <c r="AP139" s="1" t="s">
        <v>1563</v>
      </c>
      <c r="AQ139" s="1" t="s">
        <v>74</v>
      </c>
      <c r="AR139" s="1" t="s">
        <v>74</v>
      </c>
      <c r="AS139" s="1" t="s">
        <v>74</v>
      </c>
      <c r="AT139" s="1" t="s">
        <v>1564</v>
      </c>
      <c r="AU139" s="1">
        <v>2025.0</v>
      </c>
      <c r="AV139" s="1">
        <v>416.0</v>
      </c>
      <c r="AW139" s="1" t="s">
        <v>74</v>
      </c>
      <c r="AX139" s="1">
        <v>1.0</v>
      </c>
      <c r="AY139" s="1" t="s">
        <v>74</v>
      </c>
      <c r="AZ139" s="1" t="s">
        <v>74</v>
      </c>
      <c r="BA139" s="1" t="s">
        <v>74</v>
      </c>
      <c r="BB139" s="1">
        <v>159.0</v>
      </c>
      <c r="BC139" s="1">
        <v>189.0</v>
      </c>
      <c r="BD139" s="1" t="s">
        <v>74</v>
      </c>
      <c r="BE139" s="1" t="s">
        <v>1565</v>
      </c>
      <c r="BF139" s="2" t="str">
        <f>HYPERLINK("http://dx.doi.org/10.1016/j.jde.2024.09.052","http://dx.doi.org/10.1016/j.jde.2024.09.052")</f>
        <v>http://dx.doi.org/10.1016/j.jde.2024.09.052</v>
      </c>
      <c r="BG139" s="1" t="s">
        <v>74</v>
      </c>
      <c r="BH139" s="1" t="s">
        <v>1566</v>
      </c>
      <c r="BI139" s="1" t="s">
        <v>74</v>
      </c>
      <c r="BJ139" s="1" t="s">
        <v>74</v>
      </c>
      <c r="BK139" s="1" t="s">
        <v>74</v>
      </c>
      <c r="BL139" s="1" t="s">
        <v>74</v>
      </c>
      <c r="BM139" s="1" t="s">
        <v>74</v>
      </c>
      <c r="BN139" s="1" t="s">
        <v>74</v>
      </c>
      <c r="BO139" s="1" t="s">
        <v>74</v>
      </c>
      <c r="BP139" s="1" t="s">
        <v>74</v>
      </c>
      <c r="BQ139" s="1" t="s">
        <v>74</v>
      </c>
      <c r="BR139" s="1" t="s">
        <v>74</v>
      </c>
      <c r="BS139" s="1" t="s">
        <v>1567</v>
      </c>
      <c r="BT139" s="1" t="str">
        <f>HYPERLINK("https%3A%2F%2Fwww.webofscience.com%2Fwos%2Fwoscc%2Ffull-record%2FWOS:001330762800001","View Full Record in Web of Science")</f>
        <v>View Full Record in Web of Science</v>
      </c>
    </row>
    <row r="140" ht="12.75" customHeight="1">
      <c r="A140" s="1" t="s">
        <v>72</v>
      </c>
      <c r="B140" s="1" t="s">
        <v>1568</v>
      </c>
      <c r="C140" s="1" t="s">
        <v>74</v>
      </c>
      <c r="D140" s="1" t="s">
        <v>74</v>
      </c>
      <c r="E140" s="1" t="s">
        <v>74</v>
      </c>
      <c r="F140" s="1" t="s">
        <v>1569</v>
      </c>
      <c r="G140" s="1" t="s">
        <v>74</v>
      </c>
      <c r="H140" s="1" t="s">
        <v>74</v>
      </c>
      <c r="I140" s="1" t="s">
        <v>1570</v>
      </c>
      <c r="J140" s="1" t="s">
        <v>1571</v>
      </c>
      <c r="K140" s="1" t="s">
        <v>74</v>
      </c>
      <c r="L140" s="1" t="s">
        <v>74</v>
      </c>
      <c r="M140" s="1" t="s">
        <v>74</v>
      </c>
      <c r="N140" s="1" t="s">
        <v>74</v>
      </c>
      <c r="O140" s="1" t="s">
        <v>74</v>
      </c>
      <c r="P140" s="1" t="s">
        <v>74</v>
      </c>
      <c r="Q140" s="1" t="s">
        <v>74</v>
      </c>
      <c r="R140" s="1" t="s">
        <v>74</v>
      </c>
      <c r="S140" s="1" t="s">
        <v>74</v>
      </c>
      <c r="T140" s="1" t="s">
        <v>74</v>
      </c>
      <c r="U140" s="1" t="s">
        <v>74</v>
      </c>
      <c r="V140" s="1" t="s">
        <v>1572</v>
      </c>
      <c r="W140" s="1" t="s">
        <v>74</v>
      </c>
      <c r="X140" s="1" t="s">
        <v>74</v>
      </c>
      <c r="Y140" s="1" t="s">
        <v>74</v>
      </c>
      <c r="Z140" s="1" t="s">
        <v>74</v>
      </c>
      <c r="AA140" s="1" t="s">
        <v>1573</v>
      </c>
      <c r="AB140" s="1" t="s">
        <v>1574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74</v>
      </c>
      <c r="AP140" s="1" t="s">
        <v>1575</v>
      </c>
      <c r="AQ140" s="1" t="s">
        <v>74</v>
      </c>
      <c r="AR140" s="1" t="s">
        <v>74</v>
      </c>
      <c r="AS140" s="1" t="s">
        <v>74</v>
      </c>
      <c r="AT140" s="1" t="s">
        <v>241</v>
      </c>
      <c r="AU140" s="1">
        <v>2024.0</v>
      </c>
      <c r="AV140" s="1">
        <v>16.0</v>
      </c>
      <c r="AW140" s="1">
        <v>18.0</v>
      </c>
      <c r="AX140" s="1" t="s">
        <v>74</v>
      </c>
      <c r="AY140" s="1" t="s">
        <v>74</v>
      </c>
      <c r="AZ140" s="1" t="s">
        <v>74</v>
      </c>
      <c r="BA140" s="1" t="s">
        <v>74</v>
      </c>
      <c r="BB140" s="1" t="s">
        <v>74</v>
      </c>
      <c r="BC140" s="1" t="s">
        <v>74</v>
      </c>
      <c r="BD140" s="1">
        <v>8034.0</v>
      </c>
      <c r="BE140" s="1" t="s">
        <v>1576</v>
      </c>
      <c r="BF140" s="2" t="str">
        <f>HYPERLINK("http://dx.doi.org/10.3390/su16188034","http://dx.doi.org/10.3390/su16188034")</f>
        <v>http://dx.doi.org/10.3390/su16188034</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1577</v>
      </c>
      <c r="BT140" s="1" t="str">
        <f>HYPERLINK("https%3A%2F%2Fwww.webofscience.com%2Fwos%2Fwoscc%2Ffull-record%2FWOS:001323031300001","View Full Record in Web of Science")</f>
        <v>View Full Record in Web of Science</v>
      </c>
    </row>
    <row r="141" ht="12.75" customHeight="1">
      <c r="A141" s="1" t="s">
        <v>72</v>
      </c>
      <c r="B141" s="1" t="s">
        <v>1578</v>
      </c>
      <c r="C141" s="1" t="s">
        <v>74</v>
      </c>
      <c r="D141" s="1" t="s">
        <v>74</v>
      </c>
      <c r="E141" s="1" t="s">
        <v>74</v>
      </c>
      <c r="F141" s="1" t="s">
        <v>1579</v>
      </c>
      <c r="G141" s="1" t="s">
        <v>74</v>
      </c>
      <c r="H141" s="1" t="s">
        <v>74</v>
      </c>
      <c r="I141" s="1" t="s">
        <v>1580</v>
      </c>
      <c r="J141" s="1" t="s">
        <v>1581</v>
      </c>
      <c r="K141" s="1" t="s">
        <v>74</v>
      </c>
      <c r="L141" s="1" t="s">
        <v>74</v>
      </c>
      <c r="M141" s="1" t="s">
        <v>74</v>
      </c>
      <c r="N141" s="1" t="s">
        <v>74</v>
      </c>
      <c r="O141" s="1" t="s">
        <v>74</v>
      </c>
      <c r="P141" s="1" t="s">
        <v>74</v>
      </c>
      <c r="Q141" s="1" t="s">
        <v>74</v>
      </c>
      <c r="R141" s="1" t="s">
        <v>74</v>
      </c>
      <c r="S141" s="1" t="s">
        <v>74</v>
      </c>
      <c r="T141" s="1" t="s">
        <v>74</v>
      </c>
      <c r="U141" s="1" t="s">
        <v>74</v>
      </c>
      <c r="V141" s="1" t="s">
        <v>1582</v>
      </c>
      <c r="W141" s="1" t="s">
        <v>74</v>
      </c>
      <c r="X141" s="1" t="s">
        <v>74</v>
      </c>
      <c r="Y141" s="1" t="s">
        <v>74</v>
      </c>
      <c r="Z141" s="1" t="s">
        <v>74</v>
      </c>
      <c r="AA141" s="1" t="s">
        <v>1583</v>
      </c>
      <c r="AB141" s="1" t="s">
        <v>1584</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1585</v>
      </c>
      <c r="AP141" s="1" t="s">
        <v>74</v>
      </c>
      <c r="AQ141" s="1" t="s">
        <v>74</v>
      </c>
      <c r="AR141" s="1" t="s">
        <v>74</v>
      </c>
      <c r="AS141" s="1" t="s">
        <v>74</v>
      </c>
      <c r="AT141" s="1" t="s">
        <v>822</v>
      </c>
      <c r="AU141" s="1">
        <v>2024.0</v>
      </c>
      <c r="AV141" s="1">
        <v>49.0</v>
      </c>
      <c r="AW141" s="1">
        <v>1.0</v>
      </c>
      <c r="AX141" s="1" t="s">
        <v>74</v>
      </c>
      <c r="AY141" s="1" t="s">
        <v>74</v>
      </c>
      <c r="AZ141" s="1" t="s">
        <v>74</v>
      </c>
      <c r="BA141" s="1" t="s">
        <v>74</v>
      </c>
      <c r="BB141" s="1">
        <v>8.0</v>
      </c>
      <c r="BC141" s="1">
        <v>18.0</v>
      </c>
      <c r="BD141" s="1" t="s">
        <v>74</v>
      </c>
      <c r="BE141" s="1" t="s">
        <v>74</v>
      </c>
      <c r="BF141" s="1" t="s">
        <v>74</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1586</v>
      </c>
      <c r="BT141" s="1" t="str">
        <f>HYPERLINK("https%3A%2F%2Fwww.webofscience.com%2Fwos%2Fwoscc%2Ffull-record%2FWOS:001163316600006","View Full Record in Web of Science")</f>
        <v>View Full Record in Web of Science</v>
      </c>
    </row>
    <row r="142" ht="12.75" customHeight="1">
      <c r="A142" s="1" t="s">
        <v>72</v>
      </c>
      <c r="B142" s="1" t="s">
        <v>1587</v>
      </c>
      <c r="C142" s="1" t="s">
        <v>74</v>
      </c>
      <c r="D142" s="1" t="s">
        <v>74</v>
      </c>
      <c r="E142" s="1" t="s">
        <v>74</v>
      </c>
      <c r="F142" s="1" t="s">
        <v>1588</v>
      </c>
      <c r="G142" s="1" t="s">
        <v>74</v>
      </c>
      <c r="H142" s="1" t="s">
        <v>74</v>
      </c>
      <c r="I142" s="1" t="s">
        <v>1589</v>
      </c>
      <c r="J142" s="1" t="s">
        <v>1590</v>
      </c>
      <c r="K142" s="1" t="s">
        <v>74</v>
      </c>
      <c r="L142" s="1" t="s">
        <v>74</v>
      </c>
      <c r="M142" s="1" t="s">
        <v>74</v>
      </c>
      <c r="N142" s="1" t="s">
        <v>74</v>
      </c>
      <c r="O142" s="1" t="s">
        <v>74</v>
      </c>
      <c r="P142" s="1" t="s">
        <v>74</v>
      </c>
      <c r="Q142" s="1" t="s">
        <v>74</v>
      </c>
      <c r="R142" s="1" t="s">
        <v>74</v>
      </c>
      <c r="S142" s="1" t="s">
        <v>74</v>
      </c>
      <c r="T142" s="1" t="s">
        <v>74</v>
      </c>
      <c r="U142" s="1" t="s">
        <v>74</v>
      </c>
      <c r="V142" s="1" t="s">
        <v>1591</v>
      </c>
      <c r="W142" s="1" t="s">
        <v>74</v>
      </c>
      <c r="X142" s="1" t="s">
        <v>74</v>
      </c>
      <c r="Y142" s="1" t="s">
        <v>74</v>
      </c>
      <c r="Z142" s="1" t="s">
        <v>74</v>
      </c>
      <c r="AA142" s="1" t="s">
        <v>1592</v>
      </c>
      <c r="AB142" s="1" t="s">
        <v>1593</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74</v>
      </c>
      <c r="AP142" s="1" t="s">
        <v>1594</v>
      </c>
      <c r="AQ142" s="1" t="s">
        <v>74</v>
      </c>
      <c r="AR142" s="1" t="s">
        <v>74</v>
      </c>
      <c r="AS142" s="1" t="s">
        <v>74</v>
      </c>
      <c r="AT142" s="1" t="s">
        <v>83</v>
      </c>
      <c r="AU142" s="1">
        <v>2023.0</v>
      </c>
      <c r="AV142" s="1">
        <v>13.0</v>
      </c>
      <c r="AW142" s="1">
        <v>24.0</v>
      </c>
      <c r="AX142" s="1" t="s">
        <v>74</v>
      </c>
      <c r="AY142" s="1" t="s">
        <v>74</v>
      </c>
      <c r="AZ142" s="1" t="s">
        <v>74</v>
      </c>
      <c r="BA142" s="1" t="s">
        <v>74</v>
      </c>
      <c r="BB142" s="1" t="s">
        <v>74</v>
      </c>
      <c r="BC142" s="1" t="s">
        <v>74</v>
      </c>
      <c r="BD142" s="1">
        <v>3115.0</v>
      </c>
      <c r="BE142" s="1" t="s">
        <v>1595</v>
      </c>
      <c r="BF142" s="2" t="str">
        <f>HYPERLINK("http://dx.doi.org/10.3390/nano13243115","http://dx.doi.org/10.3390/nano13243115")</f>
        <v>http://dx.doi.org/10.3390/nano13243115</v>
      </c>
      <c r="BG142" s="1" t="s">
        <v>74</v>
      </c>
      <c r="BH142" s="1" t="s">
        <v>74</v>
      </c>
      <c r="BI142" s="1" t="s">
        <v>74</v>
      </c>
      <c r="BJ142" s="1" t="s">
        <v>74</v>
      </c>
      <c r="BK142" s="1" t="s">
        <v>74</v>
      </c>
      <c r="BL142" s="1" t="s">
        <v>74</v>
      </c>
      <c r="BM142" s="1" t="s">
        <v>74</v>
      </c>
      <c r="BN142" s="1">
        <v>3.8133012E7</v>
      </c>
      <c r="BO142" s="1" t="s">
        <v>74</v>
      </c>
      <c r="BP142" s="1" t="s">
        <v>74</v>
      </c>
      <c r="BQ142" s="1" t="s">
        <v>74</v>
      </c>
      <c r="BR142" s="1" t="s">
        <v>74</v>
      </c>
      <c r="BS142" s="1" t="s">
        <v>1596</v>
      </c>
      <c r="BT142" s="1" t="str">
        <f>HYPERLINK("https%3A%2F%2Fwww.webofscience.com%2Fwos%2Fwoscc%2Ffull-record%2FWOS:001131943000001","View Full Record in Web of Science")</f>
        <v>View Full Record in Web of Science</v>
      </c>
    </row>
    <row r="143" ht="12.75" customHeight="1">
      <c r="A143" s="1" t="s">
        <v>72</v>
      </c>
      <c r="B143" s="1" t="s">
        <v>1597</v>
      </c>
      <c r="C143" s="1" t="s">
        <v>74</v>
      </c>
      <c r="D143" s="1" t="s">
        <v>74</v>
      </c>
      <c r="E143" s="1" t="s">
        <v>74</v>
      </c>
      <c r="F143" s="1" t="s">
        <v>1598</v>
      </c>
      <c r="G143" s="1" t="s">
        <v>74</v>
      </c>
      <c r="H143" s="1" t="s">
        <v>74</v>
      </c>
      <c r="I143" s="1" t="s">
        <v>1599</v>
      </c>
      <c r="J143" s="1" t="s">
        <v>1600</v>
      </c>
      <c r="K143" s="1" t="s">
        <v>74</v>
      </c>
      <c r="L143" s="1" t="s">
        <v>74</v>
      </c>
      <c r="M143" s="1" t="s">
        <v>74</v>
      </c>
      <c r="N143" s="1" t="s">
        <v>74</v>
      </c>
      <c r="O143" s="1" t="s">
        <v>74</v>
      </c>
      <c r="P143" s="1" t="s">
        <v>74</v>
      </c>
      <c r="Q143" s="1" t="s">
        <v>74</v>
      </c>
      <c r="R143" s="1" t="s">
        <v>74</v>
      </c>
      <c r="S143" s="1" t="s">
        <v>74</v>
      </c>
      <c r="T143" s="1" t="s">
        <v>74</v>
      </c>
      <c r="U143" s="1" t="s">
        <v>74</v>
      </c>
      <c r="V143" s="1" t="s">
        <v>1601</v>
      </c>
      <c r="W143" s="1" t="s">
        <v>74</v>
      </c>
      <c r="X143" s="1" t="s">
        <v>74</v>
      </c>
      <c r="Y143" s="1" t="s">
        <v>74</v>
      </c>
      <c r="Z143" s="1" t="s">
        <v>74</v>
      </c>
      <c r="AA143" s="1" t="s">
        <v>897</v>
      </c>
      <c r="AB143" s="1" t="s">
        <v>1412</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1602</v>
      </c>
      <c r="AP143" s="1" t="s">
        <v>1603</v>
      </c>
      <c r="AQ143" s="1" t="s">
        <v>74</v>
      </c>
      <c r="AR143" s="1" t="s">
        <v>74</v>
      </c>
      <c r="AS143" s="1" t="s">
        <v>74</v>
      </c>
      <c r="AT143" s="1" t="s">
        <v>94</v>
      </c>
      <c r="AU143" s="1">
        <v>2023.0</v>
      </c>
      <c r="AV143" s="1">
        <v>39.0</v>
      </c>
      <c r="AW143" s="1" t="s">
        <v>74</v>
      </c>
      <c r="AX143" s="1" t="s">
        <v>74</v>
      </c>
      <c r="AY143" s="1" t="s">
        <v>74</v>
      </c>
      <c r="AZ143" s="1" t="s">
        <v>74</v>
      </c>
      <c r="BA143" s="1" t="s">
        <v>74</v>
      </c>
      <c r="BB143" s="1" t="s">
        <v>74</v>
      </c>
      <c r="BC143" s="1" t="s">
        <v>74</v>
      </c>
      <c r="BD143" s="1">
        <v>100538.0</v>
      </c>
      <c r="BE143" s="1" t="s">
        <v>1604</v>
      </c>
      <c r="BF143" s="2" t="str">
        <f>HYPERLINK("http://dx.doi.org/10.1016/j.edurev.2023.100538","http://dx.doi.org/10.1016/j.edurev.2023.100538")</f>
        <v>http://dx.doi.org/10.1016/j.edurev.2023.100538</v>
      </c>
      <c r="BG143" s="1" t="s">
        <v>74</v>
      </c>
      <c r="BH143" s="1" t="s">
        <v>1605</v>
      </c>
      <c r="BI143" s="1" t="s">
        <v>74</v>
      </c>
      <c r="BJ143" s="1" t="s">
        <v>74</v>
      </c>
      <c r="BK143" s="1" t="s">
        <v>74</v>
      </c>
      <c r="BL143" s="1" t="s">
        <v>74</v>
      </c>
      <c r="BM143" s="1" t="s">
        <v>74</v>
      </c>
      <c r="BN143" s="1" t="s">
        <v>74</v>
      </c>
      <c r="BO143" s="1" t="s">
        <v>74</v>
      </c>
      <c r="BP143" s="1" t="s">
        <v>74</v>
      </c>
      <c r="BQ143" s="1" t="s">
        <v>74</v>
      </c>
      <c r="BR143" s="1" t="s">
        <v>74</v>
      </c>
      <c r="BS143" s="1" t="s">
        <v>1606</v>
      </c>
      <c r="BT143" s="1" t="str">
        <f>HYPERLINK("https%3A%2F%2Fwww.webofscience.com%2Fwos%2Fwoscc%2Ffull-record%2FWOS:001009476000001","View Full Record in Web of Science")</f>
        <v>View Full Record in Web of Science</v>
      </c>
    </row>
    <row r="144" ht="12.75" customHeight="1">
      <c r="A144" s="1" t="s">
        <v>72</v>
      </c>
      <c r="B144" s="1" t="s">
        <v>1607</v>
      </c>
      <c r="C144" s="1" t="s">
        <v>74</v>
      </c>
      <c r="D144" s="1" t="s">
        <v>74</v>
      </c>
      <c r="E144" s="1" t="s">
        <v>74</v>
      </c>
      <c r="F144" s="1" t="s">
        <v>1608</v>
      </c>
      <c r="G144" s="1" t="s">
        <v>74</v>
      </c>
      <c r="H144" s="1" t="s">
        <v>74</v>
      </c>
      <c r="I144" s="1" t="s">
        <v>1609</v>
      </c>
      <c r="J144" s="1" t="s">
        <v>1610</v>
      </c>
      <c r="K144" s="1" t="s">
        <v>74</v>
      </c>
      <c r="L144" s="1" t="s">
        <v>74</v>
      </c>
      <c r="M144" s="1" t="s">
        <v>74</v>
      </c>
      <c r="N144" s="1" t="s">
        <v>74</v>
      </c>
      <c r="O144" s="1" t="s">
        <v>74</v>
      </c>
      <c r="P144" s="1" t="s">
        <v>74</v>
      </c>
      <c r="Q144" s="1" t="s">
        <v>74</v>
      </c>
      <c r="R144" s="1" t="s">
        <v>74</v>
      </c>
      <c r="S144" s="1" t="s">
        <v>74</v>
      </c>
      <c r="T144" s="1" t="s">
        <v>74</v>
      </c>
      <c r="U144" s="1" t="s">
        <v>74</v>
      </c>
      <c r="V144" s="1" t="s">
        <v>1611</v>
      </c>
      <c r="W144" s="1" t="s">
        <v>74</v>
      </c>
      <c r="X144" s="1" t="s">
        <v>74</v>
      </c>
      <c r="Y144" s="1" t="s">
        <v>74</v>
      </c>
      <c r="Z144" s="1" t="s">
        <v>74</v>
      </c>
      <c r="AA144" s="1" t="s">
        <v>1612</v>
      </c>
      <c r="AB144" s="1" t="s">
        <v>1613</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1614</v>
      </c>
      <c r="AP144" s="1" t="s">
        <v>1615</v>
      </c>
      <c r="AQ144" s="1" t="s">
        <v>74</v>
      </c>
      <c r="AR144" s="1" t="s">
        <v>74</v>
      </c>
      <c r="AS144" s="1" t="s">
        <v>74</v>
      </c>
      <c r="AT144" s="1" t="s">
        <v>822</v>
      </c>
      <c r="AU144" s="1">
        <v>2023.0</v>
      </c>
      <c r="AV144" s="1">
        <v>242.0</v>
      </c>
      <c r="AW144" s="1" t="s">
        <v>74</v>
      </c>
      <c r="AX144" s="1" t="s">
        <v>74</v>
      </c>
      <c r="AY144" s="1" t="s">
        <v>74</v>
      </c>
      <c r="AZ144" s="1" t="s">
        <v>74</v>
      </c>
      <c r="BA144" s="1" t="s">
        <v>74</v>
      </c>
      <c r="BB144" s="1" t="s">
        <v>74</v>
      </c>
      <c r="BC144" s="1" t="s">
        <v>74</v>
      </c>
      <c r="BD144" s="1">
        <v>105994.0</v>
      </c>
      <c r="BE144" s="1" t="s">
        <v>1616</v>
      </c>
      <c r="BF144" s="2" t="str">
        <f>HYPERLINK("http://dx.doi.org/10.1016/j.jastp.2022.105994","http://dx.doi.org/10.1016/j.jastp.2022.105994")</f>
        <v>http://dx.doi.org/10.1016/j.jastp.2022.105994</v>
      </c>
      <c r="BG144" s="1" t="s">
        <v>74</v>
      </c>
      <c r="BH144" s="1" t="s">
        <v>1617</v>
      </c>
      <c r="BI144" s="1" t="s">
        <v>74</v>
      </c>
      <c r="BJ144" s="1" t="s">
        <v>74</v>
      </c>
      <c r="BK144" s="1" t="s">
        <v>74</v>
      </c>
      <c r="BL144" s="1" t="s">
        <v>74</v>
      </c>
      <c r="BM144" s="1" t="s">
        <v>74</v>
      </c>
      <c r="BN144" s="1" t="s">
        <v>74</v>
      </c>
      <c r="BO144" s="1" t="s">
        <v>74</v>
      </c>
      <c r="BP144" s="1" t="s">
        <v>74</v>
      </c>
      <c r="BQ144" s="1" t="s">
        <v>74</v>
      </c>
      <c r="BR144" s="1" t="s">
        <v>74</v>
      </c>
      <c r="BS144" s="1" t="s">
        <v>1618</v>
      </c>
      <c r="BT144" s="1" t="str">
        <f>HYPERLINK("https%3A%2F%2Fwww.webofscience.com%2Fwos%2Fwoscc%2Ffull-record%2FWOS:000897610600001","View Full Record in Web of Science")</f>
        <v>View Full Record in Web of Science</v>
      </c>
    </row>
    <row r="145" ht="12.75" customHeight="1">
      <c r="A145" s="1" t="s">
        <v>72</v>
      </c>
      <c r="B145" s="1" t="s">
        <v>1619</v>
      </c>
      <c r="C145" s="1" t="s">
        <v>74</v>
      </c>
      <c r="D145" s="1" t="s">
        <v>74</v>
      </c>
      <c r="E145" s="1" t="s">
        <v>74</v>
      </c>
      <c r="F145" s="1" t="s">
        <v>1620</v>
      </c>
      <c r="G145" s="1" t="s">
        <v>74</v>
      </c>
      <c r="H145" s="1" t="s">
        <v>74</v>
      </c>
      <c r="I145" s="1" t="s">
        <v>1621</v>
      </c>
      <c r="J145" s="1" t="s">
        <v>1622</v>
      </c>
      <c r="K145" s="1" t="s">
        <v>74</v>
      </c>
      <c r="L145" s="1" t="s">
        <v>74</v>
      </c>
      <c r="M145" s="1" t="s">
        <v>74</v>
      </c>
      <c r="N145" s="1" t="s">
        <v>74</v>
      </c>
      <c r="O145" s="1" t="s">
        <v>74</v>
      </c>
      <c r="P145" s="1" t="s">
        <v>74</v>
      </c>
      <c r="Q145" s="1" t="s">
        <v>74</v>
      </c>
      <c r="R145" s="1" t="s">
        <v>74</v>
      </c>
      <c r="S145" s="1" t="s">
        <v>74</v>
      </c>
      <c r="T145" s="1" t="s">
        <v>74</v>
      </c>
      <c r="U145" s="1" t="s">
        <v>74</v>
      </c>
      <c r="V145" s="1" t="s">
        <v>1623</v>
      </c>
      <c r="W145" s="1" t="s">
        <v>74</v>
      </c>
      <c r="X145" s="1" t="s">
        <v>74</v>
      </c>
      <c r="Y145" s="1" t="s">
        <v>74</v>
      </c>
      <c r="Z145" s="1" t="s">
        <v>74</v>
      </c>
      <c r="AA145" s="1" t="s">
        <v>1624</v>
      </c>
      <c r="AB145" s="1" t="s">
        <v>1625</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1626</v>
      </c>
      <c r="AP145" s="1" t="s">
        <v>1627</v>
      </c>
      <c r="AQ145" s="1" t="s">
        <v>74</v>
      </c>
      <c r="AR145" s="1" t="s">
        <v>74</v>
      </c>
      <c r="AS145" s="1" t="s">
        <v>74</v>
      </c>
      <c r="AT145" s="1" t="s">
        <v>151</v>
      </c>
      <c r="AU145" s="1">
        <v>2022.0</v>
      </c>
      <c r="AV145" s="1">
        <v>23.0</v>
      </c>
      <c r="AW145" s="1">
        <v>19.0</v>
      </c>
      <c r="AX145" s="1" t="s">
        <v>74</v>
      </c>
      <c r="AY145" s="1" t="s">
        <v>74</v>
      </c>
      <c r="AZ145" s="1" t="s">
        <v>74</v>
      </c>
      <c r="BA145" s="1" t="s">
        <v>74</v>
      </c>
      <c r="BB145" s="1" t="s">
        <v>74</v>
      </c>
      <c r="BC145" s="1" t="s">
        <v>74</v>
      </c>
      <c r="BD145" s="1">
        <v>11965.0</v>
      </c>
      <c r="BE145" s="1" t="s">
        <v>1628</v>
      </c>
      <c r="BF145" s="2" t="str">
        <f>HYPERLINK("http://dx.doi.org/10.3390/ijms231911965","http://dx.doi.org/10.3390/ijms231911965")</f>
        <v>http://dx.doi.org/10.3390/ijms231911965</v>
      </c>
      <c r="BG145" s="1" t="s">
        <v>74</v>
      </c>
      <c r="BH145" s="1" t="s">
        <v>74</v>
      </c>
      <c r="BI145" s="1" t="s">
        <v>74</v>
      </c>
      <c r="BJ145" s="1" t="s">
        <v>74</v>
      </c>
      <c r="BK145" s="1" t="s">
        <v>74</v>
      </c>
      <c r="BL145" s="1" t="s">
        <v>74</v>
      </c>
      <c r="BM145" s="1" t="s">
        <v>74</v>
      </c>
      <c r="BN145" s="1">
        <v>3.6233268E7</v>
      </c>
      <c r="BO145" s="1" t="s">
        <v>74</v>
      </c>
      <c r="BP145" s="1" t="s">
        <v>74</v>
      </c>
      <c r="BQ145" s="1" t="s">
        <v>74</v>
      </c>
      <c r="BR145" s="1" t="s">
        <v>74</v>
      </c>
      <c r="BS145" s="1" t="s">
        <v>1629</v>
      </c>
      <c r="BT145" s="1" t="str">
        <f>HYPERLINK("https%3A%2F%2Fwww.webofscience.com%2Fwos%2Fwoscc%2Ffull-record%2FWOS:000867718000001","View Full Record in Web of Science")</f>
        <v>View Full Record in Web of Science</v>
      </c>
    </row>
    <row r="146" ht="12.75" customHeight="1">
      <c r="A146" s="1" t="s">
        <v>72</v>
      </c>
      <c r="B146" s="1" t="s">
        <v>1630</v>
      </c>
      <c r="C146" s="1" t="s">
        <v>74</v>
      </c>
      <c r="D146" s="1" t="s">
        <v>74</v>
      </c>
      <c r="E146" s="1" t="s">
        <v>74</v>
      </c>
      <c r="F146" s="1" t="s">
        <v>1631</v>
      </c>
      <c r="G146" s="1" t="s">
        <v>74</v>
      </c>
      <c r="H146" s="1" t="s">
        <v>74</v>
      </c>
      <c r="I146" s="1" t="s">
        <v>1632</v>
      </c>
      <c r="J146" s="1" t="s">
        <v>1633</v>
      </c>
      <c r="K146" s="1" t="s">
        <v>74</v>
      </c>
      <c r="L146" s="1" t="s">
        <v>74</v>
      </c>
      <c r="M146" s="1" t="s">
        <v>74</v>
      </c>
      <c r="N146" s="1" t="s">
        <v>74</v>
      </c>
      <c r="O146" s="1" t="s">
        <v>74</v>
      </c>
      <c r="P146" s="1" t="s">
        <v>74</v>
      </c>
      <c r="Q146" s="1" t="s">
        <v>74</v>
      </c>
      <c r="R146" s="1" t="s">
        <v>74</v>
      </c>
      <c r="S146" s="1" t="s">
        <v>74</v>
      </c>
      <c r="T146" s="1" t="s">
        <v>74</v>
      </c>
      <c r="U146" s="1" t="s">
        <v>74</v>
      </c>
      <c r="V146" s="1" t="s">
        <v>1634</v>
      </c>
      <c r="W146" s="1" t="s">
        <v>74</v>
      </c>
      <c r="X146" s="1" t="s">
        <v>74</v>
      </c>
      <c r="Y146" s="1" t="s">
        <v>74</v>
      </c>
      <c r="Z146" s="1" t="s">
        <v>74</v>
      </c>
      <c r="AA146" s="1" t="s">
        <v>1635</v>
      </c>
      <c r="AB146" s="1" t="s">
        <v>1636</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1637</v>
      </c>
      <c r="AP146" s="1" t="s">
        <v>74</v>
      </c>
      <c r="AQ146" s="1" t="s">
        <v>74</v>
      </c>
      <c r="AR146" s="1" t="s">
        <v>74</v>
      </c>
      <c r="AS146" s="1" t="s">
        <v>74</v>
      </c>
      <c r="AT146" s="1" t="s">
        <v>974</v>
      </c>
      <c r="AU146" s="1">
        <v>2022.0</v>
      </c>
      <c r="AV146" s="1">
        <v>58.0</v>
      </c>
      <c r="AW146" s="1" t="s">
        <v>74</v>
      </c>
      <c r="AX146" s="1" t="s">
        <v>74</v>
      </c>
      <c r="AY146" s="1" t="s">
        <v>74</v>
      </c>
      <c r="AZ146" s="1" t="s">
        <v>74</v>
      </c>
      <c r="BA146" s="1" t="s">
        <v>74</v>
      </c>
      <c r="BB146" s="1">
        <v>70.0</v>
      </c>
      <c r="BC146" s="1">
        <v>81.0</v>
      </c>
      <c r="BD146" s="1" t="s">
        <v>74</v>
      </c>
      <c r="BE146" s="1" t="s">
        <v>1638</v>
      </c>
      <c r="BF146" s="2" t="str">
        <f>HYPERLINK("http://dx.doi.org/10.1016/j.ejbt.2022.05.003","http://dx.doi.org/10.1016/j.ejbt.2022.05.003")</f>
        <v>http://dx.doi.org/10.1016/j.ejbt.2022.05.003</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1639</v>
      </c>
      <c r="BT146" s="1" t="str">
        <f>HYPERLINK("https%3A%2F%2Fwww.webofscience.com%2Fwos%2Fwoscc%2Ffull-record%2FWOS:000824683200003","View Full Record in Web of Science")</f>
        <v>View Full Record in Web of Science</v>
      </c>
    </row>
    <row r="147" ht="12.75" customHeight="1">
      <c r="A147" s="1" t="s">
        <v>72</v>
      </c>
      <c r="B147" s="1" t="s">
        <v>1640</v>
      </c>
      <c r="C147" s="1" t="s">
        <v>74</v>
      </c>
      <c r="D147" s="1" t="s">
        <v>74</v>
      </c>
      <c r="E147" s="1" t="s">
        <v>74</v>
      </c>
      <c r="F147" s="1" t="s">
        <v>1641</v>
      </c>
      <c r="G147" s="1" t="s">
        <v>74</v>
      </c>
      <c r="H147" s="1" t="s">
        <v>74</v>
      </c>
      <c r="I147" s="1" t="s">
        <v>1642</v>
      </c>
      <c r="J147" s="1" t="s">
        <v>1643</v>
      </c>
      <c r="K147" s="1" t="s">
        <v>74</v>
      </c>
      <c r="L147" s="1" t="s">
        <v>74</v>
      </c>
      <c r="M147" s="1" t="s">
        <v>74</v>
      </c>
      <c r="N147" s="1" t="s">
        <v>74</v>
      </c>
      <c r="O147" s="1" t="s">
        <v>74</v>
      </c>
      <c r="P147" s="1" t="s">
        <v>74</v>
      </c>
      <c r="Q147" s="1" t="s">
        <v>74</v>
      </c>
      <c r="R147" s="1" t="s">
        <v>74</v>
      </c>
      <c r="S147" s="1" t="s">
        <v>74</v>
      </c>
      <c r="T147" s="1" t="s">
        <v>74</v>
      </c>
      <c r="U147" s="1" t="s">
        <v>74</v>
      </c>
      <c r="V147" s="1" t="s">
        <v>1644</v>
      </c>
      <c r="W147" s="1" t="s">
        <v>74</v>
      </c>
      <c r="X147" s="1" t="s">
        <v>74</v>
      </c>
      <c r="Y147" s="1" t="s">
        <v>74</v>
      </c>
      <c r="Z147" s="1" t="s">
        <v>74</v>
      </c>
      <c r="AA147" s="1" t="s">
        <v>1645</v>
      </c>
      <c r="AB147" s="1" t="s">
        <v>1646</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1647</v>
      </c>
      <c r="AP147" s="1" t="s">
        <v>74</v>
      </c>
      <c r="AQ147" s="1" t="s">
        <v>74</v>
      </c>
      <c r="AR147" s="1" t="s">
        <v>74</v>
      </c>
      <c r="AS147" s="1" t="s">
        <v>74</v>
      </c>
      <c r="AT147" s="1" t="s">
        <v>83</v>
      </c>
      <c r="AU147" s="1">
        <v>2021.0</v>
      </c>
      <c r="AV147" s="1">
        <v>12.0</v>
      </c>
      <c r="AW147" s="1" t="s">
        <v>74</v>
      </c>
      <c r="AX147" s="1" t="s">
        <v>74</v>
      </c>
      <c r="AY147" s="1" t="s">
        <v>74</v>
      </c>
      <c r="AZ147" s="1" t="s">
        <v>74</v>
      </c>
      <c r="BA147" s="1" t="s">
        <v>74</v>
      </c>
      <c r="BB147" s="1" t="s">
        <v>74</v>
      </c>
      <c r="BC147" s="1" t="s">
        <v>74</v>
      </c>
      <c r="BD147" s="1">
        <v>100286.0</v>
      </c>
      <c r="BE147" s="1" t="s">
        <v>1648</v>
      </c>
      <c r="BF147" s="2" t="str">
        <f>HYPERLINK("http://dx.doi.org/10.1016/j.rineng.2021.100286","http://dx.doi.org/10.1016/j.rineng.2021.100286")</f>
        <v>http://dx.doi.org/10.1016/j.rineng.2021.100286</v>
      </c>
      <c r="BG147" s="1" t="s">
        <v>74</v>
      </c>
      <c r="BH147" s="1" t="s">
        <v>1649</v>
      </c>
      <c r="BI147" s="1" t="s">
        <v>74</v>
      </c>
      <c r="BJ147" s="1" t="s">
        <v>74</v>
      </c>
      <c r="BK147" s="1" t="s">
        <v>74</v>
      </c>
      <c r="BL147" s="1" t="s">
        <v>74</v>
      </c>
      <c r="BM147" s="1" t="s">
        <v>74</v>
      </c>
      <c r="BN147" s="1" t="s">
        <v>74</v>
      </c>
      <c r="BO147" s="1" t="s">
        <v>74</v>
      </c>
      <c r="BP147" s="1" t="s">
        <v>74</v>
      </c>
      <c r="BQ147" s="1" t="s">
        <v>74</v>
      </c>
      <c r="BR147" s="1" t="s">
        <v>74</v>
      </c>
      <c r="BS147" s="1" t="s">
        <v>1650</v>
      </c>
      <c r="BT147" s="1" t="str">
        <f>HYPERLINK("https%3A%2F%2Fwww.webofscience.com%2Fwos%2Fwoscc%2Ffull-record%2FWOS:000746595000002","View Full Record in Web of Science")</f>
        <v>View Full Record in Web of Science</v>
      </c>
    </row>
    <row r="148" ht="12.75" customHeight="1">
      <c r="A148" s="1" t="s">
        <v>72</v>
      </c>
      <c r="B148" s="1" t="s">
        <v>1651</v>
      </c>
      <c r="C148" s="1" t="s">
        <v>74</v>
      </c>
      <c r="D148" s="1" t="s">
        <v>74</v>
      </c>
      <c r="E148" s="1" t="s">
        <v>74</v>
      </c>
      <c r="F148" s="1" t="s">
        <v>1652</v>
      </c>
      <c r="G148" s="1" t="s">
        <v>74</v>
      </c>
      <c r="H148" s="1" t="s">
        <v>74</v>
      </c>
      <c r="I148" s="1" t="s">
        <v>1653</v>
      </c>
      <c r="J148" s="1" t="s">
        <v>1654</v>
      </c>
      <c r="K148" s="1" t="s">
        <v>74</v>
      </c>
      <c r="L148" s="1" t="s">
        <v>74</v>
      </c>
      <c r="M148" s="1" t="s">
        <v>74</v>
      </c>
      <c r="N148" s="1" t="s">
        <v>74</v>
      </c>
      <c r="O148" s="1" t="s">
        <v>74</v>
      </c>
      <c r="P148" s="1" t="s">
        <v>74</v>
      </c>
      <c r="Q148" s="1" t="s">
        <v>74</v>
      </c>
      <c r="R148" s="1" t="s">
        <v>74</v>
      </c>
      <c r="S148" s="1" t="s">
        <v>74</v>
      </c>
      <c r="T148" s="1" t="s">
        <v>74</v>
      </c>
      <c r="U148" s="1" t="s">
        <v>74</v>
      </c>
      <c r="V148" s="1" t="s">
        <v>1655</v>
      </c>
      <c r="W148" s="1" t="s">
        <v>74</v>
      </c>
      <c r="X148" s="1" t="s">
        <v>74</v>
      </c>
      <c r="Y148" s="1" t="s">
        <v>74</v>
      </c>
      <c r="Z148" s="1" t="s">
        <v>74</v>
      </c>
      <c r="AA148" s="1" t="s">
        <v>1656</v>
      </c>
      <c r="AB148" s="1" t="s">
        <v>1657</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1658</v>
      </c>
      <c r="AP148" s="1" t="s">
        <v>1659</v>
      </c>
      <c r="AQ148" s="1" t="s">
        <v>74</v>
      </c>
      <c r="AR148" s="1" t="s">
        <v>74</v>
      </c>
      <c r="AS148" s="1" t="s">
        <v>74</v>
      </c>
      <c r="AT148" s="1" t="s">
        <v>241</v>
      </c>
      <c r="AU148" s="1">
        <v>2021.0</v>
      </c>
      <c r="AV148" s="1">
        <v>30.0</v>
      </c>
      <c r="AW148" s="1">
        <v>5.0</v>
      </c>
      <c r="AX148" s="1" t="s">
        <v>74</v>
      </c>
      <c r="AY148" s="1" t="s">
        <v>74</v>
      </c>
      <c r="AZ148" s="1" t="s">
        <v>74</v>
      </c>
      <c r="BA148" s="1" t="s">
        <v>74</v>
      </c>
      <c r="BB148" s="1">
        <v>722.0</v>
      </c>
      <c r="BC148" s="1">
        <v>740.0</v>
      </c>
      <c r="BD148" s="1" t="s">
        <v>74</v>
      </c>
      <c r="BE148" s="1" t="s">
        <v>1660</v>
      </c>
      <c r="BF148" s="2" t="str">
        <f>HYPERLINK("http://dx.doi.org/10.1017/S0963548320000383","http://dx.doi.org/10.1017/S0963548320000383")</f>
        <v>http://dx.doi.org/10.1017/S0963548320000383</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1661</v>
      </c>
      <c r="BT148" s="1" t="str">
        <f>HYPERLINK("https%3A%2F%2Fwww.webofscience.com%2Fwos%2Fwoscc%2Ffull-record%2FWOS:000753893300004","View Full Record in Web of Science")</f>
        <v>View Full Record in Web of Science</v>
      </c>
    </row>
    <row r="149" ht="12.75" customHeight="1">
      <c r="A149" s="1" t="s">
        <v>72</v>
      </c>
      <c r="B149" s="1" t="s">
        <v>1662</v>
      </c>
      <c r="C149" s="1" t="s">
        <v>74</v>
      </c>
      <c r="D149" s="1" t="s">
        <v>74</v>
      </c>
      <c r="E149" s="1" t="s">
        <v>74</v>
      </c>
      <c r="F149" s="1" t="s">
        <v>1663</v>
      </c>
      <c r="G149" s="1" t="s">
        <v>74</v>
      </c>
      <c r="H149" s="1" t="s">
        <v>74</v>
      </c>
      <c r="I149" s="1" t="s">
        <v>1664</v>
      </c>
      <c r="J149" s="1" t="s">
        <v>1665</v>
      </c>
      <c r="K149" s="1" t="s">
        <v>74</v>
      </c>
      <c r="L149" s="1" t="s">
        <v>74</v>
      </c>
      <c r="M149" s="1" t="s">
        <v>74</v>
      </c>
      <c r="N149" s="1" t="s">
        <v>74</v>
      </c>
      <c r="O149" s="1" t="s">
        <v>74</v>
      </c>
      <c r="P149" s="1" t="s">
        <v>74</v>
      </c>
      <c r="Q149" s="1" t="s">
        <v>74</v>
      </c>
      <c r="R149" s="1" t="s">
        <v>74</v>
      </c>
      <c r="S149" s="1" t="s">
        <v>74</v>
      </c>
      <c r="T149" s="1" t="s">
        <v>74</v>
      </c>
      <c r="U149" s="1" t="s">
        <v>74</v>
      </c>
      <c r="V149" s="1" t="s">
        <v>1666</v>
      </c>
      <c r="W149" s="1" t="s">
        <v>74</v>
      </c>
      <c r="X149" s="1" t="s">
        <v>74</v>
      </c>
      <c r="Y149" s="1" t="s">
        <v>74</v>
      </c>
      <c r="Z149" s="1" t="s">
        <v>74</v>
      </c>
      <c r="AA149" s="1" t="s">
        <v>1667</v>
      </c>
      <c r="AB149" s="1" t="s">
        <v>1668</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1669</v>
      </c>
      <c r="AP149" s="1" t="s">
        <v>1670</v>
      </c>
      <c r="AQ149" s="1" t="s">
        <v>74</v>
      </c>
      <c r="AR149" s="1" t="s">
        <v>74</v>
      </c>
      <c r="AS149" s="1" t="s">
        <v>74</v>
      </c>
      <c r="AT149" s="1" t="s">
        <v>1082</v>
      </c>
      <c r="AU149" s="1">
        <v>2020.0</v>
      </c>
      <c r="AV149" s="1">
        <v>103.0</v>
      </c>
      <c r="AW149" s="1" t="s">
        <v>74</v>
      </c>
      <c r="AX149" s="1" t="s">
        <v>74</v>
      </c>
      <c r="AY149" s="1" t="s">
        <v>74</v>
      </c>
      <c r="AZ149" s="1" t="s">
        <v>74</v>
      </c>
      <c r="BA149" s="1" t="s">
        <v>74</v>
      </c>
      <c r="BB149" s="1" t="s">
        <v>74</v>
      </c>
      <c r="BC149" s="1" t="s">
        <v>74</v>
      </c>
      <c r="BD149" s="1">
        <v>102725.0</v>
      </c>
      <c r="BE149" s="1" t="s">
        <v>1671</v>
      </c>
      <c r="BF149" s="2" t="str">
        <f>HYPERLINK("http://dx.doi.org/10.1016/j.jsames.2020.102725","http://dx.doi.org/10.1016/j.jsames.2020.102725")</f>
        <v>http://dx.doi.org/10.1016/j.jsames.2020.102725</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1672</v>
      </c>
      <c r="BT149" s="1" t="str">
        <f>HYPERLINK("https%3A%2F%2Fwww.webofscience.com%2Fwos%2Fwoscc%2Ffull-record%2FWOS:000572378600003","View Full Record in Web of Science")</f>
        <v>View Full Record in Web of Science</v>
      </c>
    </row>
    <row r="150" ht="12.75" customHeight="1">
      <c r="A150" s="1" t="s">
        <v>72</v>
      </c>
      <c r="B150" s="1" t="s">
        <v>1673</v>
      </c>
      <c r="C150" s="1" t="s">
        <v>74</v>
      </c>
      <c r="D150" s="1" t="s">
        <v>74</v>
      </c>
      <c r="E150" s="1" t="s">
        <v>74</v>
      </c>
      <c r="F150" s="1" t="s">
        <v>1674</v>
      </c>
      <c r="G150" s="1" t="s">
        <v>74</v>
      </c>
      <c r="H150" s="1" t="s">
        <v>74</v>
      </c>
      <c r="I150" s="1" t="s">
        <v>1675</v>
      </c>
      <c r="J150" s="1" t="s">
        <v>1676</v>
      </c>
      <c r="K150" s="1" t="s">
        <v>74</v>
      </c>
      <c r="L150" s="1" t="s">
        <v>74</v>
      </c>
      <c r="M150" s="1" t="s">
        <v>74</v>
      </c>
      <c r="N150" s="1" t="s">
        <v>74</v>
      </c>
      <c r="O150" s="1" t="s">
        <v>74</v>
      </c>
      <c r="P150" s="1" t="s">
        <v>74</v>
      </c>
      <c r="Q150" s="1" t="s">
        <v>74</v>
      </c>
      <c r="R150" s="1" t="s">
        <v>74</v>
      </c>
      <c r="S150" s="1" t="s">
        <v>74</v>
      </c>
      <c r="T150" s="1" t="s">
        <v>74</v>
      </c>
      <c r="U150" s="1" t="s">
        <v>74</v>
      </c>
      <c r="V150" s="1" t="s">
        <v>1677</v>
      </c>
      <c r="W150" s="1" t="s">
        <v>74</v>
      </c>
      <c r="X150" s="1" t="s">
        <v>74</v>
      </c>
      <c r="Y150" s="1" t="s">
        <v>74</v>
      </c>
      <c r="Z150" s="1" t="s">
        <v>74</v>
      </c>
      <c r="AA150" s="1" t="s">
        <v>1678</v>
      </c>
      <c r="AB150" s="1" t="s">
        <v>1679</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1680</v>
      </c>
      <c r="AP150" s="1" t="s">
        <v>74</v>
      </c>
      <c r="AQ150" s="1" t="s">
        <v>74</v>
      </c>
      <c r="AR150" s="1" t="s">
        <v>74</v>
      </c>
      <c r="AS150" s="1" t="s">
        <v>74</v>
      </c>
      <c r="AT150" s="1" t="s">
        <v>151</v>
      </c>
      <c r="AU150" s="1">
        <v>2020.0</v>
      </c>
      <c r="AV150" s="1">
        <v>23.0</v>
      </c>
      <c r="AW150" s="1" t="s">
        <v>74</v>
      </c>
      <c r="AX150" s="1" t="s">
        <v>74</v>
      </c>
      <c r="AY150" s="1" t="s">
        <v>74</v>
      </c>
      <c r="AZ150" s="1" t="s">
        <v>1350</v>
      </c>
      <c r="BA150" s="1" t="s">
        <v>74</v>
      </c>
      <c r="BB150" s="1">
        <v>154.0</v>
      </c>
      <c r="BC150" s="1">
        <v>161.0</v>
      </c>
      <c r="BD150" s="1" t="s">
        <v>74</v>
      </c>
      <c r="BE150" s="1" t="s">
        <v>1681</v>
      </c>
      <c r="BF150" s="2" t="str">
        <f>HYPERLINK("http://dx.doi.org/10.1016/j.coelec.2020.08.006","http://dx.doi.org/10.1016/j.coelec.2020.08.006")</f>
        <v>http://dx.doi.org/10.1016/j.coelec.2020.08.006</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1682</v>
      </c>
      <c r="BT150" s="1" t="str">
        <f>HYPERLINK("https%3A%2F%2Fwww.webofscience.com%2Fwos%2Fwoscc%2Ffull-record%2FWOS:000599420500024","View Full Record in Web of Science")</f>
        <v>View Full Record in Web of Science</v>
      </c>
    </row>
    <row r="151" ht="12.75" customHeight="1">
      <c r="A151" s="1" t="s">
        <v>72</v>
      </c>
      <c r="B151" s="1" t="s">
        <v>1683</v>
      </c>
      <c r="C151" s="1" t="s">
        <v>74</v>
      </c>
      <c r="D151" s="1" t="s">
        <v>74</v>
      </c>
      <c r="E151" s="1" t="s">
        <v>74</v>
      </c>
      <c r="F151" s="1" t="s">
        <v>1684</v>
      </c>
      <c r="G151" s="1" t="s">
        <v>74</v>
      </c>
      <c r="H151" s="1" t="s">
        <v>74</v>
      </c>
      <c r="I151" s="1" t="s">
        <v>1685</v>
      </c>
      <c r="J151" s="1" t="s">
        <v>194</v>
      </c>
      <c r="K151" s="1" t="s">
        <v>74</v>
      </c>
      <c r="L151" s="1" t="s">
        <v>74</v>
      </c>
      <c r="M151" s="1" t="s">
        <v>74</v>
      </c>
      <c r="N151" s="1" t="s">
        <v>74</v>
      </c>
      <c r="O151" s="1" t="s">
        <v>74</v>
      </c>
      <c r="P151" s="1" t="s">
        <v>74</v>
      </c>
      <c r="Q151" s="1" t="s">
        <v>74</v>
      </c>
      <c r="R151" s="1" t="s">
        <v>74</v>
      </c>
      <c r="S151" s="1" t="s">
        <v>74</v>
      </c>
      <c r="T151" s="1" t="s">
        <v>74</v>
      </c>
      <c r="U151" s="1" t="s">
        <v>74</v>
      </c>
      <c r="V151" s="1" t="s">
        <v>1686</v>
      </c>
      <c r="W151" s="1" t="s">
        <v>74</v>
      </c>
      <c r="X151" s="1" t="s">
        <v>74</v>
      </c>
      <c r="Y151" s="1" t="s">
        <v>74</v>
      </c>
      <c r="Z151" s="1" t="s">
        <v>74</v>
      </c>
      <c r="AA151" s="1" t="s">
        <v>1687</v>
      </c>
      <c r="AB151" s="1" t="s">
        <v>1688</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198</v>
      </c>
      <c r="AP151" s="1" t="s">
        <v>199</v>
      </c>
      <c r="AQ151" s="1" t="s">
        <v>74</v>
      </c>
      <c r="AR151" s="1" t="s">
        <v>74</v>
      </c>
      <c r="AS151" s="1" t="s">
        <v>74</v>
      </c>
      <c r="AT151" s="1" t="s">
        <v>1689</v>
      </c>
      <c r="AU151" s="1">
        <v>2020.0</v>
      </c>
      <c r="AV151" s="1">
        <v>385.0</v>
      </c>
      <c r="AW151" s="1" t="s">
        <v>74</v>
      </c>
      <c r="AX151" s="1" t="s">
        <v>74</v>
      </c>
      <c r="AY151" s="1" t="s">
        <v>74</v>
      </c>
      <c r="AZ151" s="1" t="s">
        <v>74</v>
      </c>
      <c r="BA151" s="1" t="s">
        <v>74</v>
      </c>
      <c r="BB151" s="1" t="s">
        <v>74</v>
      </c>
      <c r="BC151" s="1" t="s">
        <v>74</v>
      </c>
      <c r="BD151" s="1">
        <v>121576.0</v>
      </c>
      <c r="BE151" s="1" t="s">
        <v>1690</v>
      </c>
      <c r="BF151" s="2" t="str">
        <f>HYPERLINK("http://dx.doi.org/10.1016/j.jhazmat.2019.121576","http://dx.doi.org/10.1016/j.jhazmat.2019.121576")</f>
        <v>http://dx.doi.org/10.1016/j.jhazmat.2019.121576</v>
      </c>
      <c r="BG151" s="1" t="s">
        <v>74</v>
      </c>
      <c r="BH151" s="1" t="s">
        <v>74</v>
      </c>
      <c r="BI151" s="1" t="s">
        <v>74</v>
      </c>
      <c r="BJ151" s="1" t="s">
        <v>74</v>
      </c>
      <c r="BK151" s="1" t="s">
        <v>74</v>
      </c>
      <c r="BL151" s="1" t="s">
        <v>74</v>
      </c>
      <c r="BM151" s="1" t="s">
        <v>74</v>
      </c>
      <c r="BN151" s="1">
        <v>3.1812478E7</v>
      </c>
      <c r="BO151" s="1" t="s">
        <v>74</v>
      </c>
      <c r="BP151" s="1" t="s">
        <v>74</v>
      </c>
      <c r="BQ151" s="1" t="s">
        <v>74</v>
      </c>
      <c r="BR151" s="1" t="s">
        <v>74</v>
      </c>
      <c r="BS151" s="1" t="s">
        <v>1691</v>
      </c>
      <c r="BT151" s="1" t="str">
        <f>HYPERLINK("https%3A%2F%2Fwww.webofscience.com%2Fwos%2Fwoscc%2Ffull-record%2FWOS:000509618300054","View Full Record in Web of Science")</f>
        <v>View Full Record in Web of Science</v>
      </c>
    </row>
    <row r="152" ht="12.75" customHeight="1">
      <c r="A152" s="1" t="s">
        <v>72</v>
      </c>
      <c r="B152" s="1" t="s">
        <v>1692</v>
      </c>
      <c r="C152" s="1" t="s">
        <v>74</v>
      </c>
      <c r="D152" s="1" t="s">
        <v>74</v>
      </c>
      <c r="E152" s="1" t="s">
        <v>74</v>
      </c>
      <c r="F152" s="1" t="s">
        <v>1693</v>
      </c>
      <c r="G152" s="1" t="s">
        <v>74</v>
      </c>
      <c r="H152" s="1" t="s">
        <v>74</v>
      </c>
      <c r="I152" s="1" t="s">
        <v>1694</v>
      </c>
      <c r="J152" s="1" t="s">
        <v>1695</v>
      </c>
      <c r="K152" s="1" t="s">
        <v>74</v>
      </c>
      <c r="L152" s="1" t="s">
        <v>74</v>
      </c>
      <c r="M152" s="1" t="s">
        <v>74</v>
      </c>
      <c r="N152" s="1" t="s">
        <v>74</v>
      </c>
      <c r="O152" s="1" t="s">
        <v>74</v>
      </c>
      <c r="P152" s="1" t="s">
        <v>74</v>
      </c>
      <c r="Q152" s="1" t="s">
        <v>74</v>
      </c>
      <c r="R152" s="1" t="s">
        <v>74</v>
      </c>
      <c r="S152" s="1" t="s">
        <v>74</v>
      </c>
      <c r="T152" s="1" t="s">
        <v>74</v>
      </c>
      <c r="U152" s="1" t="s">
        <v>74</v>
      </c>
      <c r="V152" s="1" t="s">
        <v>1696</v>
      </c>
      <c r="W152" s="1" t="s">
        <v>74</v>
      </c>
      <c r="X152" s="1" t="s">
        <v>74</v>
      </c>
      <c r="Y152" s="1" t="s">
        <v>74</v>
      </c>
      <c r="Z152" s="1" t="s">
        <v>74</v>
      </c>
      <c r="AA152" s="1" t="s">
        <v>1697</v>
      </c>
      <c r="AB152" s="1" t="s">
        <v>1698</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74</v>
      </c>
      <c r="AP152" s="1" t="s">
        <v>1699</v>
      </c>
      <c r="AQ152" s="1" t="s">
        <v>74</v>
      </c>
      <c r="AR152" s="1" t="s">
        <v>74</v>
      </c>
      <c r="AS152" s="1" t="s">
        <v>74</v>
      </c>
      <c r="AT152" s="1" t="s">
        <v>1700</v>
      </c>
      <c r="AU152" s="1">
        <v>2020.0</v>
      </c>
      <c r="AV152" s="1">
        <v>25.0</v>
      </c>
      <c r="AW152" s="1">
        <v>6.0</v>
      </c>
      <c r="AX152" s="1" t="s">
        <v>74</v>
      </c>
      <c r="AY152" s="1" t="s">
        <v>74</v>
      </c>
      <c r="AZ152" s="1" t="s">
        <v>74</v>
      </c>
      <c r="BA152" s="1" t="s">
        <v>74</v>
      </c>
      <c r="BB152" s="1" t="s">
        <v>74</v>
      </c>
      <c r="BC152" s="1" t="s">
        <v>74</v>
      </c>
      <c r="BD152" s="1">
        <v>1357.0</v>
      </c>
      <c r="BE152" s="1" t="s">
        <v>1701</v>
      </c>
      <c r="BF152" s="2" t="str">
        <f>HYPERLINK("http://dx.doi.org/10.3390/molecules25061357","http://dx.doi.org/10.3390/molecules25061357")</f>
        <v>http://dx.doi.org/10.3390/molecules25061357</v>
      </c>
      <c r="BG152" s="1" t="s">
        <v>74</v>
      </c>
      <c r="BH152" s="1" t="s">
        <v>74</v>
      </c>
      <c r="BI152" s="1" t="s">
        <v>74</v>
      </c>
      <c r="BJ152" s="1" t="s">
        <v>74</v>
      </c>
      <c r="BK152" s="1" t="s">
        <v>74</v>
      </c>
      <c r="BL152" s="1" t="s">
        <v>74</v>
      </c>
      <c r="BM152" s="1" t="s">
        <v>74</v>
      </c>
      <c r="BN152" s="1">
        <v>3.2192033E7</v>
      </c>
      <c r="BO152" s="1" t="s">
        <v>74</v>
      </c>
      <c r="BP152" s="1" t="s">
        <v>74</v>
      </c>
      <c r="BQ152" s="1" t="s">
        <v>74</v>
      </c>
      <c r="BR152" s="1" t="s">
        <v>74</v>
      </c>
      <c r="BS152" s="1" t="s">
        <v>1702</v>
      </c>
      <c r="BT152" s="1" t="str">
        <f>HYPERLINK("https%3A%2F%2Fwww.webofscience.com%2Fwos%2Fwoscc%2Ffull-record%2FWOS:000530248700100","View Full Record in Web of Science")</f>
        <v>View Full Record in Web of Science</v>
      </c>
    </row>
    <row r="153" ht="12.75" customHeight="1">
      <c r="A153" s="1" t="s">
        <v>72</v>
      </c>
      <c r="B153" s="1" t="s">
        <v>1703</v>
      </c>
      <c r="C153" s="1" t="s">
        <v>74</v>
      </c>
      <c r="D153" s="1" t="s">
        <v>74</v>
      </c>
      <c r="E153" s="1" t="s">
        <v>74</v>
      </c>
      <c r="F153" s="1" t="s">
        <v>1704</v>
      </c>
      <c r="G153" s="1" t="s">
        <v>74</v>
      </c>
      <c r="H153" s="1" t="s">
        <v>74</v>
      </c>
      <c r="I153" s="1" t="s">
        <v>1705</v>
      </c>
      <c r="J153" s="1" t="s">
        <v>1706</v>
      </c>
      <c r="K153" s="1" t="s">
        <v>74</v>
      </c>
      <c r="L153" s="1" t="s">
        <v>74</v>
      </c>
      <c r="M153" s="1" t="s">
        <v>74</v>
      </c>
      <c r="N153" s="1" t="s">
        <v>74</v>
      </c>
      <c r="O153" s="1" t="s">
        <v>74</v>
      </c>
      <c r="P153" s="1" t="s">
        <v>74</v>
      </c>
      <c r="Q153" s="1" t="s">
        <v>74</v>
      </c>
      <c r="R153" s="1" t="s">
        <v>74</v>
      </c>
      <c r="S153" s="1" t="s">
        <v>74</v>
      </c>
      <c r="T153" s="1" t="s">
        <v>74</v>
      </c>
      <c r="U153" s="1" t="s">
        <v>74</v>
      </c>
      <c r="V153" s="1" t="s">
        <v>1707</v>
      </c>
      <c r="W153" s="1" t="s">
        <v>74</v>
      </c>
      <c r="X153" s="1" t="s">
        <v>74</v>
      </c>
      <c r="Y153" s="1" t="s">
        <v>74</v>
      </c>
      <c r="Z153" s="1" t="s">
        <v>74</v>
      </c>
      <c r="AA153" s="1" t="s">
        <v>1708</v>
      </c>
      <c r="AB153" s="1" t="s">
        <v>1709</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1710</v>
      </c>
      <c r="AP153" s="1" t="s">
        <v>1711</v>
      </c>
      <c r="AQ153" s="1" t="s">
        <v>74</v>
      </c>
      <c r="AR153" s="1" t="s">
        <v>74</v>
      </c>
      <c r="AS153" s="1" t="s">
        <v>74</v>
      </c>
      <c r="AT153" s="1" t="s">
        <v>822</v>
      </c>
      <c r="AU153" s="1">
        <v>2020.0</v>
      </c>
      <c r="AV153" s="1">
        <v>353.0</v>
      </c>
      <c r="AW153" s="1">
        <v>1.0</v>
      </c>
      <c r="AX153" s="1" t="s">
        <v>74</v>
      </c>
      <c r="AY153" s="1" t="s">
        <v>74</v>
      </c>
      <c r="AZ153" s="1" t="s">
        <v>74</v>
      </c>
      <c r="BA153" s="1" t="s">
        <v>74</v>
      </c>
      <c r="BB153" s="1" t="s">
        <v>74</v>
      </c>
      <c r="BC153" s="1" t="s">
        <v>74</v>
      </c>
      <c r="BD153" s="1" t="s">
        <v>1712</v>
      </c>
      <c r="BE153" s="1" t="s">
        <v>1713</v>
      </c>
      <c r="BF153" s="2" t="str">
        <f>HYPERLINK("http://dx.doi.org/10.1002/ardp.201900213","http://dx.doi.org/10.1002/ardp.201900213")</f>
        <v>http://dx.doi.org/10.1002/ardp.201900213</v>
      </c>
      <c r="BG153" s="1" t="s">
        <v>74</v>
      </c>
      <c r="BH153" s="1" t="s">
        <v>1714</v>
      </c>
      <c r="BI153" s="1" t="s">
        <v>74</v>
      </c>
      <c r="BJ153" s="1" t="s">
        <v>74</v>
      </c>
      <c r="BK153" s="1" t="s">
        <v>74</v>
      </c>
      <c r="BL153" s="1" t="s">
        <v>74</v>
      </c>
      <c r="BM153" s="1" t="s">
        <v>74</v>
      </c>
      <c r="BN153" s="1">
        <v>3.1709599E7</v>
      </c>
      <c r="BO153" s="1" t="s">
        <v>74</v>
      </c>
      <c r="BP153" s="1" t="s">
        <v>74</v>
      </c>
      <c r="BQ153" s="1" t="s">
        <v>74</v>
      </c>
      <c r="BR153" s="1" t="s">
        <v>74</v>
      </c>
      <c r="BS153" s="1" t="s">
        <v>1715</v>
      </c>
      <c r="BT153" s="1" t="str">
        <f>HYPERLINK("https%3A%2F%2Fwww.webofscience.com%2Fwos%2Fwoscc%2Ffull-record%2FWOS:000495562100001","View Full Record in Web of Science")</f>
        <v>View Full Record in Web of Science</v>
      </c>
    </row>
    <row r="154" ht="12.75" customHeight="1">
      <c r="A154" s="1" t="s">
        <v>72</v>
      </c>
      <c r="B154" s="1" t="s">
        <v>1716</v>
      </c>
      <c r="C154" s="1" t="s">
        <v>74</v>
      </c>
      <c r="D154" s="1" t="s">
        <v>74</v>
      </c>
      <c r="E154" s="1" t="s">
        <v>74</v>
      </c>
      <c r="F154" s="1" t="s">
        <v>1717</v>
      </c>
      <c r="G154" s="1" t="s">
        <v>74</v>
      </c>
      <c r="H154" s="1" t="s">
        <v>74</v>
      </c>
      <c r="I154" s="1" t="s">
        <v>1718</v>
      </c>
      <c r="J154" s="1" t="s">
        <v>1719</v>
      </c>
      <c r="K154" s="1" t="s">
        <v>74</v>
      </c>
      <c r="L154" s="1" t="s">
        <v>74</v>
      </c>
      <c r="M154" s="1" t="s">
        <v>74</v>
      </c>
      <c r="N154" s="1" t="s">
        <v>74</v>
      </c>
      <c r="O154" s="1" t="s">
        <v>74</v>
      </c>
      <c r="P154" s="1" t="s">
        <v>74</v>
      </c>
      <c r="Q154" s="1" t="s">
        <v>74</v>
      </c>
      <c r="R154" s="1" t="s">
        <v>74</v>
      </c>
      <c r="S154" s="1" t="s">
        <v>74</v>
      </c>
      <c r="T154" s="1" t="s">
        <v>74</v>
      </c>
      <c r="U154" s="1" t="s">
        <v>74</v>
      </c>
      <c r="V154" s="1" t="s">
        <v>1720</v>
      </c>
      <c r="W154" s="1" t="s">
        <v>74</v>
      </c>
      <c r="X154" s="1" t="s">
        <v>74</v>
      </c>
      <c r="Y154" s="1" t="s">
        <v>74</v>
      </c>
      <c r="Z154" s="1" t="s">
        <v>74</v>
      </c>
      <c r="AA154" s="1" t="s">
        <v>1721</v>
      </c>
      <c r="AB154" s="1" t="s">
        <v>1722</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1723</v>
      </c>
      <c r="AP154" s="1" t="s">
        <v>1724</v>
      </c>
      <c r="AQ154" s="1" t="s">
        <v>74</v>
      </c>
      <c r="AR154" s="1" t="s">
        <v>74</v>
      </c>
      <c r="AS154" s="1" t="s">
        <v>74</v>
      </c>
      <c r="AT154" s="1" t="s">
        <v>176</v>
      </c>
      <c r="AU154" s="1">
        <v>2019.0</v>
      </c>
      <c r="AV154" s="1">
        <v>40.0</v>
      </c>
      <c r="AW154" s="1">
        <v>2.0</v>
      </c>
      <c r="AX154" s="1" t="s">
        <v>74</v>
      </c>
      <c r="AY154" s="1" t="s">
        <v>74</v>
      </c>
      <c r="AZ154" s="1" t="s">
        <v>74</v>
      </c>
      <c r="BA154" s="1" t="s">
        <v>74</v>
      </c>
      <c r="BB154" s="1" t="s">
        <v>74</v>
      </c>
      <c r="BC154" s="1" t="s">
        <v>74</v>
      </c>
      <c r="BD154" s="1">
        <v>25803.0</v>
      </c>
      <c r="BE154" s="1" t="s">
        <v>1725</v>
      </c>
      <c r="BF154" s="2" t="str">
        <f>HYPERLINK("http://dx.doi.org/10.1088/1361-6404/aafbf4","http://dx.doi.org/10.1088/1361-6404/aafbf4")</f>
        <v>http://dx.doi.org/10.1088/1361-6404/aafbf4</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1726</v>
      </c>
      <c r="BT154" s="1" t="str">
        <f>HYPERLINK("https%3A%2F%2Fwww.webofscience.com%2Fwos%2Fwoscc%2Ffull-record%2FWOS:000458524700002","View Full Record in Web of Science")</f>
        <v>View Full Record in Web of Science</v>
      </c>
    </row>
    <row r="155" ht="12.75" customHeight="1">
      <c r="A155" s="1" t="s">
        <v>72</v>
      </c>
      <c r="B155" s="1" t="s">
        <v>1727</v>
      </c>
      <c r="C155" s="1" t="s">
        <v>74</v>
      </c>
      <c r="D155" s="1" t="s">
        <v>74</v>
      </c>
      <c r="E155" s="1" t="s">
        <v>74</v>
      </c>
      <c r="F155" s="1" t="s">
        <v>1728</v>
      </c>
      <c r="G155" s="1" t="s">
        <v>74</v>
      </c>
      <c r="H155" s="1" t="s">
        <v>74</v>
      </c>
      <c r="I155" s="1" t="s">
        <v>1729</v>
      </c>
      <c r="J155" s="1" t="s">
        <v>1108</v>
      </c>
      <c r="K155" s="1" t="s">
        <v>74</v>
      </c>
      <c r="L155" s="1" t="s">
        <v>74</v>
      </c>
      <c r="M155" s="1" t="s">
        <v>74</v>
      </c>
      <c r="N155" s="1" t="s">
        <v>74</v>
      </c>
      <c r="O155" s="1" t="s">
        <v>74</v>
      </c>
      <c r="P155" s="1" t="s">
        <v>74</v>
      </c>
      <c r="Q155" s="1" t="s">
        <v>74</v>
      </c>
      <c r="R155" s="1" t="s">
        <v>74</v>
      </c>
      <c r="S155" s="1" t="s">
        <v>74</v>
      </c>
      <c r="T155" s="1" t="s">
        <v>74</v>
      </c>
      <c r="U155" s="1" t="s">
        <v>74</v>
      </c>
      <c r="V155" s="1" t="s">
        <v>1730</v>
      </c>
      <c r="W155" s="1" t="s">
        <v>74</v>
      </c>
      <c r="X155" s="1" t="s">
        <v>74</v>
      </c>
      <c r="Y155" s="1" t="s">
        <v>74</v>
      </c>
      <c r="Z155" s="1" t="s">
        <v>74</v>
      </c>
      <c r="AA155" s="1" t="s">
        <v>1731</v>
      </c>
      <c r="AB155" s="1" t="s">
        <v>1732</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1112</v>
      </c>
      <c r="AP155" s="1" t="s">
        <v>74</v>
      </c>
      <c r="AQ155" s="1" t="s">
        <v>74</v>
      </c>
      <c r="AR155" s="1" t="s">
        <v>74</v>
      </c>
      <c r="AS155" s="1" t="s">
        <v>74</v>
      </c>
      <c r="AT155" s="1" t="s">
        <v>83</v>
      </c>
      <c r="AU155" s="1">
        <v>2018.0</v>
      </c>
      <c r="AV155" s="1">
        <v>8.0</v>
      </c>
      <c r="AW155" s="1">
        <v>12.0</v>
      </c>
      <c r="AX155" s="1" t="s">
        <v>74</v>
      </c>
      <c r="AY155" s="1" t="s">
        <v>74</v>
      </c>
      <c r="AZ155" s="1" t="s">
        <v>74</v>
      </c>
      <c r="BA155" s="1" t="s">
        <v>74</v>
      </c>
      <c r="BB155" s="1" t="s">
        <v>74</v>
      </c>
      <c r="BC155" s="1" t="s">
        <v>74</v>
      </c>
      <c r="BD155" s="1">
        <v>1021.0</v>
      </c>
      <c r="BE155" s="1" t="s">
        <v>1733</v>
      </c>
      <c r="BF155" s="2" t="str">
        <f>HYPERLINK("http://dx.doi.org/10.3390/met8121021","http://dx.doi.org/10.3390/met8121021")</f>
        <v>http://dx.doi.org/10.3390/met8121021</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1734</v>
      </c>
      <c r="BT155" s="1" t="str">
        <f>HYPERLINK("https%3A%2F%2Fwww.webofscience.com%2Fwos%2Fwoscc%2Ffull-record%2FWOS:000455072100045","View Full Record in Web of Science")</f>
        <v>View Full Record in Web of Science</v>
      </c>
    </row>
    <row r="156" ht="12.75" customHeight="1">
      <c r="A156" s="1" t="s">
        <v>72</v>
      </c>
      <c r="B156" s="1" t="s">
        <v>1735</v>
      </c>
      <c r="C156" s="1" t="s">
        <v>74</v>
      </c>
      <c r="D156" s="1" t="s">
        <v>74</v>
      </c>
      <c r="E156" s="1" t="s">
        <v>74</v>
      </c>
      <c r="F156" s="1" t="s">
        <v>1736</v>
      </c>
      <c r="G156" s="1" t="s">
        <v>74</v>
      </c>
      <c r="H156" s="1" t="s">
        <v>74</v>
      </c>
      <c r="I156" s="1" t="s">
        <v>1737</v>
      </c>
      <c r="J156" s="1" t="s">
        <v>1738</v>
      </c>
      <c r="K156" s="1" t="s">
        <v>74</v>
      </c>
      <c r="L156" s="1" t="s">
        <v>74</v>
      </c>
      <c r="M156" s="1" t="s">
        <v>74</v>
      </c>
      <c r="N156" s="1" t="s">
        <v>74</v>
      </c>
      <c r="O156" s="1" t="s">
        <v>74</v>
      </c>
      <c r="P156" s="1" t="s">
        <v>74</v>
      </c>
      <c r="Q156" s="1" t="s">
        <v>74</v>
      </c>
      <c r="R156" s="1" t="s">
        <v>74</v>
      </c>
      <c r="S156" s="1" t="s">
        <v>74</v>
      </c>
      <c r="T156" s="1" t="s">
        <v>74</v>
      </c>
      <c r="U156" s="1" t="s">
        <v>74</v>
      </c>
      <c r="V156" s="1" t="s">
        <v>1739</v>
      </c>
      <c r="W156" s="1" t="s">
        <v>74</v>
      </c>
      <c r="X156" s="1" t="s">
        <v>74</v>
      </c>
      <c r="Y156" s="1" t="s">
        <v>74</v>
      </c>
      <c r="Z156" s="1" t="s">
        <v>74</v>
      </c>
      <c r="AA156" s="1" t="s">
        <v>1740</v>
      </c>
      <c r="AB156" s="1" t="s">
        <v>1741</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1742</v>
      </c>
      <c r="AP156" s="1" t="s">
        <v>1743</v>
      </c>
      <c r="AQ156" s="1" t="s">
        <v>74</v>
      </c>
      <c r="AR156" s="1" t="s">
        <v>74</v>
      </c>
      <c r="AS156" s="1" t="s">
        <v>74</v>
      </c>
      <c r="AT156" s="1" t="s">
        <v>1082</v>
      </c>
      <c r="AU156" s="1">
        <v>2018.0</v>
      </c>
      <c r="AV156" s="1">
        <v>88.0</v>
      </c>
      <c r="AW156" s="1" t="s">
        <v>74</v>
      </c>
      <c r="AX156" s="1" t="s">
        <v>74</v>
      </c>
      <c r="AY156" s="1" t="s">
        <v>74</v>
      </c>
      <c r="AZ156" s="1" t="s">
        <v>74</v>
      </c>
      <c r="BA156" s="1" t="s">
        <v>74</v>
      </c>
      <c r="BB156" s="1">
        <v>104.0</v>
      </c>
      <c r="BC156" s="1">
        <v>113.0</v>
      </c>
      <c r="BD156" s="1" t="s">
        <v>74</v>
      </c>
      <c r="BE156" s="1" t="s">
        <v>1744</v>
      </c>
      <c r="BF156" s="2" t="str">
        <f>HYPERLINK("http://dx.doi.org/10.1016/j.dci.2018.07.010","http://dx.doi.org/10.1016/j.dci.2018.07.010")</f>
        <v>http://dx.doi.org/10.1016/j.dci.2018.07.010</v>
      </c>
      <c r="BG156" s="1" t="s">
        <v>74</v>
      </c>
      <c r="BH156" s="1" t="s">
        <v>74</v>
      </c>
      <c r="BI156" s="1" t="s">
        <v>74</v>
      </c>
      <c r="BJ156" s="1" t="s">
        <v>74</v>
      </c>
      <c r="BK156" s="1" t="s">
        <v>74</v>
      </c>
      <c r="BL156" s="1" t="s">
        <v>74</v>
      </c>
      <c r="BM156" s="1" t="s">
        <v>74</v>
      </c>
      <c r="BN156" s="1">
        <v>3.0009927E7</v>
      </c>
      <c r="BO156" s="1" t="s">
        <v>74</v>
      </c>
      <c r="BP156" s="1" t="s">
        <v>74</v>
      </c>
      <c r="BQ156" s="1" t="s">
        <v>74</v>
      </c>
      <c r="BR156" s="1" t="s">
        <v>74</v>
      </c>
      <c r="BS156" s="1" t="s">
        <v>1745</v>
      </c>
      <c r="BT156" s="1" t="str">
        <f>HYPERLINK("https%3A%2F%2Fwww.webofscience.com%2Fwos%2Fwoscc%2Ffull-record%2FWOS:000443668600013","View Full Record in Web of Science")</f>
        <v>View Full Record in Web of Science</v>
      </c>
    </row>
    <row r="157" ht="12.75" customHeight="1">
      <c r="A157" s="1" t="s">
        <v>72</v>
      </c>
      <c r="B157" s="1" t="s">
        <v>1746</v>
      </c>
      <c r="C157" s="1" t="s">
        <v>74</v>
      </c>
      <c r="D157" s="1" t="s">
        <v>74</v>
      </c>
      <c r="E157" s="1" t="s">
        <v>74</v>
      </c>
      <c r="F157" s="1" t="s">
        <v>1747</v>
      </c>
      <c r="G157" s="1" t="s">
        <v>74</v>
      </c>
      <c r="H157" s="1" t="s">
        <v>74</v>
      </c>
      <c r="I157" s="1" t="s">
        <v>1748</v>
      </c>
      <c r="J157" s="1" t="s">
        <v>1749</v>
      </c>
      <c r="K157" s="1" t="s">
        <v>74</v>
      </c>
      <c r="L157" s="1" t="s">
        <v>74</v>
      </c>
      <c r="M157" s="1" t="s">
        <v>74</v>
      </c>
      <c r="N157" s="1" t="s">
        <v>74</v>
      </c>
      <c r="O157" s="1" t="s">
        <v>74</v>
      </c>
      <c r="P157" s="1" t="s">
        <v>74</v>
      </c>
      <c r="Q157" s="1" t="s">
        <v>74</v>
      </c>
      <c r="R157" s="1" t="s">
        <v>74</v>
      </c>
      <c r="S157" s="1" t="s">
        <v>74</v>
      </c>
      <c r="T157" s="1" t="s">
        <v>74</v>
      </c>
      <c r="U157" s="1" t="s">
        <v>74</v>
      </c>
      <c r="V157" s="1" t="s">
        <v>1750</v>
      </c>
      <c r="W157" s="1" t="s">
        <v>74</v>
      </c>
      <c r="X157" s="1" t="s">
        <v>74</v>
      </c>
      <c r="Y157" s="1" t="s">
        <v>74</v>
      </c>
      <c r="Z157" s="1" t="s">
        <v>74</v>
      </c>
      <c r="AA157" s="1" t="s">
        <v>1751</v>
      </c>
      <c r="AB157" s="1" t="s">
        <v>1752</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1753</v>
      </c>
      <c r="AP157" s="1" t="s">
        <v>74</v>
      </c>
      <c r="AQ157" s="1" t="s">
        <v>74</v>
      </c>
      <c r="AR157" s="1" t="s">
        <v>74</v>
      </c>
      <c r="AS157" s="1" t="s">
        <v>74</v>
      </c>
      <c r="AT157" s="1" t="s">
        <v>600</v>
      </c>
      <c r="AU157" s="1">
        <v>2018.0</v>
      </c>
      <c r="AV157" s="1">
        <v>13.0</v>
      </c>
      <c r="AW157" s="1">
        <v>2.0</v>
      </c>
      <c r="AX157" s="1" t="s">
        <v>74</v>
      </c>
      <c r="AY157" s="1" t="s">
        <v>74</v>
      </c>
      <c r="AZ157" s="1" t="s">
        <v>74</v>
      </c>
      <c r="BA157" s="1" t="s">
        <v>74</v>
      </c>
      <c r="BB157" s="1">
        <v>1905.0</v>
      </c>
      <c r="BC157" s="1">
        <v>1920.0</v>
      </c>
      <c r="BD157" s="1" t="s">
        <v>74</v>
      </c>
      <c r="BE157" s="1" t="s">
        <v>1754</v>
      </c>
      <c r="BF157" s="2" t="str">
        <f>HYPERLINK("http://dx.doi.org/10.20964/2018.02.10","http://dx.doi.org/10.20964/2018.02.10")</f>
        <v>http://dx.doi.org/10.20964/2018.02.10</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1755</v>
      </c>
      <c r="BT157" s="1" t="str">
        <f>HYPERLINK("https%3A%2F%2Fwww.webofscience.com%2Fwos%2Fwoscc%2Ffull-record%2FWOS:000429100400055","View Full Record in Web of Science")</f>
        <v>View Full Record in Web of Science</v>
      </c>
    </row>
    <row r="158" ht="12.75" customHeight="1">
      <c r="A158" s="1" t="s">
        <v>72</v>
      </c>
      <c r="B158" s="1" t="s">
        <v>1756</v>
      </c>
      <c r="C158" s="1" t="s">
        <v>74</v>
      </c>
      <c r="D158" s="1" t="s">
        <v>74</v>
      </c>
      <c r="E158" s="1" t="s">
        <v>74</v>
      </c>
      <c r="F158" s="1" t="s">
        <v>1757</v>
      </c>
      <c r="G158" s="1" t="s">
        <v>74</v>
      </c>
      <c r="H158" s="1" t="s">
        <v>74</v>
      </c>
      <c r="I158" s="1" t="s">
        <v>1758</v>
      </c>
      <c r="J158" s="1" t="s">
        <v>1759</v>
      </c>
      <c r="K158" s="1" t="s">
        <v>74</v>
      </c>
      <c r="L158" s="1" t="s">
        <v>74</v>
      </c>
      <c r="M158" s="1" t="s">
        <v>74</v>
      </c>
      <c r="N158" s="1" t="s">
        <v>74</v>
      </c>
      <c r="O158" s="1" t="s">
        <v>74</v>
      </c>
      <c r="P158" s="1" t="s">
        <v>74</v>
      </c>
      <c r="Q158" s="1" t="s">
        <v>74</v>
      </c>
      <c r="R158" s="1" t="s">
        <v>74</v>
      </c>
      <c r="S158" s="1" t="s">
        <v>74</v>
      </c>
      <c r="T158" s="1" t="s">
        <v>74</v>
      </c>
      <c r="U158" s="1" t="s">
        <v>74</v>
      </c>
      <c r="V158" s="1" t="s">
        <v>1760</v>
      </c>
      <c r="W158" s="1" t="s">
        <v>74</v>
      </c>
      <c r="X158" s="1" t="s">
        <v>74</v>
      </c>
      <c r="Y158" s="1" t="s">
        <v>74</v>
      </c>
      <c r="Z158" s="1" t="s">
        <v>74</v>
      </c>
      <c r="AA158" s="1" t="s">
        <v>1761</v>
      </c>
      <c r="AB158" s="1" t="s">
        <v>74</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1762</v>
      </c>
      <c r="AP158" s="1" t="s">
        <v>1763</v>
      </c>
      <c r="AQ158" s="1" t="s">
        <v>74</v>
      </c>
      <c r="AR158" s="1" t="s">
        <v>74</v>
      </c>
      <c r="AS158" s="1" t="s">
        <v>74</v>
      </c>
      <c r="AT158" s="1" t="s">
        <v>1028</v>
      </c>
      <c r="AU158" s="1">
        <v>2017.0</v>
      </c>
      <c r="AV158" s="1">
        <v>50.0</v>
      </c>
      <c r="AW158" s="1">
        <v>27.0</v>
      </c>
      <c r="AX158" s="1" t="s">
        <v>74</v>
      </c>
      <c r="AY158" s="1" t="s">
        <v>74</v>
      </c>
      <c r="AZ158" s="1" t="s">
        <v>74</v>
      </c>
      <c r="BA158" s="1" t="s">
        <v>74</v>
      </c>
      <c r="BB158" s="1" t="s">
        <v>74</v>
      </c>
      <c r="BC158" s="1" t="s">
        <v>74</v>
      </c>
      <c r="BD158" s="1">
        <v>275202.0</v>
      </c>
      <c r="BE158" s="1" t="s">
        <v>1764</v>
      </c>
      <c r="BF158" s="2" t="str">
        <f>HYPERLINK("http://dx.doi.org/10.1088/1751-8121/aa739b","http://dx.doi.org/10.1088/1751-8121/aa739b")</f>
        <v>http://dx.doi.org/10.1088/1751-8121/aa739b</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1765</v>
      </c>
      <c r="BT158" s="1" t="str">
        <f>HYPERLINK("https%3A%2F%2Fwww.webofscience.com%2Fwos%2Fwoscc%2Ffull-record%2FWOS:000408748000001","View Full Record in Web of Science")</f>
        <v>View Full Record in Web of Science</v>
      </c>
    </row>
    <row r="159" ht="12.75" customHeight="1">
      <c r="A159" s="1" t="s">
        <v>72</v>
      </c>
      <c r="B159" s="1" t="s">
        <v>1766</v>
      </c>
      <c r="C159" s="1" t="s">
        <v>74</v>
      </c>
      <c r="D159" s="1" t="s">
        <v>74</v>
      </c>
      <c r="E159" s="1" t="s">
        <v>74</v>
      </c>
      <c r="F159" s="1" t="s">
        <v>1767</v>
      </c>
      <c r="G159" s="1" t="s">
        <v>74</v>
      </c>
      <c r="H159" s="1" t="s">
        <v>74</v>
      </c>
      <c r="I159" s="1" t="s">
        <v>1768</v>
      </c>
      <c r="J159" s="1" t="s">
        <v>1769</v>
      </c>
      <c r="K159" s="1" t="s">
        <v>74</v>
      </c>
      <c r="L159" s="1" t="s">
        <v>74</v>
      </c>
      <c r="M159" s="1" t="s">
        <v>74</v>
      </c>
      <c r="N159" s="1" t="s">
        <v>74</v>
      </c>
      <c r="O159" s="1" t="s">
        <v>74</v>
      </c>
      <c r="P159" s="1" t="s">
        <v>74</v>
      </c>
      <c r="Q159" s="1" t="s">
        <v>74</v>
      </c>
      <c r="R159" s="1" t="s">
        <v>74</v>
      </c>
      <c r="S159" s="1" t="s">
        <v>74</v>
      </c>
      <c r="T159" s="1" t="s">
        <v>74</v>
      </c>
      <c r="U159" s="1" t="s">
        <v>74</v>
      </c>
      <c r="V159" s="1" t="s">
        <v>1770</v>
      </c>
      <c r="W159" s="1" t="s">
        <v>74</v>
      </c>
      <c r="X159" s="1" t="s">
        <v>74</v>
      </c>
      <c r="Y159" s="1" t="s">
        <v>74</v>
      </c>
      <c r="Z159" s="1" t="s">
        <v>74</v>
      </c>
      <c r="AA159" s="1" t="s">
        <v>1771</v>
      </c>
      <c r="AB159" s="1" t="s">
        <v>1772</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1773</v>
      </c>
      <c r="AP159" s="1" t="s">
        <v>1774</v>
      </c>
      <c r="AQ159" s="1" t="s">
        <v>74</v>
      </c>
      <c r="AR159" s="1" t="s">
        <v>74</v>
      </c>
      <c r="AS159" s="1" t="s">
        <v>74</v>
      </c>
      <c r="AT159" s="1" t="s">
        <v>94</v>
      </c>
      <c r="AU159" s="1">
        <v>2017.0</v>
      </c>
      <c r="AV159" s="1">
        <v>43.0</v>
      </c>
      <c r="AW159" s="1">
        <v>7.0</v>
      </c>
      <c r="AX159" s="1" t="s">
        <v>74</v>
      </c>
      <c r="AY159" s="1" t="s">
        <v>74</v>
      </c>
      <c r="AZ159" s="1" t="s">
        <v>74</v>
      </c>
      <c r="BA159" s="1" t="s">
        <v>74</v>
      </c>
      <c r="BB159" s="1">
        <v>5599.0</v>
      </c>
      <c r="BC159" s="1">
        <v>5606.0</v>
      </c>
      <c r="BD159" s="1" t="s">
        <v>74</v>
      </c>
      <c r="BE159" s="1" t="s">
        <v>1775</v>
      </c>
      <c r="BF159" s="2" t="str">
        <f>HYPERLINK("http://dx.doi.org/10.1016/j.ceramint.2017.01.092","http://dx.doi.org/10.1016/j.ceramint.2017.01.092")</f>
        <v>http://dx.doi.org/10.1016/j.ceramint.2017.01.092</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1776</v>
      </c>
      <c r="BT159" s="1" t="str">
        <f>HYPERLINK("https%3A%2F%2Fwww.webofscience.com%2Fwos%2Fwoscc%2Ffull-record%2FWOS:000397075900033","View Full Record in Web of Science")</f>
        <v>View Full Record in Web of Science</v>
      </c>
    </row>
    <row r="160" ht="12.75" customHeight="1">
      <c r="A160" s="1" t="s">
        <v>72</v>
      </c>
      <c r="B160" s="1" t="s">
        <v>1777</v>
      </c>
      <c r="C160" s="1" t="s">
        <v>74</v>
      </c>
      <c r="D160" s="1" t="s">
        <v>74</v>
      </c>
      <c r="E160" s="1" t="s">
        <v>74</v>
      </c>
      <c r="F160" s="1" t="s">
        <v>1778</v>
      </c>
      <c r="G160" s="1" t="s">
        <v>74</v>
      </c>
      <c r="H160" s="1" t="s">
        <v>74</v>
      </c>
      <c r="I160" s="1" t="s">
        <v>1779</v>
      </c>
      <c r="J160" s="1" t="s">
        <v>1780</v>
      </c>
      <c r="K160" s="1" t="s">
        <v>74</v>
      </c>
      <c r="L160" s="1" t="s">
        <v>74</v>
      </c>
      <c r="M160" s="1" t="s">
        <v>74</v>
      </c>
      <c r="N160" s="1" t="s">
        <v>74</v>
      </c>
      <c r="O160" s="1" t="s">
        <v>74</v>
      </c>
      <c r="P160" s="1" t="s">
        <v>74</v>
      </c>
      <c r="Q160" s="1" t="s">
        <v>74</v>
      </c>
      <c r="R160" s="1" t="s">
        <v>74</v>
      </c>
      <c r="S160" s="1" t="s">
        <v>74</v>
      </c>
      <c r="T160" s="1" t="s">
        <v>74</v>
      </c>
      <c r="U160" s="1" t="s">
        <v>74</v>
      </c>
      <c r="V160" s="1" t="s">
        <v>1781</v>
      </c>
      <c r="W160" s="1" t="s">
        <v>74</v>
      </c>
      <c r="X160" s="1" t="s">
        <v>74</v>
      </c>
      <c r="Y160" s="1" t="s">
        <v>74</v>
      </c>
      <c r="Z160" s="1" t="s">
        <v>74</v>
      </c>
      <c r="AA160" s="1" t="s">
        <v>1782</v>
      </c>
      <c r="AB160" s="1" t="s">
        <v>1783</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1784</v>
      </c>
      <c r="AP160" s="1" t="s">
        <v>1785</v>
      </c>
      <c r="AQ160" s="1" t="s">
        <v>74</v>
      </c>
      <c r="AR160" s="1" t="s">
        <v>74</v>
      </c>
      <c r="AS160" s="1" t="s">
        <v>74</v>
      </c>
      <c r="AT160" s="1" t="s">
        <v>1786</v>
      </c>
      <c r="AU160" s="1">
        <v>2017.0</v>
      </c>
      <c r="AV160" s="1">
        <v>428.0</v>
      </c>
      <c r="AW160" s="1" t="s">
        <v>74</v>
      </c>
      <c r="AX160" s="1" t="s">
        <v>74</v>
      </c>
      <c r="AY160" s="1" t="s">
        <v>74</v>
      </c>
      <c r="AZ160" s="1" t="s">
        <v>74</v>
      </c>
      <c r="BA160" s="1" t="s">
        <v>74</v>
      </c>
      <c r="BB160" s="1">
        <v>452.0</v>
      </c>
      <c r="BC160" s="1">
        <v>456.0</v>
      </c>
      <c r="BD160" s="1" t="s">
        <v>74</v>
      </c>
      <c r="BE160" s="1" t="s">
        <v>1787</v>
      </c>
      <c r="BF160" s="2" t="str">
        <f>HYPERLINK("http://dx.doi.org/10.1016/j.jmmm.2016.12.127","http://dx.doi.org/10.1016/j.jmmm.2016.12.127")</f>
        <v>http://dx.doi.org/10.1016/j.jmmm.2016.12.127</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1788</v>
      </c>
      <c r="BT160" s="1" t="str">
        <f>HYPERLINK("https%3A%2F%2Fwww.webofscience.com%2Fwos%2Fwoscc%2Ffull-record%2FWOS:000397200800071","View Full Record in Web of Science")</f>
        <v>View Full Record in Web of Science</v>
      </c>
    </row>
    <row r="161" ht="12.75" customHeight="1">
      <c r="A161" s="1" t="s">
        <v>72</v>
      </c>
      <c r="B161" s="1" t="s">
        <v>1789</v>
      </c>
      <c r="C161" s="1" t="s">
        <v>74</v>
      </c>
      <c r="D161" s="1" t="s">
        <v>74</v>
      </c>
      <c r="E161" s="1" t="s">
        <v>74</v>
      </c>
      <c r="F161" s="1" t="s">
        <v>1790</v>
      </c>
      <c r="G161" s="1" t="s">
        <v>74</v>
      </c>
      <c r="H161" s="1" t="s">
        <v>74</v>
      </c>
      <c r="I161" s="1" t="s">
        <v>1791</v>
      </c>
      <c r="J161" s="1" t="s">
        <v>1792</v>
      </c>
      <c r="K161" s="1" t="s">
        <v>74</v>
      </c>
      <c r="L161" s="1" t="s">
        <v>74</v>
      </c>
      <c r="M161" s="1" t="s">
        <v>74</v>
      </c>
      <c r="N161" s="1" t="s">
        <v>74</v>
      </c>
      <c r="O161" s="1" t="s">
        <v>74</v>
      </c>
      <c r="P161" s="1" t="s">
        <v>74</v>
      </c>
      <c r="Q161" s="1" t="s">
        <v>74</v>
      </c>
      <c r="R161" s="1" t="s">
        <v>74</v>
      </c>
      <c r="S161" s="1" t="s">
        <v>74</v>
      </c>
      <c r="T161" s="1" t="s">
        <v>74</v>
      </c>
      <c r="U161" s="1" t="s">
        <v>74</v>
      </c>
      <c r="V161" s="1" t="s">
        <v>1793</v>
      </c>
      <c r="W161" s="1" t="s">
        <v>74</v>
      </c>
      <c r="X161" s="1" t="s">
        <v>74</v>
      </c>
      <c r="Y161" s="1" t="s">
        <v>74</v>
      </c>
      <c r="Z161" s="1" t="s">
        <v>74</v>
      </c>
      <c r="AA161" s="1" t="s">
        <v>1794</v>
      </c>
      <c r="AB161" s="1" t="s">
        <v>1795</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1796</v>
      </c>
      <c r="AP161" s="1" t="s">
        <v>1797</v>
      </c>
      <c r="AQ161" s="1" t="s">
        <v>74</v>
      </c>
      <c r="AR161" s="1" t="s">
        <v>74</v>
      </c>
      <c r="AS161" s="1" t="s">
        <v>74</v>
      </c>
      <c r="AT161" s="1" t="s">
        <v>176</v>
      </c>
      <c r="AU161" s="1">
        <v>2017.0</v>
      </c>
      <c r="AV161" s="1">
        <v>55.0</v>
      </c>
      <c r="AW161" s="1">
        <v>3.0</v>
      </c>
      <c r="AX161" s="1" t="s">
        <v>74</v>
      </c>
      <c r="AY161" s="1" t="s">
        <v>74</v>
      </c>
      <c r="AZ161" s="1" t="s">
        <v>74</v>
      </c>
      <c r="BA161" s="1" t="s">
        <v>74</v>
      </c>
      <c r="BB161" s="1">
        <v>419.0</v>
      </c>
      <c r="BC161" s="1">
        <v>428.0</v>
      </c>
      <c r="BD161" s="1" t="s">
        <v>74</v>
      </c>
      <c r="BE161" s="1" t="s">
        <v>1798</v>
      </c>
      <c r="BF161" s="2" t="str">
        <f>HYPERLINK("http://dx.doi.org/10.1007/s11517-016-1524-7","http://dx.doi.org/10.1007/s11517-016-1524-7")</f>
        <v>http://dx.doi.org/10.1007/s11517-016-1524-7</v>
      </c>
      <c r="BG161" s="1" t="s">
        <v>74</v>
      </c>
      <c r="BH161" s="1" t="s">
        <v>74</v>
      </c>
      <c r="BI161" s="1" t="s">
        <v>74</v>
      </c>
      <c r="BJ161" s="1" t="s">
        <v>74</v>
      </c>
      <c r="BK161" s="1" t="s">
        <v>74</v>
      </c>
      <c r="BL161" s="1" t="s">
        <v>74</v>
      </c>
      <c r="BM161" s="1" t="s">
        <v>74</v>
      </c>
      <c r="BN161" s="1">
        <v>2.725069E7</v>
      </c>
      <c r="BO161" s="1" t="s">
        <v>74</v>
      </c>
      <c r="BP161" s="1" t="s">
        <v>74</v>
      </c>
      <c r="BQ161" s="1" t="s">
        <v>74</v>
      </c>
      <c r="BR161" s="1" t="s">
        <v>74</v>
      </c>
      <c r="BS161" s="1" t="s">
        <v>1799</v>
      </c>
      <c r="BT161" s="1" t="str">
        <f>HYPERLINK("https%3A%2F%2Fwww.webofscience.com%2Fwos%2Fwoscc%2Ffull-record%2FWOS:000395021300006","View Full Record in Web of Science")</f>
        <v>View Full Record in Web of Science</v>
      </c>
    </row>
    <row r="162" ht="12.75" customHeight="1">
      <c r="A162" s="1" t="s">
        <v>72</v>
      </c>
      <c r="B162" s="1" t="s">
        <v>1800</v>
      </c>
      <c r="C162" s="1" t="s">
        <v>74</v>
      </c>
      <c r="D162" s="1" t="s">
        <v>74</v>
      </c>
      <c r="E162" s="1" t="s">
        <v>74</v>
      </c>
      <c r="F162" s="1" t="s">
        <v>1801</v>
      </c>
      <c r="G162" s="1" t="s">
        <v>74</v>
      </c>
      <c r="H162" s="1" t="s">
        <v>74</v>
      </c>
      <c r="I162" s="1" t="s">
        <v>1802</v>
      </c>
      <c r="J162" s="1" t="s">
        <v>1803</v>
      </c>
      <c r="K162" s="1" t="s">
        <v>74</v>
      </c>
      <c r="L162" s="1" t="s">
        <v>74</v>
      </c>
      <c r="M162" s="1" t="s">
        <v>74</v>
      </c>
      <c r="N162" s="1" t="s">
        <v>74</v>
      </c>
      <c r="O162" s="1" t="s">
        <v>74</v>
      </c>
      <c r="P162" s="1" t="s">
        <v>74</v>
      </c>
      <c r="Q162" s="1" t="s">
        <v>74</v>
      </c>
      <c r="R162" s="1" t="s">
        <v>74</v>
      </c>
      <c r="S162" s="1" t="s">
        <v>74</v>
      </c>
      <c r="T162" s="1" t="s">
        <v>74</v>
      </c>
      <c r="U162" s="1" t="s">
        <v>74</v>
      </c>
      <c r="V162" s="1" t="s">
        <v>1804</v>
      </c>
      <c r="W162" s="1" t="s">
        <v>74</v>
      </c>
      <c r="X162" s="1" t="s">
        <v>74</v>
      </c>
      <c r="Y162" s="1" t="s">
        <v>74</v>
      </c>
      <c r="Z162" s="1" t="s">
        <v>74</v>
      </c>
      <c r="AA162" s="1" t="s">
        <v>1805</v>
      </c>
      <c r="AB162" s="1" t="s">
        <v>1806</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1807</v>
      </c>
      <c r="AP162" s="1" t="s">
        <v>1808</v>
      </c>
      <c r="AQ162" s="1" t="s">
        <v>74</v>
      </c>
      <c r="AR162" s="1" t="s">
        <v>74</v>
      </c>
      <c r="AS162" s="1" t="s">
        <v>74</v>
      </c>
      <c r="AT162" s="1" t="s">
        <v>1809</v>
      </c>
      <c r="AU162" s="1">
        <v>2017.0</v>
      </c>
      <c r="AV162" s="1">
        <v>141.0</v>
      </c>
      <c r="AW162" s="1" t="s">
        <v>74</v>
      </c>
      <c r="AX162" s="1" t="s">
        <v>74</v>
      </c>
      <c r="AY162" s="1" t="s">
        <v>74</v>
      </c>
      <c r="AZ162" s="1" t="s">
        <v>74</v>
      </c>
      <c r="BA162" s="1" t="s">
        <v>74</v>
      </c>
      <c r="BB162" s="1">
        <v>1145.0</v>
      </c>
      <c r="BC162" s="1">
        <v>1163.0</v>
      </c>
      <c r="BD162" s="1" t="s">
        <v>74</v>
      </c>
      <c r="BE162" s="1" t="s">
        <v>1810</v>
      </c>
      <c r="BF162" s="2" t="str">
        <f>HYPERLINK("http://dx.doi.org/10.1016/j.jclepro.2016.09.168","http://dx.doi.org/10.1016/j.jclepro.2016.09.168")</f>
        <v>http://dx.doi.org/10.1016/j.jclepro.2016.09.168</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1811</v>
      </c>
      <c r="BT162" s="1" t="str">
        <f>HYPERLINK("https%3A%2F%2Fwww.webofscience.com%2Fwos%2Fwoscc%2Ffull-record%2FWOS:000389090300105","View Full Record in Web of Science")</f>
        <v>View Full Record in Web of Science</v>
      </c>
    </row>
    <row r="163" ht="12.75" customHeight="1">
      <c r="A163" s="1" t="s">
        <v>154</v>
      </c>
      <c r="B163" s="1" t="s">
        <v>1812</v>
      </c>
      <c r="C163" s="1" t="s">
        <v>74</v>
      </c>
      <c r="D163" s="1" t="s">
        <v>74</v>
      </c>
      <c r="E163" s="1" t="s">
        <v>323</v>
      </c>
      <c r="F163" s="1" t="s">
        <v>1813</v>
      </c>
      <c r="G163" s="1" t="s">
        <v>74</v>
      </c>
      <c r="H163" s="1" t="s">
        <v>74</v>
      </c>
      <c r="I163" s="1" t="s">
        <v>1814</v>
      </c>
      <c r="J163" s="1" t="s">
        <v>1815</v>
      </c>
      <c r="K163" s="1" t="s">
        <v>74</v>
      </c>
      <c r="L163" s="1" t="s">
        <v>74</v>
      </c>
      <c r="M163" s="1" t="s">
        <v>74</v>
      </c>
      <c r="N163" s="1" t="s">
        <v>74</v>
      </c>
      <c r="O163" s="1" t="s">
        <v>1816</v>
      </c>
      <c r="P163" s="1" t="s">
        <v>1817</v>
      </c>
      <c r="Q163" s="1" t="s">
        <v>1818</v>
      </c>
      <c r="R163" s="1" t="s">
        <v>1819</v>
      </c>
      <c r="S163" s="1" t="s">
        <v>74</v>
      </c>
      <c r="T163" s="1" t="s">
        <v>74</v>
      </c>
      <c r="U163" s="1" t="s">
        <v>74</v>
      </c>
      <c r="V163" s="1" t="s">
        <v>1820</v>
      </c>
      <c r="W163" s="1" t="s">
        <v>74</v>
      </c>
      <c r="X163" s="1" t="s">
        <v>74</v>
      </c>
      <c r="Y163" s="1" t="s">
        <v>74</v>
      </c>
      <c r="Z163" s="1" t="s">
        <v>74</v>
      </c>
      <c r="AA163" s="1" t="s">
        <v>1821</v>
      </c>
      <c r="AB163" s="1" t="s">
        <v>555</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74</v>
      </c>
      <c r="AP163" s="1" t="s">
        <v>74</v>
      </c>
      <c r="AQ163" s="1" t="s">
        <v>74</v>
      </c>
      <c r="AR163" s="1" t="s">
        <v>74</v>
      </c>
      <c r="AS163" s="1" t="s">
        <v>74</v>
      </c>
      <c r="AT163" s="1" t="s">
        <v>74</v>
      </c>
      <c r="AU163" s="1">
        <v>2017.0</v>
      </c>
      <c r="AV163" s="1" t="s">
        <v>74</v>
      </c>
      <c r="AW163" s="1" t="s">
        <v>74</v>
      </c>
      <c r="AX163" s="1" t="s">
        <v>74</v>
      </c>
      <c r="AY163" s="1" t="s">
        <v>74</v>
      </c>
      <c r="AZ163" s="1" t="s">
        <v>74</v>
      </c>
      <c r="BA163" s="1" t="s">
        <v>74</v>
      </c>
      <c r="BB163" s="1">
        <v>230.0</v>
      </c>
      <c r="BC163" s="1">
        <v>235.0</v>
      </c>
      <c r="BD163" s="1" t="s">
        <v>74</v>
      </c>
      <c r="BE163" s="1" t="s">
        <v>74</v>
      </c>
      <c r="BF163" s="1" t="s">
        <v>74</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1822</v>
      </c>
      <c r="BT163" s="1" t="str">
        <f>HYPERLINK("https%3A%2F%2Fwww.webofscience.com%2Fwos%2Fwoscc%2Ffull-record%2FWOS:000454362300039","View Full Record in Web of Science")</f>
        <v>View Full Record in Web of Science</v>
      </c>
    </row>
    <row r="164" ht="12.75" customHeight="1">
      <c r="A164" s="1" t="s">
        <v>72</v>
      </c>
      <c r="B164" s="1" t="s">
        <v>1823</v>
      </c>
      <c r="C164" s="1" t="s">
        <v>74</v>
      </c>
      <c r="D164" s="1" t="s">
        <v>74</v>
      </c>
      <c r="E164" s="1" t="s">
        <v>74</v>
      </c>
      <c r="F164" s="1" t="s">
        <v>1824</v>
      </c>
      <c r="G164" s="1" t="s">
        <v>74</v>
      </c>
      <c r="H164" s="1" t="s">
        <v>74</v>
      </c>
      <c r="I164" s="1" t="s">
        <v>1825</v>
      </c>
      <c r="J164" s="1" t="s">
        <v>1023</v>
      </c>
      <c r="K164" s="1" t="s">
        <v>74</v>
      </c>
      <c r="L164" s="1" t="s">
        <v>74</v>
      </c>
      <c r="M164" s="1" t="s">
        <v>74</v>
      </c>
      <c r="N164" s="1" t="s">
        <v>74</v>
      </c>
      <c r="O164" s="1" t="s">
        <v>74</v>
      </c>
      <c r="P164" s="1" t="s">
        <v>74</v>
      </c>
      <c r="Q164" s="1" t="s">
        <v>74</v>
      </c>
      <c r="R164" s="1" t="s">
        <v>74</v>
      </c>
      <c r="S164" s="1" t="s">
        <v>74</v>
      </c>
      <c r="T164" s="1" t="s">
        <v>74</v>
      </c>
      <c r="U164" s="1" t="s">
        <v>74</v>
      </c>
      <c r="V164" s="1" t="s">
        <v>1826</v>
      </c>
      <c r="W164" s="1" t="s">
        <v>74</v>
      </c>
      <c r="X164" s="1" t="s">
        <v>74</v>
      </c>
      <c r="Y164" s="1" t="s">
        <v>74</v>
      </c>
      <c r="Z164" s="1" t="s">
        <v>74</v>
      </c>
      <c r="AA164" s="1" t="s">
        <v>1827</v>
      </c>
      <c r="AB164" s="1" t="s">
        <v>1828</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1027</v>
      </c>
      <c r="AP164" s="1" t="s">
        <v>1829</v>
      </c>
      <c r="AQ164" s="1" t="s">
        <v>74</v>
      </c>
      <c r="AR164" s="1" t="s">
        <v>74</v>
      </c>
      <c r="AS164" s="1" t="s">
        <v>74</v>
      </c>
      <c r="AT164" s="1" t="s">
        <v>1830</v>
      </c>
      <c r="AU164" s="1">
        <v>2016.0</v>
      </c>
      <c r="AV164" s="1">
        <v>49.0</v>
      </c>
      <c r="AW164" s="1">
        <v>17.0</v>
      </c>
      <c r="AX164" s="1" t="s">
        <v>74</v>
      </c>
      <c r="AY164" s="1" t="s">
        <v>74</v>
      </c>
      <c r="AZ164" s="1" t="s">
        <v>74</v>
      </c>
      <c r="BA164" s="1" t="s">
        <v>74</v>
      </c>
      <c r="BB164" s="1" t="s">
        <v>74</v>
      </c>
      <c r="BC164" s="1" t="s">
        <v>74</v>
      </c>
      <c r="BD164" s="1">
        <v>175004.0</v>
      </c>
      <c r="BE164" s="1" t="s">
        <v>1831</v>
      </c>
      <c r="BF164" s="2" t="str">
        <f>HYPERLINK("http://dx.doi.org/10.1088/0022-3727/49/17/175004","http://dx.doi.org/10.1088/0022-3727/49/17/175004")</f>
        <v>http://dx.doi.org/10.1088/0022-3727/49/17/175004</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1832</v>
      </c>
      <c r="BT164" s="1" t="str">
        <f>HYPERLINK("https%3A%2F%2Fwww.webofscience.com%2Fwos%2Fwoscc%2Ffull-record%2FWOS:000374146600004","View Full Record in Web of Science")</f>
        <v>View Full Record in Web of Science</v>
      </c>
    </row>
    <row r="165" ht="12.75" customHeight="1">
      <c r="A165" s="1" t="s">
        <v>72</v>
      </c>
      <c r="B165" s="1" t="s">
        <v>1833</v>
      </c>
      <c r="C165" s="1" t="s">
        <v>74</v>
      </c>
      <c r="D165" s="1" t="s">
        <v>74</v>
      </c>
      <c r="E165" s="1" t="s">
        <v>74</v>
      </c>
      <c r="F165" s="1" t="s">
        <v>1834</v>
      </c>
      <c r="G165" s="1" t="s">
        <v>74</v>
      </c>
      <c r="H165" s="1" t="s">
        <v>74</v>
      </c>
      <c r="I165" s="1" t="s">
        <v>1835</v>
      </c>
      <c r="J165" s="1" t="s">
        <v>392</v>
      </c>
      <c r="K165" s="1" t="s">
        <v>74</v>
      </c>
      <c r="L165" s="1" t="s">
        <v>74</v>
      </c>
      <c r="M165" s="1" t="s">
        <v>74</v>
      </c>
      <c r="N165" s="1" t="s">
        <v>74</v>
      </c>
      <c r="O165" s="1" t="s">
        <v>74</v>
      </c>
      <c r="P165" s="1" t="s">
        <v>74</v>
      </c>
      <c r="Q165" s="1" t="s">
        <v>74</v>
      </c>
      <c r="R165" s="1" t="s">
        <v>74</v>
      </c>
      <c r="S165" s="1" t="s">
        <v>74</v>
      </c>
      <c r="T165" s="1" t="s">
        <v>74</v>
      </c>
      <c r="U165" s="1" t="s">
        <v>74</v>
      </c>
      <c r="V165" s="1" t="s">
        <v>1836</v>
      </c>
      <c r="W165" s="1" t="s">
        <v>74</v>
      </c>
      <c r="X165" s="1" t="s">
        <v>74</v>
      </c>
      <c r="Y165" s="1" t="s">
        <v>74</v>
      </c>
      <c r="Z165" s="1" t="s">
        <v>74</v>
      </c>
      <c r="AA165" s="1" t="s">
        <v>1837</v>
      </c>
      <c r="AB165" s="1" t="s">
        <v>1838</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1839</v>
      </c>
      <c r="AP165" s="1" t="s">
        <v>1840</v>
      </c>
      <c r="AQ165" s="1" t="s">
        <v>74</v>
      </c>
      <c r="AR165" s="1" t="s">
        <v>74</v>
      </c>
      <c r="AS165" s="1" t="s">
        <v>74</v>
      </c>
      <c r="AT165" s="1" t="s">
        <v>1841</v>
      </c>
      <c r="AU165" s="1">
        <v>2015.0</v>
      </c>
      <c r="AV165" s="1">
        <v>91.0</v>
      </c>
      <c r="AW165" s="1">
        <v>12.0</v>
      </c>
      <c r="AX165" s="1" t="s">
        <v>74</v>
      </c>
      <c r="AY165" s="1" t="s">
        <v>74</v>
      </c>
      <c r="AZ165" s="1" t="s">
        <v>74</v>
      </c>
      <c r="BA165" s="1" t="s">
        <v>74</v>
      </c>
      <c r="BB165" s="1" t="s">
        <v>74</v>
      </c>
      <c r="BC165" s="1" t="s">
        <v>74</v>
      </c>
      <c r="BD165" s="1">
        <v>123528.0</v>
      </c>
      <c r="BE165" s="1" t="s">
        <v>1842</v>
      </c>
      <c r="BF165" s="2" t="str">
        <f>HYPERLINK("http://dx.doi.org/10.1103/PhysRevD.91.123528","http://dx.doi.org/10.1103/PhysRevD.91.123528")</f>
        <v>http://dx.doi.org/10.1103/PhysRevD.91.123528</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1843</v>
      </c>
      <c r="BT165" s="1" t="str">
        <f>HYPERLINK("https%3A%2F%2Fwww.webofscience.com%2Fwos%2Fwoscc%2Ffull-record%2FWOS:000356483200002","View Full Record in Web of Science")</f>
        <v>View Full Record in Web of Science</v>
      </c>
    </row>
    <row r="166" ht="12.75" customHeight="1">
      <c r="A166" s="1" t="s">
        <v>1844</v>
      </c>
      <c r="B166" s="1" t="s">
        <v>1845</v>
      </c>
      <c r="C166" s="1" t="s">
        <v>74</v>
      </c>
      <c r="D166" s="1" t="s">
        <v>1846</v>
      </c>
      <c r="E166" s="1" t="s">
        <v>74</v>
      </c>
      <c r="F166" s="1" t="s">
        <v>1847</v>
      </c>
      <c r="G166" s="1" t="s">
        <v>74</v>
      </c>
      <c r="H166" s="1" t="s">
        <v>74</v>
      </c>
      <c r="I166" s="1" t="s">
        <v>1848</v>
      </c>
      <c r="J166" s="1" t="s">
        <v>1849</v>
      </c>
      <c r="K166" s="1" t="s">
        <v>74</v>
      </c>
      <c r="L166" s="1" t="s">
        <v>74</v>
      </c>
      <c r="M166" s="1" t="s">
        <v>74</v>
      </c>
      <c r="N166" s="1" t="s">
        <v>74</v>
      </c>
      <c r="O166" s="1" t="s">
        <v>74</v>
      </c>
      <c r="P166" s="1" t="s">
        <v>74</v>
      </c>
      <c r="Q166" s="1" t="s">
        <v>74</v>
      </c>
      <c r="R166" s="1" t="s">
        <v>74</v>
      </c>
      <c r="S166" s="1" t="s">
        <v>74</v>
      </c>
      <c r="T166" s="1" t="s">
        <v>74</v>
      </c>
      <c r="U166" s="1" t="s">
        <v>74</v>
      </c>
      <c r="V166" s="1" t="s">
        <v>74</v>
      </c>
      <c r="W166" s="1" t="s">
        <v>74</v>
      </c>
      <c r="X166" s="1" t="s">
        <v>74</v>
      </c>
      <c r="Y166" s="1" t="s">
        <v>74</v>
      </c>
      <c r="Z166" s="1" t="s">
        <v>74</v>
      </c>
      <c r="AA166" s="1" t="s">
        <v>1850</v>
      </c>
      <c r="AB166" s="1" t="s">
        <v>74</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74</v>
      </c>
      <c r="AP166" s="1" t="s">
        <v>74</v>
      </c>
      <c r="AQ166" s="1" t="s">
        <v>1851</v>
      </c>
      <c r="AR166" s="1" t="s">
        <v>74</v>
      </c>
      <c r="AS166" s="1" t="s">
        <v>74</v>
      </c>
      <c r="AT166" s="1" t="s">
        <v>74</v>
      </c>
      <c r="AU166" s="1">
        <v>2012.0</v>
      </c>
      <c r="AV166" s="1" t="s">
        <v>74</v>
      </c>
      <c r="AW166" s="1" t="s">
        <v>74</v>
      </c>
      <c r="AX166" s="1" t="s">
        <v>74</v>
      </c>
      <c r="AY166" s="1" t="s">
        <v>74</v>
      </c>
      <c r="AZ166" s="1" t="s">
        <v>74</v>
      </c>
      <c r="BA166" s="1" t="s">
        <v>74</v>
      </c>
      <c r="BB166" s="1" t="s">
        <v>1852</v>
      </c>
      <c r="BC166" s="1" t="s">
        <v>1853</v>
      </c>
      <c r="BD166" s="1" t="s">
        <v>74</v>
      </c>
      <c r="BE166" s="1" t="s">
        <v>74</v>
      </c>
      <c r="BF166" s="1" t="s">
        <v>74</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1854</v>
      </c>
      <c r="BT166" s="1" t="str">
        <f>HYPERLINK("https%3A%2F%2Fwww.webofscience.com%2Fwos%2Fwoscc%2Ffull-record%2FWOS:000361894300002","View Full Record in Web of Science")</f>
        <v>View Full Record in Web of Science</v>
      </c>
    </row>
    <row r="167" ht="12.75" customHeight="1">
      <c r="A167" s="1" t="s">
        <v>72</v>
      </c>
      <c r="B167" s="1" t="s">
        <v>1855</v>
      </c>
      <c r="C167" s="1" t="s">
        <v>74</v>
      </c>
      <c r="D167" s="1" t="s">
        <v>74</v>
      </c>
      <c r="E167" s="1" t="s">
        <v>74</v>
      </c>
      <c r="F167" s="1" t="s">
        <v>1856</v>
      </c>
      <c r="G167" s="1" t="s">
        <v>74</v>
      </c>
      <c r="H167" s="1" t="s">
        <v>74</v>
      </c>
      <c r="I167" s="1" t="s">
        <v>1857</v>
      </c>
      <c r="J167" s="1" t="s">
        <v>1858</v>
      </c>
      <c r="K167" s="1" t="s">
        <v>74</v>
      </c>
      <c r="L167" s="1" t="s">
        <v>74</v>
      </c>
      <c r="M167" s="1" t="s">
        <v>74</v>
      </c>
      <c r="N167" s="1" t="s">
        <v>74</v>
      </c>
      <c r="O167" s="1" t="s">
        <v>74</v>
      </c>
      <c r="P167" s="1" t="s">
        <v>74</v>
      </c>
      <c r="Q167" s="1" t="s">
        <v>74</v>
      </c>
      <c r="R167" s="1" t="s">
        <v>74</v>
      </c>
      <c r="S167" s="1" t="s">
        <v>74</v>
      </c>
      <c r="T167" s="1" t="s">
        <v>74</v>
      </c>
      <c r="U167" s="1" t="s">
        <v>74</v>
      </c>
      <c r="V167" s="1" t="s">
        <v>1859</v>
      </c>
      <c r="W167" s="1" t="s">
        <v>74</v>
      </c>
      <c r="X167" s="1" t="s">
        <v>74</v>
      </c>
      <c r="Y167" s="1" t="s">
        <v>74</v>
      </c>
      <c r="Z167" s="1" t="s">
        <v>74</v>
      </c>
      <c r="AA167" s="1" t="s">
        <v>1860</v>
      </c>
      <c r="AB167" s="1" t="s">
        <v>1861</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1862</v>
      </c>
      <c r="AP167" s="1" t="s">
        <v>1863</v>
      </c>
      <c r="AQ167" s="1" t="s">
        <v>74</v>
      </c>
      <c r="AR167" s="1" t="s">
        <v>74</v>
      </c>
      <c r="AS167" s="1" t="s">
        <v>74</v>
      </c>
      <c r="AT167" s="1" t="s">
        <v>151</v>
      </c>
      <c r="AU167" s="1">
        <v>2010.0</v>
      </c>
      <c r="AV167" s="1">
        <v>124.0</v>
      </c>
      <c r="AW167" s="1">
        <v>5.0</v>
      </c>
      <c r="AX167" s="1" t="s">
        <v>74</v>
      </c>
      <c r="AY167" s="1" t="s">
        <v>74</v>
      </c>
      <c r="AZ167" s="1" t="s">
        <v>74</v>
      </c>
      <c r="BA167" s="1" t="s">
        <v>74</v>
      </c>
      <c r="BB167" s="1">
        <v>662.0</v>
      </c>
      <c r="BC167" s="1">
        <v>676.0</v>
      </c>
      <c r="BD167" s="1" t="s">
        <v>74</v>
      </c>
      <c r="BE167" s="1" t="s">
        <v>1864</v>
      </c>
      <c r="BF167" s="2" t="str">
        <f>HYPERLINK("http://dx.doi.org/10.1037/a0020827","http://dx.doi.org/10.1037/a0020827")</f>
        <v>http://dx.doi.org/10.1037/a0020827</v>
      </c>
      <c r="BG167" s="1" t="s">
        <v>74</v>
      </c>
      <c r="BH167" s="1" t="s">
        <v>74</v>
      </c>
      <c r="BI167" s="1" t="s">
        <v>74</v>
      </c>
      <c r="BJ167" s="1" t="s">
        <v>74</v>
      </c>
      <c r="BK167" s="1" t="s">
        <v>74</v>
      </c>
      <c r="BL167" s="1" t="s">
        <v>74</v>
      </c>
      <c r="BM167" s="1" t="s">
        <v>74</v>
      </c>
      <c r="BN167" s="1">
        <v>2.0939666E7</v>
      </c>
      <c r="BO167" s="1" t="s">
        <v>74</v>
      </c>
      <c r="BP167" s="1" t="s">
        <v>74</v>
      </c>
      <c r="BQ167" s="1" t="s">
        <v>74</v>
      </c>
      <c r="BR167" s="1" t="s">
        <v>74</v>
      </c>
      <c r="BS167" s="1" t="s">
        <v>1865</v>
      </c>
      <c r="BT167" s="1" t="str">
        <f>HYPERLINK("https%3A%2F%2Fwww.webofscience.com%2Fwos%2Fwoscc%2Ffull-record%2FWOS:000282673800010","View Full Record in Web of Science")</f>
        <v>View Full Record in Web of Science</v>
      </c>
    </row>
    <row r="168" ht="12.75" customHeight="1">
      <c r="A168" s="1" t="s">
        <v>72</v>
      </c>
      <c r="B168" s="1" t="s">
        <v>1866</v>
      </c>
      <c r="C168" s="1" t="s">
        <v>74</v>
      </c>
      <c r="D168" s="1" t="s">
        <v>74</v>
      </c>
      <c r="E168" s="1" t="s">
        <v>74</v>
      </c>
      <c r="F168" s="1" t="s">
        <v>1867</v>
      </c>
      <c r="G168" s="1" t="s">
        <v>74</v>
      </c>
      <c r="H168" s="1" t="s">
        <v>74</v>
      </c>
      <c r="I168" s="1" t="s">
        <v>1868</v>
      </c>
      <c r="J168" s="1" t="s">
        <v>948</v>
      </c>
      <c r="K168" s="1" t="s">
        <v>74</v>
      </c>
      <c r="L168" s="1" t="s">
        <v>74</v>
      </c>
      <c r="M168" s="1" t="s">
        <v>74</v>
      </c>
      <c r="N168" s="1" t="s">
        <v>74</v>
      </c>
      <c r="O168" s="1" t="s">
        <v>74</v>
      </c>
      <c r="P168" s="1" t="s">
        <v>74</v>
      </c>
      <c r="Q168" s="1" t="s">
        <v>74</v>
      </c>
      <c r="R168" s="1" t="s">
        <v>74</v>
      </c>
      <c r="S168" s="1" t="s">
        <v>74</v>
      </c>
      <c r="T168" s="1" t="s">
        <v>74</v>
      </c>
      <c r="U168" s="1" t="s">
        <v>74</v>
      </c>
      <c r="V168" s="1" t="s">
        <v>1869</v>
      </c>
      <c r="W168" s="1" t="s">
        <v>74</v>
      </c>
      <c r="X168" s="1" t="s">
        <v>74</v>
      </c>
      <c r="Y168" s="1" t="s">
        <v>74</v>
      </c>
      <c r="Z168" s="1" t="s">
        <v>74</v>
      </c>
      <c r="AA168" s="1" t="s">
        <v>1870</v>
      </c>
      <c r="AB168" s="1" t="s">
        <v>1871</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952</v>
      </c>
      <c r="AP168" s="1" t="s">
        <v>74</v>
      </c>
      <c r="AQ168" s="1" t="s">
        <v>74</v>
      </c>
      <c r="AR168" s="1" t="s">
        <v>74</v>
      </c>
      <c r="AS168" s="1" t="s">
        <v>74</v>
      </c>
      <c r="AT168" s="1" t="s">
        <v>83</v>
      </c>
      <c r="AU168" s="1">
        <v>2008.0</v>
      </c>
      <c r="AV168" s="1">
        <v>53.0</v>
      </c>
      <c r="AW168" s="1">
        <v>4.0</v>
      </c>
      <c r="AX168" s="1" t="s">
        <v>74</v>
      </c>
      <c r="AY168" s="1" t="s">
        <v>74</v>
      </c>
      <c r="AZ168" s="1" t="s">
        <v>74</v>
      </c>
      <c r="BA168" s="1" t="s">
        <v>74</v>
      </c>
      <c r="BB168" s="1">
        <v>1658.0</v>
      </c>
      <c r="BC168" s="1">
        <v>1662.0</v>
      </c>
      <c r="BD168" s="1" t="s">
        <v>74</v>
      </c>
      <c r="BE168" s="1" t="s">
        <v>74</v>
      </c>
      <c r="BF168" s="1" t="s">
        <v>74</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1872</v>
      </c>
      <c r="BT168" s="1" t="str">
        <f>HYPERLINK("https%3A%2F%2Fwww.webofscience.com%2Fwos%2Fwoscc%2Ffull-record%2FWOS:000262222500003","View Full Record in Web of Science")</f>
        <v>View Full Record in Web of Science</v>
      </c>
    </row>
    <row r="169" ht="12.75" customHeight="1">
      <c r="A169" s="1" t="s">
        <v>72</v>
      </c>
      <c r="B169" s="1" t="s">
        <v>1873</v>
      </c>
      <c r="C169" s="1" t="s">
        <v>74</v>
      </c>
      <c r="D169" s="1" t="s">
        <v>74</v>
      </c>
      <c r="E169" s="1" t="s">
        <v>74</v>
      </c>
      <c r="F169" s="1" t="s">
        <v>1874</v>
      </c>
      <c r="G169" s="1" t="s">
        <v>74</v>
      </c>
      <c r="H169" s="1" t="s">
        <v>74</v>
      </c>
      <c r="I169" s="1" t="s">
        <v>1875</v>
      </c>
      <c r="J169" s="1" t="s">
        <v>246</v>
      </c>
      <c r="K169" s="1" t="s">
        <v>74</v>
      </c>
      <c r="L169" s="1" t="s">
        <v>74</v>
      </c>
      <c r="M169" s="1" t="s">
        <v>74</v>
      </c>
      <c r="N169" s="1" t="s">
        <v>74</v>
      </c>
      <c r="O169" s="1" t="s">
        <v>1876</v>
      </c>
      <c r="P169" s="1" t="s">
        <v>1877</v>
      </c>
      <c r="Q169" s="1" t="s">
        <v>1878</v>
      </c>
      <c r="R169" s="1" t="s">
        <v>1879</v>
      </c>
      <c r="S169" s="1" t="s">
        <v>74</v>
      </c>
      <c r="T169" s="1" t="s">
        <v>74</v>
      </c>
      <c r="U169" s="1" t="s">
        <v>74</v>
      </c>
      <c r="V169" s="1" t="s">
        <v>74</v>
      </c>
      <c r="W169" s="1" t="s">
        <v>74</v>
      </c>
      <c r="X169" s="1" t="s">
        <v>74</v>
      </c>
      <c r="Y169" s="1" t="s">
        <v>74</v>
      </c>
      <c r="Z169" s="1" t="s">
        <v>74</v>
      </c>
      <c r="AA169" s="1" t="s">
        <v>1880</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248</v>
      </c>
      <c r="AP169" s="1" t="s">
        <v>74</v>
      </c>
      <c r="AQ169" s="1" t="s">
        <v>74</v>
      </c>
      <c r="AR169" s="1" t="s">
        <v>74</v>
      </c>
      <c r="AS169" s="1" t="s">
        <v>74</v>
      </c>
      <c r="AT169" s="1" t="s">
        <v>1881</v>
      </c>
      <c r="AU169" s="1">
        <v>2008.0</v>
      </c>
      <c r="AV169" s="1">
        <v>235.0</v>
      </c>
      <c r="AW169" s="1" t="s">
        <v>74</v>
      </c>
      <c r="AX169" s="1" t="s">
        <v>74</v>
      </c>
      <c r="AY169" s="1" t="s">
        <v>74</v>
      </c>
      <c r="AZ169" s="1" t="s">
        <v>74</v>
      </c>
      <c r="BA169" s="1" t="s">
        <v>1882</v>
      </c>
      <c r="BB169" s="1" t="s">
        <v>74</v>
      </c>
      <c r="BC169" s="1" t="s">
        <v>74</v>
      </c>
      <c r="BD169" s="1" t="s">
        <v>74</v>
      </c>
      <c r="BE169" s="1" t="s">
        <v>74</v>
      </c>
      <c r="BF169" s="1" t="s">
        <v>74</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1883</v>
      </c>
      <c r="BT169" s="1" t="str">
        <f>HYPERLINK("https%3A%2F%2Fwww.webofscience.com%2Fwos%2Fwoscc%2Ffull-record%2FWOS:000271775109178","View Full Record in Web of Science")</f>
        <v>View Full Record in Web of Science</v>
      </c>
    </row>
    <row r="170" ht="12.75" customHeight="1">
      <c r="A170" s="1" t="s">
        <v>72</v>
      </c>
      <c r="B170" s="1" t="s">
        <v>1884</v>
      </c>
      <c r="C170" s="1" t="s">
        <v>74</v>
      </c>
      <c r="D170" s="1" t="s">
        <v>74</v>
      </c>
      <c r="E170" s="1" t="s">
        <v>74</v>
      </c>
      <c r="F170" s="1" t="s">
        <v>1884</v>
      </c>
      <c r="G170" s="1" t="s">
        <v>74</v>
      </c>
      <c r="H170" s="1" t="s">
        <v>74</v>
      </c>
      <c r="I170" s="1" t="s">
        <v>1885</v>
      </c>
      <c r="J170" s="1" t="s">
        <v>1886</v>
      </c>
      <c r="K170" s="1" t="s">
        <v>74</v>
      </c>
      <c r="L170" s="1" t="s">
        <v>74</v>
      </c>
      <c r="M170" s="1" t="s">
        <v>74</v>
      </c>
      <c r="N170" s="1" t="s">
        <v>74</v>
      </c>
      <c r="O170" s="1" t="s">
        <v>74</v>
      </c>
      <c r="P170" s="1" t="s">
        <v>74</v>
      </c>
      <c r="Q170" s="1" t="s">
        <v>74</v>
      </c>
      <c r="R170" s="1" t="s">
        <v>74</v>
      </c>
      <c r="S170" s="1" t="s">
        <v>74</v>
      </c>
      <c r="T170" s="1" t="s">
        <v>74</v>
      </c>
      <c r="U170" s="1" t="s">
        <v>74</v>
      </c>
      <c r="V170" s="1" t="s">
        <v>1887</v>
      </c>
      <c r="W170" s="1" t="s">
        <v>74</v>
      </c>
      <c r="X170" s="1" t="s">
        <v>74</v>
      </c>
      <c r="Y170" s="1" t="s">
        <v>74</v>
      </c>
      <c r="Z170" s="1" t="s">
        <v>74</v>
      </c>
      <c r="AA170" s="1" t="s">
        <v>1888</v>
      </c>
      <c r="AB170" s="1" t="s">
        <v>1889</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1890</v>
      </c>
      <c r="AP170" s="1" t="s">
        <v>1891</v>
      </c>
      <c r="AQ170" s="1" t="s">
        <v>74</v>
      </c>
      <c r="AR170" s="1" t="s">
        <v>74</v>
      </c>
      <c r="AS170" s="1" t="s">
        <v>74</v>
      </c>
      <c r="AT170" s="1" t="s">
        <v>1892</v>
      </c>
      <c r="AU170" s="1">
        <v>2004.0</v>
      </c>
      <c r="AV170" s="1">
        <v>11.0</v>
      </c>
      <c r="AW170" s="1">
        <v>1.0</v>
      </c>
      <c r="AX170" s="1" t="s">
        <v>74</v>
      </c>
      <c r="AY170" s="1" t="s">
        <v>74</v>
      </c>
      <c r="AZ170" s="1" t="s">
        <v>74</v>
      </c>
      <c r="BA170" s="1" t="s">
        <v>74</v>
      </c>
      <c r="BB170" s="1">
        <v>78.0</v>
      </c>
      <c r="BC170" s="1">
        <v>81.0</v>
      </c>
      <c r="BD170" s="1" t="s">
        <v>74</v>
      </c>
      <c r="BE170" s="1" t="s">
        <v>1893</v>
      </c>
      <c r="BF170" s="2" t="str">
        <f>HYPERLINK("http://dx.doi.org/10.1097/01.GME.0000072481.97324.7F","http://dx.doi.org/10.1097/01.GME.0000072481.97324.7F")</f>
        <v>http://dx.doi.org/10.1097/01.GME.0000072481.97324.7F</v>
      </c>
      <c r="BG170" s="1" t="s">
        <v>74</v>
      </c>
      <c r="BH170" s="1" t="s">
        <v>74</v>
      </c>
      <c r="BI170" s="1" t="s">
        <v>74</v>
      </c>
      <c r="BJ170" s="1" t="s">
        <v>74</v>
      </c>
      <c r="BK170" s="1" t="s">
        <v>74</v>
      </c>
      <c r="BL170" s="1" t="s">
        <v>74</v>
      </c>
      <c r="BM170" s="1" t="s">
        <v>74</v>
      </c>
      <c r="BN170" s="1">
        <v>1.4716186E7</v>
      </c>
      <c r="BO170" s="1" t="s">
        <v>74</v>
      </c>
      <c r="BP170" s="1" t="s">
        <v>74</v>
      </c>
      <c r="BQ170" s="1" t="s">
        <v>74</v>
      </c>
      <c r="BR170" s="1" t="s">
        <v>74</v>
      </c>
      <c r="BS170" s="1" t="s">
        <v>1894</v>
      </c>
      <c r="BT170" s="1" t="str">
        <f>HYPERLINK("https%3A%2F%2Fwww.webofscience.com%2Fwos%2Fwoscc%2Ffull-record%2FWOS:000188255700012","View Full Record in Web of Science")</f>
        <v>View Full Record in Web of Science</v>
      </c>
    </row>
    <row r="171" ht="12.75" customHeight="1">
      <c r="A171" s="1" t="s">
        <v>72</v>
      </c>
      <c r="B171" s="1" t="s">
        <v>1895</v>
      </c>
      <c r="C171" s="1" t="s">
        <v>74</v>
      </c>
      <c r="D171" s="1" t="s">
        <v>74</v>
      </c>
      <c r="E171" s="1" t="s">
        <v>74</v>
      </c>
      <c r="F171" s="1" t="s">
        <v>1895</v>
      </c>
      <c r="G171" s="1" t="s">
        <v>74</v>
      </c>
      <c r="H171" s="1" t="s">
        <v>74</v>
      </c>
      <c r="I171" s="1" t="s">
        <v>1896</v>
      </c>
      <c r="J171" s="1" t="s">
        <v>1897</v>
      </c>
      <c r="K171" s="1" t="s">
        <v>74</v>
      </c>
      <c r="L171" s="1" t="s">
        <v>74</v>
      </c>
      <c r="M171" s="1" t="s">
        <v>74</v>
      </c>
      <c r="N171" s="1" t="s">
        <v>74</v>
      </c>
      <c r="O171" s="1" t="s">
        <v>74</v>
      </c>
      <c r="P171" s="1" t="s">
        <v>74</v>
      </c>
      <c r="Q171" s="1" t="s">
        <v>74</v>
      </c>
      <c r="R171" s="1" t="s">
        <v>74</v>
      </c>
      <c r="S171" s="1" t="s">
        <v>74</v>
      </c>
      <c r="T171" s="1" t="s">
        <v>74</v>
      </c>
      <c r="U171" s="1" t="s">
        <v>74</v>
      </c>
      <c r="V171" s="1" t="s">
        <v>1898</v>
      </c>
      <c r="W171" s="1" t="s">
        <v>74</v>
      </c>
      <c r="X171" s="1" t="s">
        <v>74</v>
      </c>
      <c r="Y171" s="1" t="s">
        <v>74</v>
      </c>
      <c r="Z171" s="1" t="s">
        <v>74</v>
      </c>
      <c r="AA171" s="1" t="s">
        <v>1899</v>
      </c>
      <c r="AB171" s="1" t="s">
        <v>1900</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1901</v>
      </c>
      <c r="AP171" s="1" t="s">
        <v>74</v>
      </c>
      <c r="AQ171" s="1" t="s">
        <v>74</v>
      </c>
      <c r="AR171" s="1" t="s">
        <v>74</v>
      </c>
      <c r="AS171" s="1" t="s">
        <v>74</v>
      </c>
      <c r="AT171" s="1" t="s">
        <v>385</v>
      </c>
      <c r="AU171" s="1">
        <v>2002.0</v>
      </c>
      <c r="AV171" s="1">
        <v>136.0</v>
      </c>
      <c r="AW171" s="1">
        <v>4.0</v>
      </c>
      <c r="AX171" s="1" t="s">
        <v>74</v>
      </c>
      <c r="AY171" s="1" t="s">
        <v>74</v>
      </c>
      <c r="AZ171" s="1" t="s">
        <v>74</v>
      </c>
      <c r="BA171" s="1" t="s">
        <v>74</v>
      </c>
      <c r="BB171" s="1">
        <v>510.0</v>
      </c>
      <c r="BC171" s="1">
        <v>519.0</v>
      </c>
      <c r="BD171" s="1" t="s">
        <v>74</v>
      </c>
      <c r="BE171" s="1" t="s">
        <v>1902</v>
      </c>
      <c r="BF171" s="2" t="str">
        <f>HYPERLINK("http://dx.doi.org/10.1038/sj.bjp.0704747","http://dx.doi.org/10.1038/sj.bjp.0704747")</f>
        <v>http://dx.doi.org/10.1038/sj.bjp.0704747</v>
      </c>
      <c r="BG171" s="1" t="s">
        <v>74</v>
      </c>
      <c r="BH171" s="1" t="s">
        <v>74</v>
      </c>
      <c r="BI171" s="1" t="s">
        <v>74</v>
      </c>
      <c r="BJ171" s="1" t="s">
        <v>74</v>
      </c>
      <c r="BK171" s="1" t="s">
        <v>74</v>
      </c>
      <c r="BL171" s="1" t="s">
        <v>74</v>
      </c>
      <c r="BM171" s="1" t="s">
        <v>74</v>
      </c>
      <c r="BN171" s="1">
        <v>1.2055129E7</v>
      </c>
      <c r="BO171" s="1" t="s">
        <v>74</v>
      </c>
      <c r="BP171" s="1" t="s">
        <v>74</v>
      </c>
      <c r="BQ171" s="1" t="s">
        <v>74</v>
      </c>
      <c r="BR171" s="1" t="s">
        <v>74</v>
      </c>
      <c r="BS171" s="1" t="s">
        <v>1903</v>
      </c>
      <c r="BT171" s="1" t="str">
        <f>HYPERLINK("https%3A%2F%2Fwww.webofscience.com%2Fwos%2Fwoscc%2Ffull-record%2FWOS:000176334200005","View Full Record in Web of Science")</f>
        <v>View Full Record in Web of Science</v>
      </c>
    </row>
    <row r="172" ht="12.75" customHeight="1">
      <c r="A172" s="1" t="s">
        <v>72</v>
      </c>
      <c r="B172" s="1" t="s">
        <v>1904</v>
      </c>
      <c r="C172" s="1" t="s">
        <v>74</v>
      </c>
      <c r="D172" s="1" t="s">
        <v>74</v>
      </c>
      <c r="E172" s="1" t="s">
        <v>74</v>
      </c>
      <c r="F172" s="1" t="s">
        <v>1904</v>
      </c>
      <c r="G172" s="1" t="s">
        <v>74</v>
      </c>
      <c r="H172" s="1" t="s">
        <v>74</v>
      </c>
      <c r="I172" s="1" t="s">
        <v>1905</v>
      </c>
      <c r="J172" s="1" t="s">
        <v>1906</v>
      </c>
      <c r="K172" s="1" t="s">
        <v>74</v>
      </c>
      <c r="L172" s="1" t="s">
        <v>74</v>
      </c>
      <c r="M172" s="1" t="s">
        <v>74</v>
      </c>
      <c r="N172" s="1" t="s">
        <v>74</v>
      </c>
      <c r="O172" s="1" t="s">
        <v>74</v>
      </c>
      <c r="P172" s="1" t="s">
        <v>74</v>
      </c>
      <c r="Q172" s="1" t="s">
        <v>74</v>
      </c>
      <c r="R172" s="1" t="s">
        <v>74</v>
      </c>
      <c r="S172" s="1" t="s">
        <v>74</v>
      </c>
      <c r="T172" s="1" t="s">
        <v>74</v>
      </c>
      <c r="U172" s="1" t="s">
        <v>74</v>
      </c>
      <c r="V172" s="1" t="s">
        <v>1907</v>
      </c>
      <c r="W172" s="1" t="s">
        <v>74</v>
      </c>
      <c r="X172" s="1" t="s">
        <v>74</v>
      </c>
      <c r="Y172" s="1" t="s">
        <v>74</v>
      </c>
      <c r="Z172" s="1" t="s">
        <v>74</v>
      </c>
      <c r="AA172" s="1" t="s">
        <v>74</v>
      </c>
      <c r="AB172" s="1" t="s">
        <v>1908</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1909</v>
      </c>
      <c r="AP172" s="1" t="s">
        <v>74</v>
      </c>
      <c r="AQ172" s="1" t="s">
        <v>74</v>
      </c>
      <c r="AR172" s="1" t="s">
        <v>74</v>
      </c>
      <c r="AS172" s="1" t="s">
        <v>74</v>
      </c>
      <c r="AT172" s="1" t="s">
        <v>385</v>
      </c>
      <c r="AU172" s="1">
        <v>1998.0</v>
      </c>
      <c r="AV172" s="1">
        <v>15.0</v>
      </c>
      <c r="AW172" s="1">
        <v>6.0</v>
      </c>
      <c r="AX172" s="1" t="s">
        <v>74</v>
      </c>
      <c r="AY172" s="1" t="s">
        <v>74</v>
      </c>
      <c r="AZ172" s="1" t="s">
        <v>74</v>
      </c>
      <c r="BA172" s="1" t="s">
        <v>74</v>
      </c>
      <c r="BB172" s="1">
        <v>1527.0</v>
      </c>
      <c r="BC172" s="1">
        <v>1534.0</v>
      </c>
      <c r="BD172" s="1" t="s">
        <v>74</v>
      </c>
      <c r="BE172" s="1" t="s">
        <v>1910</v>
      </c>
      <c r="BF172" s="2" t="str">
        <f>HYPERLINK("http://dx.doi.org/10.1088/0264-9381/15/6/009","http://dx.doi.org/10.1088/0264-9381/15/6/009")</f>
        <v>http://dx.doi.org/10.1088/0264-9381/15/6/009</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1911</v>
      </c>
      <c r="BT172" s="1" t="str">
        <f>HYPERLINK("https%3A%2F%2Fwww.webofscience.com%2Fwos%2Fwoscc%2Ffull-record%2FWOS:000074298700009","View Full Record in Web of Science")</f>
        <v>View Full Record in Web of Science</v>
      </c>
    </row>
    <row r="173" ht="12.75" customHeight="1">
      <c r="A173" s="1" t="s">
        <v>72</v>
      </c>
      <c r="B173" s="1" t="s">
        <v>1912</v>
      </c>
      <c r="C173" s="1" t="s">
        <v>74</v>
      </c>
      <c r="D173" s="1" t="s">
        <v>74</v>
      </c>
      <c r="E173" s="1" t="s">
        <v>74</v>
      </c>
      <c r="F173" s="1" t="s">
        <v>1913</v>
      </c>
      <c r="G173" s="1" t="s">
        <v>74</v>
      </c>
      <c r="H173" s="1" t="s">
        <v>74</v>
      </c>
      <c r="I173" s="1" t="s">
        <v>1914</v>
      </c>
      <c r="J173" s="1" t="s">
        <v>1915</v>
      </c>
      <c r="K173" s="1" t="s">
        <v>74</v>
      </c>
      <c r="L173" s="1" t="s">
        <v>74</v>
      </c>
      <c r="M173" s="1" t="s">
        <v>74</v>
      </c>
      <c r="N173" s="1" t="s">
        <v>74</v>
      </c>
      <c r="O173" s="1" t="s">
        <v>74</v>
      </c>
      <c r="P173" s="1" t="s">
        <v>74</v>
      </c>
      <c r="Q173" s="1" t="s">
        <v>74</v>
      </c>
      <c r="R173" s="1" t="s">
        <v>74</v>
      </c>
      <c r="S173" s="1" t="s">
        <v>74</v>
      </c>
      <c r="T173" s="1" t="s">
        <v>74</v>
      </c>
      <c r="U173" s="1" t="s">
        <v>74</v>
      </c>
      <c r="V173" s="1" t="s">
        <v>1916</v>
      </c>
      <c r="W173" s="1" t="s">
        <v>74</v>
      </c>
      <c r="X173" s="1" t="s">
        <v>74</v>
      </c>
      <c r="Y173" s="1" t="s">
        <v>74</v>
      </c>
      <c r="Z173" s="1" t="s">
        <v>74</v>
      </c>
      <c r="AA173" s="1" t="s">
        <v>1917</v>
      </c>
      <c r="AB173" s="1" t="s">
        <v>74</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1918</v>
      </c>
      <c r="AP173" s="1" t="s">
        <v>1919</v>
      </c>
      <c r="AQ173" s="1" t="s">
        <v>74</v>
      </c>
      <c r="AR173" s="1" t="s">
        <v>74</v>
      </c>
      <c r="AS173" s="1" t="s">
        <v>74</v>
      </c>
      <c r="AT173" s="1" t="s">
        <v>308</v>
      </c>
      <c r="AU173" s="1">
        <v>2025.0</v>
      </c>
      <c r="AV173" s="1">
        <v>41.0</v>
      </c>
      <c r="AW173" s="1">
        <v>4.0</v>
      </c>
      <c r="AX173" s="1" t="s">
        <v>74</v>
      </c>
      <c r="AY173" s="1" t="s">
        <v>74</v>
      </c>
      <c r="AZ173" s="1" t="s">
        <v>74</v>
      </c>
      <c r="BA173" s="1" t="s">
        <v>74</v>
      </c>
      <c r="BB173" s="1" t="s">
        <v>74</v>
      </c>
      <c r="BC173" s="1" t="s">
        <v>74</v>
      </c>
      <c r="BD173" s="1">
        <v>121.0</v>
      </c>
      <c r="BE173" s="1" t="s">
        <v>1920</v>
      </c>
      <c r="BF173" s="2" t="str">
        <f>HYPERLINK("http://dx.doi.org/10.1007/s11274-025-04325-7","http://dx.doi.org/10.1007/s11274-025-04325-7")</f>
        <v>http://dx.doi.org/10.1007/s11274-025-04325-7</v>
      </c>
      <c r="BG173" s="1" t="s">
        <v>74</v>
      </c>
      <c r="BH173" s="1" t="s">
        <v>74</v>
      </c>
      <c r="BI173" s="1" t="s">
        <v>74</v>
      </c>
      <c r="BJ173" s="1" t="s">
        <v>74</v>
      </c>
      <c r="BK173" s="1" t="s">
        <v>74</v>
      </c>
      <c r="BL173" s="1" t="s">
        <v>74</v>
      </c>
      <c r="BM173" s="1" t="s">
        <v>74</v>
      </c>
      <c r="BN173" s="1">
        <v>4.0167894E7</v>
      </c>
      <c r="BO173" s="1" t="s">
        <v>74</v>
      </c>
      <c r="BP173" s="1" t="s">
        <v>74</v>
      </c>
      <c r="BQ173" s="1" t="s">
        <v>74</v>
      </c>
      <c r="BR173" s="1" t="s">
        <v>74</v>
      </c>
      <c r="BS173" s="1" t="s">
        <v>1921</v>
      </c>
      <c r="BT173" s="1" t="str">
        <f>HYPERLINK("https%3A%2F%2Fwww.webofscience.com%2Fwos%2Fwoscc%2Ffull-record%2FWOS:001458909000001","View Full Record in Web of Science")</f>
        <v>View Full Record in Web of Science</v>
      </c>
    </row>
    <row r="174" ht="12.75" customHeight="1">
      <c r="A174" s="1" t="s">
        <v>72</v>
      </c>
      <c r="B174" s="1" t="s">
        <v>1922</v>
      </c>
      <c r="C174" s="1" t="s">
        <v>74</v>
      </c>
      <c r="D174" s="1" t="s">
        <v>74</v>
      </c>
      <c r="E174" s="1" t="s">
        <v>74</v>
      </c>
      <c r="F174" s="1" t="s">
        <v>1923</v>
      </c>
      <c r="G174" s="1" t="s">
        <v>74</v>
      </c>
      <c r="H174" s="1" t="s">
        <v>74</v>
      </c>
      <c r="I174" s="1" t="s">
        <v>1924</v>
      </c>
      <c r="J174" s="1" t="s">
        <v>1695</v>
      </c>
      <c r="K174" s="1" t="s">
        <v>74</v>
      </c>
      <c r="L174" s="1" t="s">
        <v>74</v>
      </c>
      <c r="M174" s="1" t="s">
        <v>74</v>
      </c>
      <c r="N174" s="1" t="s">
        <v>74</v>
      </c>
      <c r="O174" s="1" t="s">
        <v>74</v>
      </c>
      <c r="P174" s="1" t="s">
        <v>74</v>
      </c>
      <c r="Q174" s="1" t="s">
        <v>74</v>
      </c>
      <c r="R174" s="1" t="s">
        <v>74</v>
      </c>
      <c r="S174" s="1" t="s">
        <v>74</v>
      </c>
      <c r="T174" s="1" t="s">
        <v>74</v>
      </c>
      <c r="U174" s="1" t="s">
        <v>74</v>
      </c>
      <c r="V174" s="1" t="s">
        <v>1925</v>
      </c>
      <c r="W174" s="1" t="s">
        <v>74</v>
      </c>
      <c r="X174" s="1" t="s">
        <v>74</v>
      </c>
      <c r="Y174" s="1" t="s">
        <v>74</v>
      </c>
      <c r="Z174" s="1" t="s">
        <v>74</v>
      </c>
      <c r="AA174" s="1" t="s">
        <v>1926</v>
      </c>
      <c r="AB174" s="1" t="s">
        <v>1927</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74</v>
      </c>
      <c r="AP174" s="1" t="s">
        <v>1699</v>
      </c>
      <c r="AQ174" s="1" t="s">
        <v>74</v>
      </c>
      <c r="AR174" s="1" t="s">
        <v>74</v>
      </c>
      <c r="AS174" s="1" t="s">
        <v>74</v>
      </c>
      <c r="AT174" s="1" t="s">
        <v>877</v>
      </c>
      <c r="AU174" s="1">
        <v>2024.0</v>
      </c>
      <c r="AV174" s="1">
        <v>29.0</v>
      </c>
      <c r="AW174" s="1">
        <v>16.0</v>
      </c>
      <c r="AX174" s="1" t="s">
        <v>74</v>
      </c>
      <c r="AY174" s="1" t="s">
        <v>74</v>
      </c>
      <c r="AZ174" s="1" t="s">
        <v>74</v>
      </c>
      <c r="BA174" s="1" t="s">
        <v>74</v>
      </c>
      <c r="BB174" s="1" t="s">
        <v>74</v>
      </c>
      <c r="BC174" s="1" t="s">
        <v>74</v>
      </c>
      <c r="BD174" s="1">
        <v>3850.0</v>
      </c>
      <c r="BE174" s="1" t="s">
        <v>1928</v>
      </c>
      <c r="BF174" s="2" t="str">
        <f>HYPERLINK("http://dx.doi.org/10.3390/molecules29163850","http://dx.doi.org/10.3390/molecules29163850")</f>
        <v>http://dx.doi.org/10.3390/molecules29163850</v>
      </c>
      <c r="BG174" s="1" t="s">
        <v>74</v>
      </c>
      <c r="BH174" s="1" t="s">
        <v>74</v>
      </c>
      <c r="BI174" s="1" t="s">
        <v>74</v>
      </c>
      <c r="BJ174" s="1" t="s">
        <v>74</v>
      </c>
      <c r="BK174" s="1" t="s">
        <v>74</v>
      </c>
      <c r="BL174" s="1" t="s">
        <v>74</v>
      </c>
      <c r="BM174" s="1" t="s">
        <v>74</v>
      </c>
      <c r="BN174" s="1">
        <v>3.9202929E7</v>
      </c>
      <c r="BO174" s="1" t="s">
        <v>74</v>
      </c>
      <c r="BP174" s="1" t="s">
        <v>74</v>
      </c>
      <c r="BQ174" s="1" t="s">
        <v>74</v>
      </c>
      <c r="BR174" s="1" t="s">
        <v>74</v>
      </c>
      <c r="BS174" s="1" t="s">
        <v>1929</v>
      </c>
      <c r="BT174" s="1" t="str">
        <f>HYPERLINK("https%3A%2F%2Fwww.webofscience.com%2Fwos%2Fwoscc%2Ffull-record%2FWOS:001304843600001","View Full Record in Web of Science")</f>
        <v>View Full Record in Web of Science</v>
      </c>
    </row>
    <row r="175" ht="12.75" customHeight="1">
      <c r="A175" s="1" t="s">
        <v>72</v>
      </c>
      <c r="B175" s="1" t="s">
        <v>1930</v>
      </c>
      <c r="C175" s="1" t="s">
        <v>74</v>
      </c>
      <c r="D175" s="1" t="s">
        <v>74</v>
      </c>
      <c r="E175" s="1" t="s">
        <v>74</v>
      </c>
      <c r="F175" s="1" t="s">
        <v>1931</v>
      </c>
      <c r="G175" s="1" t="s">
        <v>74</v>
      </c>
      <c r="H175" s="1" t="s">
        <v>74</v>
      </c>
      <c r="I175" s="1" t="s">
        <v>1932</v>
      </c>
      <c r="J175" s="1" t="s">
        <v>1933</v>
      </c>
      <c r="K175" s="1" t="s">
        <v>74</v>
      </c>
      <c r="L175" s="1" t="s">
        <v>74</v>
      </c>
      <c r="M175" s="1" t="s">
        <v>74</v>
      </c>
      <c r="N175" s="1" t="s">
        <v>74</v>
      </c>
      <c r="O175" s="1" t="s">
        <v>74</v>
      </c>
      <c r="P175" s="1" t="s">
        <v>74</v>
      </c>
      <c r="Q175" s="1" t="s">
        <v>74</v>
      </c>
      <c r="R175" s="1" t="s">
        <v>74</v>
      </c>
      <c r="S175" s="1" t="s">
        <v>74</v>
      </c>
      <c r="T175" s="1" t="s">
        <v>74</v>
      </c>
      <c r="U175" s="1" t="s">
        <v>74</v>
      </c>
      <c r="V175" s="1" t="s">
        <v>1934</v>
      </c>
      <c r="W175" s="1" t="s">
        <v>74</v>
      </c>
      <c r="X175" s="1" t="s">
        <v>74</v>
      </c>
      <c r="Y175" s="1" t="s">
        <v>74</v>
      </c>
      <c r="Z175" s="1" t="s">
        <v>74</v>
      </c>
      <c r="AA175" s="1" t="s">
        <v>1935</v>
      </c>
      <c r="AB175" s="1" t="s">
        <v>1936</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74</v>
      </c>
      <c r="AP175" s="1" t="s">
        <v>1937</v>
      </c>
      <c r="AQ175" s="1" t="s">
        <v>74</v>
      </c>
      <c r="AR175" s="1" t="s">
        <v>74</v>
      </c>
      <c r="AS175" s="1" t="s">
        <v>74</v>
      </c>
      <c r="AT175" s="1" t="s">
        <v>1938</v>
      </c>
      <c r="AU175" s="1">
        <v>2023.0</v>
      </c>
      <c r="AV175" s="1">
        <v>11.0</v>
      </c>
      <c r="AW175" s="1">
        <v>11.0</v>
      </c>
      <c r="AX175" s="1" t="s">
        <v>74</v>
      </c>
      <c r="AY175" s="1" t="s">
        <v>74</v>
      </c>
      <c r="AZ175" s="1" t="s">
        <v>74</v>
      </c>
      <c r="BA175" s="1" t="s">
        <v>74</v>
      </c>
      <c r="BB175" s="1" t="s">
        <v>74</v>
      </c>
      <c r="BC175" s="1" t="s">
        <v>74</v>
      </c>
      <c r="BD175" s="1">
        <v>1626.0</v>
      </c>
      <c r="BE175" s="1" t="s">
        <v>1939</v>
      </c>
      <c r="BF175" s="2" t="str">
        <f>HYPERLINK("http://dx.doi.org/10.3390/healthcare11111626","http://dx.doi.org/10.3390/healthcare11111626")</f>
        <v>http://dx.doi.org/10.3390/healthcare11111626</v>
      </c>
      <c r="BG175" s="1" t="s">
        <v>74</v>
      </c>
      <c r="BH175" s="1" t="s">
        <v>74</v>
      </c>
      <c r="BI175" s="1" t="s">
        <v>74</v>
      </c>
      <c r="BJ175" s="1" t="s">
        <v>74</v>
      </c>
      <c r="BK175" s="1" t="s">
        <v>74</v>
      </c>
      <c r="BL175" s="1" t="s">
        <v>74</v>
      </c>
      <c r="BM175" s="1" t="s">
        <v>74</v>
      </c>
      <c r="BN175" s="1">
        <v>3.7297766E7</v>
      </c>
      <c r="BO175" s="1" t="s">
        <v>74</v>
      </c>
      <c r="BP175" s="1" t="s">
        <v>74</v>
      </c>
      <c r="BQ175" s="1" t="s">
        <v>74</v>
      </c>
      <c r="BR175" s="1" t="s">
        <v>74</v>
      </c>
      <c r="BS175" s="1" t="s">
        <v>1940</v>
      </c>
      <c r="BT175" s="1" t="str">
        <f>HYPERLINK("https%3A%2F%2Fwww.webofscience.com%2Fwos%2Fwoscc%2Ffull-record%2FWOS:001006075800001","View Full Record in Web of Science")</f>
        <v>View Full Record in Web of Science</v>
      </c>
    </row>
    <row r="176" ht="12.75" customHeight="1">
      <c r="A176" s="1" t="s">
        <v>72</v>
      </c>
      <c r="B176" s="1" t="s">
        <v>1941</v>
      </c>
      <c r="C176" s="1" t="s">
        <v>74</v>
      </c>
      <c r="D176" s="1" t="s">
        <v>74</v>
      </c>
      <c r="E176" s="1" t="s">
        <v>74</v>
      </c>
      <c r="F176" s="1" t="s">
        <v>1942</v>
      </c>
      <c r="G176" s="1" t="s">
        <v>74</v>
      </c>
      <c r="H176" s="1" t="s">
        <v>74</v>
      </c>
      <c r="I176" s="1" t="s">
        <v>1943</v>
      </c>
      <c r="J176" s="1" t="s">
        <v>1944</v>
      </c>
      <c r="K176" s="1" t="s">
        <v>74</v>
      </c>
      <c r="L176" s="1" t="s">
        <v>74</v>
      </c>
      <c r="M176" s="1" t="s">
        <v>74</v>
      </c>
      <c r="N176" s="1" t="s">
        <v>74</v>
      </c>
      <c r="O176" s="1" t="s">
        <v>74</v>
      </c>
      <c r="P176" s="1" t="s">
        <v>74</v>
      </c>
      <c r="Q176" s="1" t="s">
        <v>74</v>
      </c>
      <c r="R176" s="1" t="s">
        <v>74</v>
      </c>
      <c r="S176" s="1" t="s">
        <v>74</v>
      </c>
      <c r="T176" s="1" t="s">
        <v>74</v>
      </c>
      <c r="U176" s="1" t="s">
        <v>74</v>
      </c>
      <c r="V176" s="1" t="s">
        <v>1945</v>
      </c>
      <c r="W176" s="1" t="s">
        <v>74</v>
      </c>
      <c r="X176" s="1" t="s">
        <v>74</v>
      </c>
      <c r="Y176" s="1" t="s">
        <v>74</v>
      </c>
      <c r="Z176" s="1" t="s">
        <v>74</v>
      </c>
      <c r="AA176" s="1" t="s">
        <v>1946</v>
      </c>
      <c r="AB176" s="1" t="s">
        <v>1947</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1948</v>
      </c>
      <c r="AP176" s="1" t="s">
        <v>1949</v>
      </c>
      <c r="AQ176" s="1" t="s">
        <v>74</v>
      </c>
      <c r="AR176" s="1" t="s">
        <v>74</v>
      </c>
      <c r="AS176" s="1" t="s">
        <v>74</v>
      </c>
      <c r="AT176" s="1" t="s">
        <v>877</v>
      </c>
      <c r="AU176" s="1">
        <v>2023.0</v>
      </c>
      <c r="AV176" s="1">
        <v>245.0</v>
      </c>
      <c r="AW176" s="1" t="s">
        <v>74</v>
      </c>
      <c r="AX176" s="1" t="s">
        <v>74</v>
      </c>
      <c r="AY176" s="1" t="s">
        <v>74</v>
      </c>
      <c r="AZ176" s="1" t="s">
        <v>74</v>
      </c>
      <c r="BA176" s="1" t="s">
        <v>74</v>
      </c>
      <c r="BB176" s="1" t="s">
        <v>74</v>
      </c>
      <c r="BC176" s="1" t="s">
        <v>74</v>
      </c>
      <c r="BD176" s="1">
        <v>112233.0</v>
      </c>
      <c r="BE176" s="1" t="s">
        <v>1950</v>
      </c>
      <c r="BF176" s="2" t="str">
        <f>HYPERLINK("http://dx.doi.org/10.1016/j.jinorgbio.2023.112233","http://dx.doi.org/10.1016/j.jinorgbio.2023.112233")</f>
        <v>http://dx.doi.org/10.1016/j.jinorgbio.2023.112233</v>
      </c>
      <c r="BG176" s="1" t="s">
        <v>74</v>
      </c>
      <c r="BH176" s="1" t="s">
        <v>1605</v>
      </c>
      <c r="BI176" s="1" t="s">
        <v>74</v>
      </c>
      <c r="BJ176" s="1" t="s">
        <v>74</v>
      </c>
      <c r="BK176" s="1" t="s">
        <v>74</v>
      </c>
      <c r="BL176" s="1" t="s">
        <v>74</v>
      </c>
      <c r="BM176" s="1" t="s">
        <v>74</v>
      </c>
      <c r="BN176" s="1">
        <v>3.7141763E7</v>
      </c>
      <c r="BO176" s="1" t="s">
        <v>74</v>
      </c>
      <c r="BP176" s="1" t="s">
        <v>74</v>
      </c>
      <c r="BQ176" s="1" t="s">
        <v>74</v>
      </c>
      <c r="BR176" s="1" t="s">
        <v>74</v>
      </c>
      <c r="BS176" s="1" t="s">
        <v>1951</v>
      </c>
      <c r="BT176" s="1" t="str">
        <f>HYPERLINK("https%3A%2F%2Fwww.webofscience.com%2Fwos%2Fwoscc%2Ffull-record%2FWOS:001008731500001","View Full Record in Web of Science")</f>
        <v>View Full Record in Web of Science</v>
      </c>
    </row>
    <row r="177" ht="12.75" customHeight="1">
      <c r="A177" s="1" t="s">
        <v>72</v>
      </c>
      <c r="B177" s="1" t="s">
        <v>1952</v>
      </c>
      <c r="C177" s="1" t="s">
        <v>74</v>
      </c>
      <c r="D177" s="1" t="s">
        <v>74</v>
      </c>
      <c r="E177" s="1" t="s">
        <v>74</v>
      </c>
      <c r="F177" s="1" t="s">
        <v>1953</v>
      </c>
      <c r="G177" s="1" t="s">
        <v>74</v>
      </c>
      <c r="H177" s="1" t="s">
        <v>74</v>
      </c>
      <c r="I177" s="1" t="s">
        <v>1954</v>
      </c>
      <c r="J177" s="1" t="s">
        <v>1955</v>
      </c>
      <c r="K177" s="1" t="s">
        <v>74</v>
      </c>
      <c r="L177" s="1" t="s">
        <v>74</v>
      </c>
      <c r="M177" s="1" t="s">
        <v>74</v>
      </c>
      <c r="N177" s="1" t="s">
        <v>74</v>
      </c>
      <c r="O177" s="1" t="s">
        <v>74</v>
      </c>
      <c r="P177" s="1" t="s">
        <v>74</v>
      </c>
      <c r="Q177" s="1" t="s">
        <v>74</v>
      </c>
      <c r="R177" s="1" t="s">
        <v>74</v>
      </c>
      <c r="S177" s="1" t="s">
        <v>74</v>
      </c>
      <c r="T177" s="1" t="s">
        <v>74</v>
      </c>
      <c r="U177" s="1" t="s">
        <v>74</v>
      </c>
      <c r="V177" s="1" t="s">
        <v>1956</v>
      </c>
      <c r="W177" s="1" t="s">
        <v>74</v>
      </c>
      <c r="X177" s="1" t="s">
        <v>74</v>
      </c>
      <c r="Y177" s="1" t="s">
        <v>74</v>
      </c>
      <c r="Z177" s="1" t="s">
        <v>74</v>
      </c>
      <c r="AA177" s="1" t="s">
        <v>1957</v>
      </c>
      <c r="AB177" s="1" t="s">
        <v>1958</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1959</v>
      </c>
      <c r="AP177" s="1" t="s">
        <v>74</v>
      </c>
      <c r="AQ177" s="1" t="s">
        <v>74</v>
      </c>
      <c r="AR177" s="1" t="s">
        <v>74</v>
      </c>
      <c r="AS177" s="1" t="s">
        <v>74</v>
      </c>
      <c r="AT177" s="1" t="s">
        <v>74</v>
      </c>
      <c r="AU177" s="1">
        <v>2023.0</v>
      </c>
      <c r="AV177" s="1">
        <v>11.0</v>
      </c>
      <c r="AW177" s="1" t="s">
        <v>74</v>
      </c>
      <c r="AX177" s="1" t="s">
        <v>74</v>
      </c>
      <c r="AY177" s="1" t="s">
        <v>74</v>
      </c>
      <c r="AZ177" s="1" t="s">
        <v>74</v>
      </c>
      <c r="BA177" s="1" t="s">
        <v>74</v>
      </c>
      <c r="BB177" s="1">
        <v>24615.0</v>
      </c>
      <c r="BC177" s="1">
        <v>24630.0</v>
      </c>
      <c r="BD177" s="1" t="s">
        <v>74</v>
      </c>
      <c r="BE177" s="1" t="s">
        <v>1960</v>
      </c>
      <c r="BF177" s="2" t="str">
        <f>HYPERLINK("http://dx.doi.org/10.1109/ACCESS.2023.3255827","http://dx.doi.org/10.1109/ACCESS.2023.3255827")</f>
        <v>http://dx.doi.org/10.1109/ACCESS.2023.3255827</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1961</v>
      </c>
      <c r="BT177" s="1" t="str">
        <f>HYPERLINK("https%3A%2F%2Fwww.webofscience.com%2Fwos%2Fwoscc%2Ffull-record%2FWOS:000953698000001","View Full Record in Web of Science")</f>
        <v>View Full Record in Web of Science</v>
      </c>
    </row>
    <row r="178" ht="12.75" customHeight="1">
      <c r="A178" s="1" t="s">
        <v>72</v>
      </c>
      <c r="B178" s="1" t="s">
        <v>1962</v>
      </c>
      <c r="C178" s="1" t="s">
        <v>74</v>
      </c>
      <c r="D178" s="1" t="s">
        <v>74</v>
      </c>
      <c r="E178" s="1" t="s">
        <v>74</v>
      </c>
      <c r="F178" s="1" t="s">
        <v>1963</v>
      </c>
      <c r="G178" s="1" t="s">
        <v>74</v>
      </c>
      <c r="H178" s="1" t="s">
        <v>74</v>
      </c>
      <c r="I178" s="1" t="s">
        <v>1964</v>
      </c>
      <c r="J178" s="1" t="s">
        <v>759</v>
      </c>
      <c r="K178" s="1" t="s">
        <v>74</v>
      </c>
      <c r="L178" s="1" t="s">
        <v>74</v>
      </c>
      <c r="M178" s="1" t="s">
        <v>74</v>
      </c>
      <c r="N178" s="1" t="s">
        <v>74</v>
      </c>
      <c r="O178" s="1" t="s">
        <v>74</v>
      </c>
      <c r="P178" s="1" t="s">
        <v>74</v>
      </c>
      <c r="Q178" s="1" t="s">
        <v>74</v>
      </c>
      <c r="R178" s="1" t="s">
        <v>74</v>
      </c>
      <c r="S178" s="1" t="s">
        <v>74</v>
      </c>
      <c r="T178" s="1" t="s">
        <v>74</v>
      </c>
      <c r="U178" s="1" t="s">
        <v>74</v>
      </c>
      <c r="V178" s="1" t="s">
        <v>1965</v>
      </c>
      <c r="W178" s="1" t="s">
        <v>74</v>
      </c>
      <c r="X178" s="1" t="s">
        <v>74</v>
      </c>
      <c r="Y178" s="1" t="s">
        <v>74</v>
      </c>
      <c r="Z178" s="1" t="s">
        <v>74</v>
      </c>
      <c r="AA178" s="1" t="s">
        <v>74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762</v>
      </c>
      <c r="AP178" s="1" t="s">
        <v>763</v>
      </c>
      <c r="AQ178" s="1" t="s">
        <v>74</v>
      </c>
      <c r="AR178" s="1" t="s">
        <v>74</v>
      </c>
      <c r="AS178" s="1" t="s">
        <v>74</v>
      </c>
      <c r="AT178" s="1" t="s">
        <v>74</v>
      </c>
      <c r="AU178" s="1">
        <v>2023.0</v>
      </c>
      <c r="AV178" s="1" t="s">
        <v>74</v>
      </c>
      <c r="AW178" s="1">
        <v>50.0</v>
      </c>
      <c r="AX178" s="1" t="s">
        <v>74</v>
      </c>
      <c r="AY178" s="1" t="s">
        <v>74</v>
      </c>
      <c r="AZ178" s="1" t="s">
        <v>74</v>
      </c>
      <c r="BA178" s="1" t="s">
        <v>74</v>
      </c>
      <c r="BB178" s="1">
        <v>670.0</v>
      </c>
      <c r="BC178" s="1">
        <v>676.0</v>
      </c>
      <c r="BD178" s="1" t="s">
        <v>74</v>
      </c>
      <c r="BE178" s="1" t="s">
        <v>74</v>
      </c>
      <c r="BF178" s="1" t="s">
        <v>74</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1966</v>
      </c>
      <c r="BT178" s="1" t="str">
        <f>HYPERLINK("https%3A%2F%2Fwww.webofscience.com%2Fwos%2Fwoscc%2Ffull-record%2FWOS:001064838300001","View Full Record in Web of Science")</f>
        <v>View Full Record in Web of Science</v>
      </c>
    </row>
    <row r="179" ht="12.75" customHeight="1">
      <c r="A179" s="1" t="s">
        <v>72</v>
      </c>
      <c r="B179" s="1" t="s">
        <v>1967</v>
      </c>
      <c r="C179" s="1" t="s">
        <v>74</v>
      </c>
      <c r="D179" s="1" t="s">
        <v>74</v>
      </c>
      <c r="E179" s="1" t="s">
        <v>74</v>
      </c>
      <c r="F179" s="1" t="s">
        <v>1968</v>
      </c>
      <c r="G179" s="1" t="s">
        <v>74</v>
      </c>
      <c r="H179" s="1" t="s">
        <v>74</v>
      </c>
      <c r="I179" s="1" t="s">
        <v>1969</v>
      </c>
      <c r="J179" s="1" t="s">
        <v>1970</v>
      </c>
      <c r="K179" s="1" t="s">
        <v>74</v>
      </c>
      <c r="L179" s="1" t="s">
        <v>74</v>
      </c>
      <c r="M179" s="1" t="s">
        <v>74</v>
      </c>
      <c r="N179" s="1" t="s">
        <v>74</v>
      </c>
      <c r="O179" s="1" t="s">
        <v>74</v>
      </c>
      <c r="P179" s="1" t="s">
        <v>74</v>
      </c>
      <c r="Q179" s="1" t="s">
        <v>74</v>
      </c>
      <c r="R179" s="1" t="s">
        <v>74</v>
      </c>
      <c r="S179" s="1" t="s">
        <v>74</v>
      </c>
      <c r="T179" s="1" t="s">
        <v>74</v>
      </c>
      <c r="U179" s="1" t="s">
        <v>74</v>
      </c>
      <c r="V179" s="1" t="s">
        <v>1971</v>
      </c>
      <c r="W179" s="1" t="s">
        <v>74</v>
      </c>
      <c r="X179" s="1" t="s">
        <v>74</v>
      </c>
      <c r="Y179" s="1" t="s">
        <v>74</v>
      </c>
      <c r="Z179" s="1" t="s">
        <v>74</v>
      </c>
      <c r="AA179" s="1" t="s">
        <v>1972</v>
      </c>
      <c r="AB179" s="1" t="s">
        <v>1973</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74</v>
      </c>
      <c r="AP179" s="1" t="s">
        <v>1974</v>
      </c>
      <c r="AQ179" s="1" t="s">
        <v>74</v>
      </c>
      <c r="AR179" s="1" t="s">
        <v>74</v>
      </c>
      <c r="AS179" s="1" t="s">
        <v>74</v>
      </c>
      <c r="AT179" s="1" t="s">
        <v>1082</v>
      </c>
      <c r="AU179" s="1">
        <v>2022.0</v>
      </c>
      <c r="AV179" s="1">
        <v>19.0</v>
      </c>
      <c r="AW179" s="1">
        <v>21.0</v>
      </c>
      <c r="AX179" s="1" t="s">
        <v>74</v>
      </c>
      <c r="AY179" s="1" t="s">
        <v>74</v>
      </c>
      <c r="AZ179" s="1" t="s">
        <v>74</v>
      </c>
      <c r="BA179" s="1" t="s">
        <v>74</v>
      </c>
      <c r="BB179" s="1" t="s">
        <v>74</v>
      </c>
      <c r="BC179" s="1" t="s">
        <v>74</v>
      </c>
      <c r="BD179" s="1">
        <v>13882.0</v>
      </c>
      <c r="BE179" s="1" t="s">
        <v>1975</v>
      </c>
      <c r="BF179" s="2" t="str">
        <f>HYPERLINK("http://dx.doi.org/10.3390/ijerph192113882","http://dx.doi.org/10.3390/ijerph192113882")</f>
        <v>http://dx.doi.org/10.3390/ijerph192113882</v>
      </c>
      <c r="BG179" s="1" t="s">
        <v>74</v>
      </c>
      <c r="BH179" s="1" t="s">
        <v>74</v>
      </c>
      <c r="BI179" s="1" t="s">
        <v>74</v>
      </c>
      <c r="BJ179" s="1" t="s">
        <v>74</v>
      </c>
      <c r="BK179" s="1" t="s">
        <v>74</v>
      </c>
      <c r="BL179" s="1" t="s">
        <v>74</v>
      </c>
      <c r="BM179" s="1" t="s">
        <v>74</v>
      </c>
      <c r="BN179" s="1">
        <v>3.6360762E7</v>
      </c>
      <c r="BO179" s="1" t="s">
        <v>74</v>
      </c>
      <c r="BP179" s="1" t="s">
        <v>74</v>
      </c>
      <c r="BQ179" s="1" t="s">
        <v>74</v>
      </c>
      <c r="BR179" s="1" t="s">
        <v>74</v>
      </c>
      <c r="BS179" s="1" t="s">
        <v>1976</v>
      </c>
      <c r="BT179" s="1" t="str">
        <f>HYPERLINK("https%3A%2F%2Fwww.webofscience.com%2Fwos%2Fwoscc%2Ffull-record%2FWOS:000881200900001","View Full Record in Web of Science")</f>
        <v>View Full Record in Web of Science</v>
      </c>
    </row>
    <row r="180" ht="12.75" customHeight="1">
      <c r="A180" s="1" t="s">
        <v>72</v>
      </c>
      <c r="B180" s="1" t="s">
        <v>1977</v>
      </c>
      <c r="C180" s="1" t="s">
        <v>74</v>
      </c>
      <c r="D180" s="1" t="s">
        <v>74</v>
      </c>
      <c r="E180" s="1" t="s">
        <v>74</v>
      </c>
      <c r="F180" s="1" t="s">
        <v>1978</v>
      </c>
      <c r="G180" s="1" t="s">
        <v>74</v>
      </c>
      <c r="H180" s="1" t="s">
        <v>74</v>
      </c>
      <c r="I180" s="1" t="s">
        <v>1979</v>
      </c>
      <c r="J180" s="1" t="s">
        <v>1980</v>
      </c>
      <c r="K180" s="1" t="s">
        <v>74</v>
      </c>
      <c r="L180" s="1" t="s">
        <v>74</v>
      </c>
      <c r="M180" s="1" t="s">
        <v>74</v>
      </c>
      <c r="N180" s="1" t="s">
        <v>74</v>
      </c>
      <c r="O180" s="1" t="s">
        <v>74</v>
      </c>
      <c r="P180" s="1" t="s">
        <v>74</v>
      </c>
      <c r="Q180" s="1" t="s">
        <v>74</v>
      </c>
      <c r="R180" s="1" t="s">
        <v>74</v>
      </c>
      <c r="S180" s="1" t="s">
        <v>74</v>
      </c>
      <c r="T180" s="1" t="s">
        <v>74</v>
      </c>
      <c r="U180" s="1" t="s">
        <v>74</v>
      </c>
      <c r="V180" s="1" t="s">
        <v>1981</v>
      </c>
      <c r="W180" s="1" t="s">
        <v>74</v>
      </c>
      <c r="X180" s="1" t="s">
        <v>74</v>
      </c>
      <c r="Y180" s="1" t="s">
        <v>74</v>
      </c>
      <c r="Z180" s="1" t="s">
        <v>74</v>
      </c>
      <c r="AA180" s="1" t="s">
        <v>1982</v>
      </c>
      <c r="AB180" s="1" t="s">
        <v>1983</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1984</v>
      </c>
      <c r="AP180" s="1" t="s">
        <v>1985</v>
      </c>
      <c r="AQ180" s="1" t="s">
        <v>74</v>
      </c>
      <c r="AR180" s="1" t="s">
        <v>74</v>
      </c>
      <c r="AS180" s="1" t="s">
        <v>74</v>
      </c>
      <c r="AT180" s="1" t="s">
        <v>385</v>
      </c>
      <c r="AU180" s="1">
        <v>2022.0</v>
      </c>
      <c r="AV180" s="1">
        <v>31.0</v>
      </c>
      <c r="AW180" s="1">
        <v>8.0</v>
      </c>
      <c r="AX180" s="1" t="s">
        <v>74</v>
      </c>
      <c r="AY180" s="1" t="s">
        <v>74</v>
      </c>
      <c r="AZ180" s="1" t="s">
        <v>74</v>
      </c>
      <c r="BA180" s="1" t="s">
        <v>74</v>
      </c>
      <c r="BB180" s="1" t="s">
        <v>74</v>
      </c>
      <c r="BC180" s="1" t="s">
        <v>74</v>
      </c>
      <c r="BD180" s="1">
        <v>2250060.0</v>
      </c>
      <c r="BE180" s="1" t="s">
        <v>1986</v>
      </c>
      <c r="BF180" s="2" t="str">
        <f>HYPERLINK("http://dx.doi.org/10.1142/S0218271822500602","http://dx.doi.org/10.1142/S0218271822500602")</f>
        <v>http://dx.doi.org/10.1142/S0218271822500602</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1987</v>
      </c>
      <c r="BT180" s="1" t="str">
        <f>HYPERLINK("https%3A%2F%2Fwww.webofscience.com%2Fwos%2Fwoscc%2Ffull-record%2FWOS:000831083400005","View Full Record in Web of Science")</f>
        <v>View Full Record in Web of Science</v>
      </c>
    </row>
    <row r="181" ht="12.75" customHeight="1">
      <c r="A181" s="1" t="s">
        <v>72</v>
      </c>
      <c r="B181" s="1" t="s">
        <v>1988</v>
      </c>
      <c r="C181" s="1" t="s">
        <v>74</v>
      </c>
      <c r="D181" s="1" t="s">
        <v>74</v>
      </c>
      <c r="E181" s="1" t="s">
        <v>74</v>
      </c>
      <c r="F181" s="1" t="s">
        <v>1989</v>
      </c>
      <c r="G181" s="1" t="s">
        <v>74</v>
      </c>
      <c r="H181" s="1" t="s">
        <v>74</v>
      </c>
      <c r="I181" s="1" t="s">
        <v>1990</v>
      </c>
      <c r="J181" s="1" t="s">
        <v>1991</v>
      </c>
      <c r="K181" s="1" t="s">
        <v>74</v>
      </c>
      <c r="L181" s="1" t="s">
        <v>74</v>
      </c>
      <c r="M181" s="1" t="s">
        <v>74</v>
      </c>
      <c r="N181" s="1" t="s">
        <v>74</v>
      </c>
      <c r="O181" s="1" t="s">
        <v>74</v>
      </c>
      <c r="P181" s="1" t="s">
        <v>74</v>
      </c>
      <c r="Q181" s="1" t="s">
        <v>74</v>
      </c>
      <c r="R181" s="1" t="s">
        <v>74</v>
      </c>
      <c r="S181" s="1" t="s">
        <v>74</v>
      </c>
      <c r="T181" s="1" t="s">
        <v>74</v>
      </c>
      <c r="U181" s="1" t="s">
        <v>74</v>
      </c>
      <c r="V181" s="1" t="s">
        <v>1992</v>
      </c>
      <c r="W181" s="1" t="s">
        <v>74</v>
      </c>
      <c r="X181" s="1" t="s">
        <v>74</v>
      </c>
      <c r="Y181" s="1" t="s">
        <v>74</v>
      </c>
      <c r="Z181" s="1" t="s">
        <v>74</v>
      </c>
      <c r="AA181" s="1" t="s">
        <v>1993</v>
      </c>
      <c r="AB181" s="1" t="s">
        <v>1994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74</v>
      </c>
      <c r="AP181" s="1" t="s">
        <v>1995</v>
      </c>
      <c r="AQ181" s="1" t="s">
        <v>74</v>
      </c>
      <c r="AR181" s="1" t="s">
        <v>74</v>
      </c>
      <c r="AS181" s="1" t="s">
        <v>74</v>
      </c>
      <c r="AT181" s="1" t="s">
        <v>1996</v>
      </c>
      <c r="AU181" s="1">
        <v>2022.0</v>
      </c>
      <c r="AV181" s="1">
        <v>9.0</v>
      </c>
      <c r="AW181" s="1" t="s">
        <v>74</v>
      </c>
      <c r="AX181" s="1" t="s">
        <v>74</v>
      </c>
      <c r="AY181" s="1" t="s">
        <v>74</v>
      </c>
      <c r="AZ181" s="1" t="s">
        <v>74</v>
      </c>
      <c r="BA181" s="1" t="s">
        <v>74</v>
      </c>
      <c r="BB181" s="1" t="s">
        <v>74</v>
      </c>
      <c r="BC181" s="1" t="s">
        <v>74</v>
      </c>
      <c r="BD181" s="1">
        <v>828050.0</v>
      </c>
      <c r="BE181" s="1" t="s">
        <v>1997</v>
      </c>
      <c r="BF181" s="2" t="str">
        <f>HYPERLINK("http://dx.doi.org/10.3389/fmars.2022.828050","http://dx.doi.org/10.3389/fmars.2022.828050")</f>
        <v>http://dx.doi.org/10.3389/fmars.2022.828050</v>
      </c>
      <c r="BG181" s="1" t="s">
        <v>74</v>
      </c>
      <c r="BH181" s="1" t="s">
        <v>74</v>
      </c>
      <c r="BI181" s="1" t="s">
        <v>74</v>
      </c>
      <c r="BJ181" s="1" t="s">
        <v>74</v>
      </c>
      <c r="BK181" s="1" t="s">
        <v>74</v>
      </c>
      <c r="BL181" s="1" t="s">
        <v>74</v>
      </c>
      <c r="BM181" s="1" t="s">
        <v>74</v>
      </c>
      <c r="BN181" s="1" t="s">
        <v>74</v>
      </c>
      <c r="BO181" s="1" t="s">
        <v>74</v>
      </c>
      <c r="BP181" s="1" t="s">
        <v>74</v>
      </c>
      <c r="BQ181" s="1" t="s">
        <v>74</v>
      </c>
      <c r="BR181" s="1" t="s">
        <v>74</v>
      </c>
      <c r="BS181" s="1" t="s">
        <v>1998</v>
      </c>
      <c r="BT181" s="1" t="str">
        <f>HYPERLINK("https%3A%2F%2Fwww.webofscience.com%2Fwos%2Fwoscc%2Ffull-record%2FWOS:000775156900001","View Full Record in Web of Science")</f>
        <v>View Full Record in Web of Science</v>
      </c>
    </row>
    <row r="182" ht="12.75" customHeight="1">
      <c r="A182" s="1" t="s">
        <v>72</v>
      </c>
      <c r="B182" s="1" t="s">
        <v>1999</v>
      </c>
      <c r="C182" s="1" t="s">
        <v>74</v>
      </c>
      <c r="D182" s="1" t="s">
        <v>74</v>
      </c>
      <c r="E182" s="1" t="s">
        <v>74</v>
      </c>
      <c r="F182" s="1" t="s">
        <v>2000</v>
      </c>
      <c r="G182" s="1" t="s">
        <v>74</v>
      </c>
      <c r="H182" s="1" t="s">
        <v>74</v>
      </c>
      <c r="I182" s="1" t="s">
        <v>2001</v>
      </c>
      <c r="J182" s="1" t="s">
        <v>1622</v>
      </c>
      <c r="K182" s="1" t="s">
        <v>74</v>
      </c>
      <c r="L182" s="1" t="s">
        <v>74</v>
      </c>
      <c r="M182" s="1" t="s">
        <v>74</v>
      </c>
      <c r="N182" s="1" t="s">
        <v>74</v>
      </c>
      <c r="O182" s="1" t="s">
        <v>74</v>
      </c>
      <c r="P182" s="1" t="s">
        <v>74</v>
      </c>
      <c r="Q182" s="1" t="s">
        <v>74</v>
      </c>
      <c r="R182" s="1" t="s">
        <v>74</v>
      </c>
      <c r="S182" s="1" t="s">
        <v>74</v>
      </c>
      <c r="T182" s="1" t="s">
        <v>74</v>
      </c>
      <c r="U182" s="1" t="s">
        <v>74</v>
      </c>
      <c r="V182" s="1" t="s">
        <v>2002</v>
      </c>
      <c r="W182" s="1" t="s">
        <v>74</v>
      </c>
      <c r="X182" s="1" t="s">
        <v>74</v>
      </c>
      <c r="Y182" s="1" t="s">
        <v>74</v>
      </c>
      <c r="Z182" s="1" t="s">
        <v>74</v>
      </c>
      <c r="AA182" s="1" t="s">
        <v>2003</v>
      </c>
      <c r="AB182" s="1" t="s">
        <v>2004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74</v>
      </c>
      <c r="AP182" s="1" t="s">
        <v>1627</v>
      </c>
      <c r="AQ182" s="1" t="s">
        <v>74</v>
      </c>
      <c r="AR182" s="1" t="s">
        <v>74</v>
      </c>
      <c r="AS182" s="1" t="s">
        <v>74</v>
      </c>
      <c r="AT182" s="1" t="s">
        <v>151</v>
      </c>
      <c r="AU182" s="1">
        <v>2021.0</v>
      </c>
      <c r="AV182" s="1">
        <v>22.0</v>
      </c>
      <c r="AW182" s="1">
        <v>19.0</v>
      </c>
      <c r="AX182" s="1" t="s">
        <v>74</v>
      </c>
      <c r="AY182" s="1" t="s">
        <v>74</v>
      </c>
      <c r="AZ182" s="1" t="s">
        <v>74</v>
      </c>
      <c r="BA182" s="1" t="s">
        <v>74</v>
      </c>
      <c r="BB182" s="1" t="s">
        <v>74</v>
      </c>
      <c r="BC182" s="1" t="s">
        <v>74</v>
      </c>
      <c r="BD182" s="1">
        <v>10531.0</v>
      </c>
      <c r="BE182" s="1" t="s">
        <v>2005</v>
      </c>
      <c r="BF182" s="2" t="str">
        <f>HYPERLINK("http://dx.doi.org/10.3390/ijms221910531","http://dx.doi.org/10.3390/ijms221910531")</f>
        <v>http://dx.doi.org/10.3390/ijms221910531</v>
      </c>
      <c r="BG182" s="1" t="s">
        <v>74</v>
      </c>
      <c r="BH182" s="1" t="s">
        <v>74</v>
      </c>
      <c r="BI182" s="1" t="s">
        <v>74</v>
      </c>
      <c r="BJ182" s="1" t="s">
        <v>74</v>
      </c>
      <c r="BK182" s="1" t="s">
        <v>74</v>
      </c>
      <c r="BL182" s="1" t="s">
        <v>74</v>
      </c>
      <c r="BM182" s="1" t="s">
        <v>74</v>
      </c>
      <c r="BN182" s="1">
        <v>3.4638871E7</v>
      </c>
      <c r="BO182" s="1" t="s">
        <v>74</v>
      </c>
      <c r="BP182" s="1" t="s">
        <v>74</v>
      </c>
      <c r="BQ182" s="1" t="s">
        <v>74</v>
      </c>
      <c r="BR182" s="1" t="s">
        <v>74</v>
      </c>
      <c r="BS182" s="1" t="s">
        <v>2006</v>
      </c>
      <c r="BT182" s="1" t="str">
        <f>HYPERLINK("https%3A%2F%2Fwww.webofscience.com%2Fwos%2Fwoscc%2Ffull-record%2FWOS:000707996200001","View Full Record in Web of Science")</f>
        <v>View Full Record in Web of Science</v>
      </c>
    </row>
    <row r="183" ht="12.75" customHeight="1">
      <c r="A183" s="1" t="s">
        <v>72</v>
      </c>
      <c r="B183" s="1" t="s">
        <v>2007</v>
      </c>
      <c r="C183" s="1" t="s">
        <v>74</v>
      </c>
      <c r="D183" s="1" t="s">
        <v>74</v>
      </c>
      <c r="E183" s="1" t="s">
        <v>74</v>
      </c>
      <c r="F183" s="1" t="s">
        <v>2008</v>
      </c>
      <c r="G183" s="1" t="s">
        <v>74</v>
      </c>
      <c r="H183" s="1" t="s">
        <v>74</v>
      </c>
      <c r="I183" s="1" t="s">
        <v>2009</v>
      </c>
      <c r="J183" s="1" t="s">
        <v>2010</v>
      </c>
      <c r="K183" s="1" t="s">
        <v>74</v>
      </c>
      <c r="L183" s="1" t="s">
        <v>74</v>
      </c>
      <c r="M183" s="1" t="s">
        <v>74</v>
      </c>
      <c r="N183" s="1" t="s">
        <v>74</v>
      </c>
      <c r="O183" s="1" t="s">
        <v>74</v>
      </c>
      <c r="P183" s="1" t="s">
        <v>74</v>
      </c>
      <c r="Q183" s="1" t="s">
        <v>74</v>
      </c>
      <c r="R183" s="1" t="s">
        <v>74</v>
      </c>
      <c r="S183" s="1" t="s">
        <v>74</v>
      </c>
      <c r="T183" s="1" t="s">
        <v>74</v>
      </c>
      <c r="U183" s="1" t="s">
        <v>74</v>
      </c>
      <c r="V183" s="1" t="s">
        <v>2011</v>
      </c>
      <c r="W183" s="1" t="s">
        <v>74</v>
      </c>
      <c r="X183" s="1" t="s">
        <v>74</v>
      </c>
      <c r="Y183" s="1" t="s">
        <v>74</v>
      </c>
      <c r="Z183" s="1" t="s">
        <v>74</v>
      </c>
      <c r="AA183" s="1" t="s">
        <v>2012</v>
      </c>
      <c r="AB183" s="1" t="s">
        <v>2013</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74</v>
      </c>
      <c r="AP183" s="1" t="s">
        <v>2014</v>
      </c>
      <c r="AQ183" s="1" t="s">
        <v>74</v>
      </c>
      <c r="AR183" s="1" t="s">
        <v>74</v>
      </c>
      <c r="AS183" s="1" t="s">
        <v>74</v>
      </c>
      <c r="AT183" s="1" t="s">
        <v>94</v>
      </c>
      <c r="AU183" s="1">
        <v>2021.0</v>
      </c>
      <c r="AV183" s="1">
        <v>23.0</v>
      </c>
      <c r="AW183" s="1">
        <v>5.0</v>
      </c>
      <c r="AX183" s="1" t="s">
        <v>74</v>
      </c>
      <c r="AY183" s="1" t="s">
        <v>74</v>
      </c>
      <c r="AZ183" s="1" t="s">
        <v>74</v>
      </c>
      <c r="BA183" s="1" t="s">
        <v>74</v>
      </c>
      <c r="BB183" s="1" t="s">
        <v>74</v>
      </c>
      <c r="BC183" s="1" t="s">
        <v>74</v>
      </c>
      <c r="BD183" s="1">
        <v>558.0</v>
      </c>
      <c r="BE183" s="1" t="s">
        <v>2015</v>
      </c>
      <c r="BF183" s="2" t="str">
        <f>HYPERLINK("http://dx.doi.org/10.3390/e23050558","http://dx.doi.org/10.3390/e23050558")</f>
        <v>http://dx.doi.org/10.3390/e23050558</v>
      </c>
      <c r="BG183" s="1" t="s">
        <v>74</v>
      </c>
      <c r="BH183" s="1" t="s">
        <v>74</v>
      </c>
      <c r="BI183" s="1" t="s">
        <v>74</v>
      </c>
      <c r="BJ183" s="1" t="s">
        <v>74</v>
      </c>
      <c r="BK183" s="1" t="s">
        <v>74</v>
      </c>
      <c r="BL183" s="1" t="s">
        <v>74</v>
      </c>
      <c r="BM183" s="1" t="s">
        <v>74</v>
      </c>
      <c r="BN183" s="1">
        <v>3.3946286E7</v>
      </c>
      <c r="BO183" s="1" t="s">
        <v>74</v>
      </c>
      <c r="BP183" s="1" t="s">
        <v>74</v>
      </c>
      <c r="BQ183" s="1" t="s">
        <v>74</v>
      </c>
      <c r="BR183" s="1" t="s">
        <v>74</v>
      </c>
      <c r="BS183" s="1" t="s">
        <v>2016</v>
      </c>
      <c r="BT183" s="1" t="str">
        <f>HYPERLINK("https%3A%2F%2Fwww.webofscience.com%2Fwos%2Fwoscc%2Ffull-record%2FWOS:000653916000001","View Full Record in Web of Science")</f>
        <v>View Full Record in Web of Science</v>
      </c>
    </row>
    <row r="184" ht="12.75" customHeight="1">
      <c r="A184" s="1" t="s">
        <v>72</v>
      </c>
      <c r="B184" s="1" t="s">
        <v>2017</v>
      </c>
      <c r="C184" s="1" t="s">
        <v>74</v>
      </c>
      <c r="D184" s="1" t="s">
        <v>74</v>
      </c>
      <c r="E184" s="1" t="s">
        <v>74</v>
      </c>
      <c r="F184" s="1" t="s">
        <v>2018</v>
      </c>
      <c r="G184" s="1" t="s">
        <v>74</v>
      </c>
      <c r="H184" s="1" t="s">
        <v>74</v>
      </c>
      <c r="I184" s="1" t="s">
        <v>2019</v>
      </c>
      <c r="J184" s="1" t="s">
        <v>2020</v>
      </c>
      <c r="K184" s="1" t="s">
        <v>74</v>
      </c>
      <c r="L184" s="1" t="s">
        <v>74</v>
      </c>
      <c r="M184" s="1" t="s">
        <v>74</v>
      </c>
      <c r="N184" s="1" t="s">
        <v>74</v>
      </c>
      <c r="O184" s="1" t="s">
        <v>74</v>
      </c>
      <c r="P184" s="1" t="s">
        <v>74</v>
      </c>
      <c r="Q184" s="1" t="s">
        <v>74</v>
      </c>
      <c r="R184" s="1" t="s">
        <v>74</v>
      </c>
      <c r="S184" s="1" t="s">
        <v>74</v>
      </c>
      <c r="T184" s="1" t="s">
        <v>74</v>
      </c>
      <c r="U184" s="1" t="s">
        <v>74</v>
      </c>
      <c r="V184" s="1" t="s">
        <v>2021</v>
      </c>
      <c r="W184" s="1" t="s">
        <v>74</v>
      </c>
      <c r="X184" s="1" t="s">
        <v>74</v>
      </c>
      <c r="Y184" s="1" t="s">
        <v>74</v>
      </c>
      <c r="Z184" s="1" t="s">
        <v>74</v>
      </c>
      <c r="AA184" s="1" t="s">
        <v>2022</v>
      </c>
      <c r="AB184" s="1" t="s">
        <v>2023</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2024</v>
      </c>
      <c r="AP184" s="1" t="s">
        <v>2025</v>
      </c>
      <c r="AQ184" s="1" t="s">
        <v>74</v>
      </c>
      <c r="AR184" s="1" t="s">
        <v>74</v>
      </c>
      <c r="AS184" s="1" t="s">
        <v>74</v>
      </c>
      <c r="AT184" s="1" t="s">
        <v>822</v>
      </c>
      <c r="AU184" s="1">
        <v>2021.0</v>
      </c>
      <c r="AV184" s="1">
        <v>38.0</v>
      </c>
      <c r="AW184" s="1" t="s">
        <v>74</v>
      </c>
      <c r="AX184" s="1" t="s">
        <v>74</v>
      </c>
      <c r="AY184" s="1" t="s">
        <v>74</v>
      </c>
      <c r="AZ184" s="1" t="s">
        <v>74</v>
      </c>
      <c r="BA184" s="1" t="s">
        <v>74</v>
      </c>
      <c r="BB184" s="1" t="s">
        <v>74</v>
      </c>
      <c r="BC184" s="1" t="s">
        <v>74</v>
      </c>
      <c r="BD184" s="1">
        <v>101787.0</v>
      </c>
      <c r="BE184" s="1" t="s">
        <v>2026</v>
      </c>
      <c r="BF184" s="2" t="str">
        <f>HYPERLINK("http://dx.doi.org/10.1016/j.frl.2020.101787","http://dx.doi.org/10.1016/j.frl.2020.101787")</f>
        <v>http://dx.doi.org/10.1016/j.frl.2020.101787</v>
      </c>
      <c r="BG184" s="1" t="s">
        <v>74</v>
      </c>
      <c r="BH184" s="1" t="s">
        <v>2027</v>
      </c>
      <c r="BI184" s="1" t="s">
        <v>74</v>
      </c>
      <c r="BJ184" s="1" t="s">
        <v>74</v>
      </c>
      <c r="BK184" s="1" t="s">
        <v>74</v>
      </c>
      <c r="BL184" s="1" t="s">
        <v>74</v>
      </c>
      <c r="BM184" s="1" t="s">
        <v>74</v>
      </c>
      <c r="BN184" s="1">
        <v>3.3024422E7</v>
      </c>
      <c r="BO184" s="1" t="s">
        <v>74</v>
      </c>
      <c r="BP184" s="1" t="s">
        <v>74</v>
      </c>
      <c r="BQ184" s="1" t="s">
        <v>74</v>
      </c>
      <c r="BR184" s="1" t="s">
        <v>74</v>
      </c>
      <c r="BS184" s="1" t="s">
        <v>2028</v>
      </c>
      <c r="BT184" s="1" t="str">
        <f>HYPERLINK("https%3A%2F%2Fwww.webofscience.com%2Fwos%2Fwoscc%2Ffull-record%2FWOS:000614463200020","View Full Record in Web of Science")</f>
        <v>View Full Record in Web of Science</v>
      </c>
    </row>
    <row r="185" ht="12.75" customHeight="1">
      <c r="A185" s="1" t="s">
        <v>154</v>
      </c>
      <c r="B185" s="1" t="s">
        <v>2029</v>
      </c>
      <c r="C185" s="1" t="s">
        <v>74</v>
      </c>
      <c r="D185" s="1" t="s">
        <v>74</v>
      </c>
      <c r="E185" s="1" t="s">
        <v>880</v>
      </c>
      <c r="F185" s="1" t="s">
        <v>2030</v>
      </c>
      <c r="G185" s="1" t="s">
        <v>74</v>
      </c>
      <c r="H185" s="1" t="s">
        <v>74</v>
      </c>
      <c r="I185" s="1" t="s">
        <v>2031</v>
      </c>
      <c r="J185" s="1" t="s">
        <v>883</v>
      </c>
      <c r="K185" s="1" t="s">
        <v>74</v>
      </c>
      <c r="L185" s="1" t="s">
        <v>74</v>
      </c>
      <c r="M185" s="1" t="s">
        <v>74</v>
      </c>
      <c r="N185" s="1" t="s">
        <v>74</v>
      </c>
      <c r="O185" s="1" t="s">
        <v>884</v>
      </c>
      <c r="P185" s="1" t="s">
        <v>885</v>
      </c>
      <c r="Q185" s="1" t="s">
        <v>886</v>
      </c>
      <c r="R185" s="1" t="s">
        <v>887</v>
      </c>
      <c r="S185" s="1" t="s">
        <v>74</v>
      </c>
      <c r="T185" s="1" t="s">
        <v>74</v>
      </c>
      <c r="U185" s="1" t="s">
        <v>74</v>
      </c>
      <c r="V185" s="1" t="s">
        <v>2032</v>
      </c>
      <c r="W185" s="1" t="s">
        <v>74</v>
      </c>
      <c r="X185" s="1" t="s">
        <v>74</v>
      </c>
      <c r="Y185" s="1" t="s">
        <v>74</v>
      </c>
      <c r="Z185" s="1" t="s">
        <v>74</v>
      </c>
      <c r="AA185" s="1" t="s">
        <v>74</v>
      </c>
      <c r="AB185" s="1" t="s">
        <v>80</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74</v>
      </c>
      <c r="AP185" s="1" t="s">
        <v>74</v>
      </c>
      <c r="AQ185" s="1" t="s">
        <v>889</v>
      </c>
      <c r="AR185" s="1" t="s">
        <v>74</v>
      </c>
      <c r="AS185" s="1" t="s">
        <v>74</v>
      </c>
      <c r="AT185" s="1" t="s">
        <v>74</v>
      </c>
      <c r="AU185" s="1">
        <v>2019.0</v>
      </c>
      <c r="AV185" s="1" t="s">
        <v>74</v>
      </c>
      <c r="AW185" s="1" t="s">
        <v>74</v>
      </c>
      <c r="AX185" s="1" t="s">
        <v>74</v>
      </c>
      <c r="AY185" s="1" t="s">
        <v>74</v>
      </c>
      <c r="AZ185" s="1" t="s">
        <v>74</v>
      </c>
      <c r="BA185" s="1" t="s">
        <v>74</v>
      </c>
      <c r="BB185" s="1" t="s">
        <v>74</v>
      </c>
      <c r="BC185" s="1" t="s">
        <v>74</v>
      </c>
      <c r="BD185" s="1" t="s">
        <v>2033</v>
      </c>
      <c r="BE185" s="1" t="s">
        <v>74</v>
      </c>
      <c r="BF185" s="1" t="s">
        <v>74</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2034</v>
      </c>
      <c r="BT185" s="1" t="str">
        <f>HYPERLINK("https%3A%2F%2Fwww.webofscience.com%2Fwos%2Fwoscc%2Ffull-record%2FWOS:000465191000042","View Full Record in Web of Science")</f>
        <v>View Full Record in Web of Science</v>
      </c>
    </row>
    <row r="186" ht="12.75" customHeight="1">
      <c r="A186" s="1" t="s">
        <v>154</v>
      </c>
      <c r="B186" s="1" t="s">
        <v>2035</v>
      </c>
      <c r="C186" s="1" t="s">
        <v>74</v>
      </c>
      <c r="D186" s="1" t="s">
        <v>74</v>
      </c>
      <c r="E186" s="1" t="s">
        <v>323</v>
      </c>
      <c r="F186" s="1" t="s">
        <v>2036</v>
      </c>
      <c r="G186" s="1" t="s">
        <v>74</v>
      </c>
      <c r="H186" s="1" t="s">
        <v>74</v>
      </c>
      <c r="I186" s="1" t="s">
        <v>2037</v>
      </c>
      <c r="J186" s="1" t="s">
        <v>2038</v>
      </c>
      <c r="K186" s="1" t="s">
        <v>74</v>
      </c>
      <c r="L186" s="1" t="s">
        <v>74</v>
      </c>
      <c r="M186" s="1" t="s">
        <v>74</v>
      </c>
      <c r="N186" s="1" t="s">
        <v>74</v>
      </c>
      <c r="O186" s="1" t="s">
        <v>2039</v>
      </c>
      <c r="P186" s="1" t="s">
        <v>2040</v>
      </c>
      <c r="Q186" s="1" t="s">
        <v>2041</v>
      </c>
      <c r="R186" s="1" t="s">
        <v>2042</v>
      </c>
      <c r="S186" s="1" t="s">
        <v>74</v>
      </c>
      <c r="T186" s="1" t="s">
        <v>74</v>
      </c>
      <c r="U186" s="1" t="s">
        <v>74</v>
      </c>
      <c r="V186" s="1" t="s">
        <v>2043</v>
      </c>
      <c r="W186" s="1" t="s">
        <v>74</v>
      </c>
      <c r="X186" s="1" t="s">
        <v>74</v>
      </c>
      <c r="Y186" s="1" t="s">
        <v>74</v>
      </c>
      <c r="Z186" s="1" t="s">
        <v>74</v>
      </c>
      <c r="AA186" s="1" t="s">
        <v>331</v>
      </c>
      <c r="AB186" s="1" t="s">
        <v>2044</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74</v>
      </c>
      <c r="AP186" s="1" t="s">
        <v>74</v>
      </c>
      <c r="AQ186" s="1" t="s">
        <v>2045</v>
      </c>
      <c r="AR186" s="1" t="s">
        <v>74</v>
      </c>
      <c r="AS186" s="1" t="s">
        <v>74</v>
      </c>
      <c r="AT186" s="1" t="s">
        <v>74</v>
      </c>
      <c r="AU186" s="1">
        <v>2019.0</v>
      </c>
      <c r="AV186" s="1" t="s">
        <v>74</v>
      </c>
      <c r="AW186" s="1" t="s">
        <v>74</v>
      </c>
      <c r="AX186" s="1" t="s">
        <v>74</v>
      </c>
      <c r="AY186" s="1" t="s">
        <v>74</v>
      </c>
      <c r="AZ186" s="1" t="s">
        <v>74</v>
      </c>
      <c r="BA186" s="1" t="s">
        <v>74</v>
      </c>
      <c r="BB186" s="1" t="s">
        <v>74</v>
      </c>
      <c r="BC186" s="1" t="s">
        <v>74</v>
      </c>
      <c r="BD186" s="1" t="s">
        <v>74</v>
      </c>
      <c r="BE186" s="1" t="s">
        <v>2046</v>
      </c>
      <c r="BF186" s="2" t="str">
        <f>HYPERLINK("http://dx.doi.org/10.1109/chilecon47746.2019.8987733","http://dx.doi.org/10.1109/chilecon47746.2019.8987733")</f>
        <v>http://dx.doi.org/10.1109/chilecon47746.2019.8987733</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2047</v>
      </c>
      <c r="BT186" s="1" t="str">
        <f>HYPERLINK("https%3A%2F%2Fwww.webofscience.com%2Fwos%2Fwoscc%2Ffull-record%2FWOS:000542919100082","View Full Record in Web of Science")</f>
        <v>View Full Record in Web of Science</v>
      </c>
    </row>
    <row r="187" ht="12.75" customHeight="1">
      <c r="A187" s="1" t="s">
        <v>72</v>
      </c>
      <c r="B187" s="1" t="s">
        <v>2048</v>
      </c>
      <c r="C187" s="1" t="s">
        <v>74</v>
      </c>
      <c r="D187" s="1" t="s">
        <v>74</v>
      </c>
      <c r="E187" s="1" t="s">
        <v>74</v>
      </c>
      <c r="F187" s="1" t="s">
        <v>2049</v>
      </c>
      <c r="G187" s="1" t="s">
        <v>74</v>
      </c>
      <c r="H187" s="1" t="s">
        <v>74</v>
      </c>
      <c r="I187" s="1" t="s">
        <v>2050</v>
      </c>
      <c r="J187" s="1" t="s">
        <v>472</v>
      </c>
      <c r="K187" s="1" t="s">
        <v>74</v>
      </c>
      <c r="L187" s="1" t="s">
        <v>74</v>
      </c>
      <c r="M187" s="1" t="s">
        <v>74</v>
      </c>
      <c r="N187" s="1" t="s">
        <v>74</v>
      </c>
      <c r="O187" s="1" t="s">
        <v>74</v>
      </c>
      <c r="P187" s="1" t="s">
        <v>74</v>
      </c>
      <c r="Q187" s="1" t="s">
        <v>74</v>
      </c>
      <c r="R187" s="1" t="s">
        <v>74</v>
      </c>
      <c r="S187" s="1" t="s">
        <v>74</v>
      </c>
      <c r="T187" s="1" t="s">
        <v>74</v>
      </c>
      <c r="U187" s="1" t="s">
        <v>74</v>
      </c>
      <c r="V187" s="1" t="s">
        <v>2051</v>
      </c>
      <c r="W187" s="1" t="s">
        <v>74</v>
      </c>
      <c r="X187" s="1" t="s">
        <v>74</v>
      </c>
      <c r="Y187" s="1" t="s">
        <v>74</v>
      </c>
      <c r="Z187" s="1" t="s">
        <v>74</v>
      </c>
      <c r="AA187" s="1" t="s">
        <v>2052</v>
      </c>
      <c r="AB187" s="1" t="s">
        <v>2053</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476</v>
      </c>
      <c r="AP187" s="1" t="s">
        <v>477</v>
      </c>
      <c r="AQ187" s="1" t="s">
        <v>74</v>
      </c>
      <c r="AR187" s="1" t="s">
        <v>74</v>
      </c>
      <c r="AS187" s="1" t="s">
        <v>74</v>
      </c>
      <c r="AT187" s="1" t="s">
        <v>2054</v>
      </c>
      <c r="AU187" s="1">
        <v>2018.0</v>
      </c>
      <c r="AV187" s="1">
        <v>98.0</v>
      </c>
      <c r="AW187" s="1">
        <v>4.0</v>
      </c>
      <c r="AX187" s="1" t="s">
        <v>74</v>
      </c>
      <c r="AY187" s="1" t="s">
        <v>74</v>
      </c>
      <c r="AZ187" s="1" t="s">
        <v>74</v>
      </c>
      <c r="BA187" s="1" t="s">
        <v>74</v>
      </c>
      <c r="BB187" s="1" t="s">
        <v>74</v>
      </c>
      <c r="BC187" s="1" t="s">
        <v>74</v>
      </c>
      <c r="BD187" s="1">
        <v>42907.0</v>
      </c>
      <c r="BE187" s="1" t="s">
        <v>2055</v>
      </c>
      <c r="BF187" s="2" t="str">
        <f>HYPERLINK("http://dx.doi.org/10.1103/PhysRevE.98.042907","http://dx.doi.org/10.1103/PhysRevE.98.042907")</f>
        <v>http://dx.doi.org/10.1103/PhysRevE.98.042907</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2056</v>
      </c>
      <c r="BT187" s="1" t="str">
        <f>HYPERLINK("https%3A%2F%2Fwww.webofscience.com%2Fwos%2Fwoscc%2Ffull-record%2FWOS:000448170300005","View Full Record in Web of Science")</f>
        <v>View Full Record in Web of Science</v>
      </c>
    </row>
    <row r="188" ht="12.75" customHeight="1">
      <c r="A188" s="1" t="s">
        <v>72</v>
      </c>
      <c r="B188" s="1" t="s">
        <v>2057</v>
      </c>
      <c r="C188" s="1" t="s">
        <v>74</v>
      </c>
      <c r="D188" s="1" t="s">
        <v>74</v>
      </c>
      <c r="E188" s="1" t="s">
        <v>74</v>
      </c>
      <c r="F188" s="1" t="s">
        <v>2058</v>
      </c>
      <c r="G188" s="1" t="s">
        <v>74</v>
      </c>
      <c r="H188" s="1" t="s">
        <v>74</v>
      </c>
      <c r="I188" s="1" t="s">
        <v>2059</v>
      </c>
      <c r="J188" s="1" t="s">
        <v>2060</v>
      </c>
      <c r="K188" s="1" t="s">
        <v>74</v>
      </c>
      <c r="L188" s="1" t="s">
        <v>74</v>
      </c>
      <c r="M188" s="1" t="s">
        <v>74</v>
      </c>
      <c r="N188" s="1" t="s">
        <v>74</v>
      </c>
      <c r="O188" s="1" t="s">
        <v>74</v>
      </c>
      <c r="P188" s="1" t="s">
        <v>74</v>
      </c>
      <c r="Q188" s="1" t="s">
        <v>74</v>
      </c>
      <c r="R188" s="1" t="s">
        <v>74</v>
      </c>
      <c r="S188" s="1" t="s">
        <v>74</v>
      </c>
      <c r="T188" s="1" t="s">
        <v>74</v>
      </c>
      <c r="U188" s="1" t="s">
        <v>74</v>
      </c>
      <c r="V188" s="1" t="s">
        <v>2061</v>
      </c>
      <c r="W188" s="1" t="s">
        <v>74</v>
      </c>
      <c r="X188" s="1" t="s">
        <v>74</v>
      </c>
      <c r="Y188" s="1" t="s">
        <v>74</v>
      </c>
      <c r="Z188" s="1" t="s">
        <v>74</v>
      </c>
      <c r="AA188" s="1" t="s">
        <v>2062</v>
      </c>
      <c r="AB188" s="1" t="s">
        <v>2063</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2064</v>
      </c>
      <c r="AP188" s="1" t="s">
        <v>74</v>
      </c>
      <c r="AQ188" s="1" t="s">
        <v>74</v>
      </c>
      <c r="AR188" s="1" t="s">
        <v>74</v>
      </c>
      <c r="AS188" s="1" t="s">
        <v>74</v>
      </c>
      <c r="AT188" s="1" t="s">
        <v>2065</v>
      </c>
      <c r="AU188" s="1">
        <v>2018.0</v>
      </c>
      <c r="AV188" s="1">
        <v>9.0</v>
      </c>
      <c r="AW188" s="1" t="s">
        <v>74</v>
      </c>
      <c r="AX188" s="1" t="s">
        <v>74</v>
      </c>
      <c r="AY188" s="1" t="s">
        <v>74</v>
      </c>
      <c r="AZ188" s="1" t="s">
        <v>74</v>
      </c>
      <c r="BA188" s="1" t="s">
        <v>74</v>
      </c>
      <c r="BB188" s="1" t="s">
        <v>74</v>
      </c>
      <c r="BC188" s="1" t="s">
        <v>74</v>
      </c>
      <c r="BD188" s="1">
        <v>144.0</v>
      </c>
      <c r="BE188" s="1" t="s">
        <v>2066</v>
      </c>
      <c r="BF188" s="2" t="str">
        <f>HYPERLINK("http://dx.doi.org/10.3389/fendo.2018.00144","http://dx.doi.org/10.3389/fendo.2018.00144")</f>
        <v>http://dx.doi.org/10.3389/fendo.2018.00144</v>
      </c>
      <c r="BG188" s="1" t="s">
        <v>74</v>
      </c>
      <c r="BH188" s="1" t="s">
        <v>74</v>
      </c>
      <c r="BI188" s="1" t="s">
        <v>74</v>
      </c>
      <c r="BJ188" s="1" t="s">
        <v>74</v>
      </c>
      <c r="BK188" s="1" t="s">
        <v>74</v>
      </c>
      <c r="BL188" s="1" t="s">
        <v>74</v>
      </c>
      <c r="BM188" s="1" t="s">
        <v>74</v>
      </c>
      <c r="BN188" s="1">
        <v>2.9740394E7</v>
      </c>
      <c r="BO188" s="1" t="s">
        <v>74</v>
      </c>
      <c r="BP188" s="1" t="s">
        <v>74</v>
      </c>
      <c r="BQ188" s="1" t="s">
        <v>74</v>
      </c>
      <c r="BR188" s="1" t="s">
        <v>74</v>
      </c>
      <c r="BS188" s="1" t="s">
        <v>2067</v>
      </c>
      <c r="BT188" s="1" t="str">
        <f>HYPERLINK("https%3A%2F%2Fwww.webofscience.com%2Fwos%2Fwoscc%2Ffull-record%2FWOS:000430555000001","View Full Record in Web of Science")</f>
        <v>View Full Record in Web of Science</v>
      </c>
    </row>
    <row r="189" ht="12.75" customHeight="1">
      <c r="A189" s="1" t="s">
        <v>154</v>
      </c>
      <c r="B189" s="1" t="s">
        <v>2068</v>
      </c>
      <c r="C189" s="1" t="s">
        <v>74</v>
      </c>
      <c r="D189" s="1" t="s">
        <v>2069</v>
      </c>
      <c r="E189" s="1" t="s">
        <v>74</v>
      </c>
      <c r="F189" s="1" t="s">
        <v>2070</v>
      </c>
      <c r="G189" s="1" t="s">
        <v>74</v>
      </c>
      <c r="H189" s="1" t="s">
        <v>74</v>
      </c>
      <c r="I189" s="1" t="s">
        <v>2071</v>
      </c>
      <c r="J189" s="1" t="s">
        <v>2072</v>
      </c>
      <c r="K189" s="1" t="s">
        <v>2073</v>
      </c>
      <c r="L189" s="1" t="s">
        <v>74</v>
      </c>
      <c r="M189" s="1" t="s">
        <v>74</v>
      </c>
      <c r="N189" s="1" t="s">
        <v>74</v>
      </c>
      <c r="O189" s="1" t="s">
        <v>2074</v>
      </c>
      <c r="P189" s="1" t="s">
        <v>2075</v>
      </c>
      <c r="Q189" s="1" t="s">
        <v>2076</v>
      </c>
      <c r="R189" s="1" t="s">
        <v>74</v>
      </c>
      <c r="S189" s="1" t="s">
        <v>74</v>
      </c>
      <c r="T189" s="1" t="s">
        <v>74</v>
      </c>
      <c r="U189" s="1" t="s">
        <v>74</v>
      </c>
      <c r="V189" s="1" t="s">
        <v>2077</v>
      </c>
      <c r="W189" s="1" t="s">
        <v>74</v>
      </c>
      <c r="X189" s="1" t="s">
        <v>74</v>
      </c>
      <c r="Y189" s="1" t="s">
        <v>74</v>
      </c>
      <c r="Z189" s="1" t="s">
        <v>74</v>
      </c>
      <c r="AA189" s="1" t="s">
        <v>2078</v>
      </c>
      <c r="AB189" s="1" t="s">
        <v>2079</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2080</v>
      </c>
      <c r="AP189" s="1" t="s">
        <v>74</v>
      </c>
      <c r="AQ189" s="1" t="s">
        <v>74</v>
      </c>
      <c r="AR189" s="1" t="s">
        <v>74</v>
      </c>
      <c r="AS189" s="1" t="s">
        <v>74</v>
      </c>
      <c r="AT189" s="1" t="s">
        <v>74</v>
      </c>
      <c r="AU189" s="1">
        <v>2018.0</v>
      </c>
      <c r="AV189" s="1">
        <v>427.0</v>
      </c>
      <c r="AW189" s="1" t="s">
        <v>74</v>
      </c>
      <c r="AX189" s="1" t="s">
        <v>74</v>
      </c>
      <c r="AY189" s="1" t="s">
        <v>74</v>
      </c>
      <c r="AZ189" s="1" t="s">
        <v>74</v>
      </c>
      <c r="BA189" s="1" t="s">
        <v>74</v>
      </c>
      <c r="BB189" s="1" t="s">
        <v>74</v>
      </c>
      <c r="BC189" s="1" t="s">
        <v>74</v>
      </c>
      <c r="BD189" s="1">
        <v>12030.0</v>
      </c>
      <c r="BE189" s="1" t="s">
        <v>2081</v>
      </c>
      <c r="BF189" s="2" t="str">
        <f>HYPERLINK("http://dx.doi.org/10.1088/1757-899X/427/1/012030","http://dx.doi.org/10.1088/1757-899X/427/1/012030")</f>
        <v>http://dx.doi.org/10.1088/1757-899X/427/1/012030</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2082</v>
      </c>
      <c r="BT189" s="1" t="str">
        <f>HYPERLINK("https%3A%2F%2Fwww.webofscience.com%2Fwos%2Fwoscc%2Ffull-record%2FWOS:000476860800030","View Full Record in Web of Science")</f>
        <v>View Full Record in Web of Science</v>
      </c>
    </row>
    <row r="190" ht="12.75" customHeight="1">
      <c r="A190" s="1" t="s">
        <v>72</v>
      </c>
      <c r="B190" s="1" t="s">
        <v>2083</v>
      </c>
      <c r="C190" s="1" t="s">
        <v>74</v>
      </c>
      <c r="D190" s="1" t="s">
        <v>74</v>
      </c>
      <c r="E190" s="1" t="s">
        <v>74</v>
      </c>
      <c r="F190" s="1" t="s">
        <v>2084</v>
      </c>
      <c r="G190" s="1" t="s">
        <v>74</v>
      </c>
      <c r="H190" s="1" t="s">
        <v>74</v>
      </c>
      <c r="I190" s="1" t="s">
        <v>2085</v>
      </c>
      <c r="J190" s="1" t="s">
        <v>2086</v>
      </c>
      <c r="K190" s="1" t="s">
        <v>74</v>
      </c>
      <c r="L190" s="1" t="s">
        <v>74</v>
      </c>
      <c r="M190" s="1" t="s">
        <v>74</v>
      </c>
      <c r="N190" s="1" t="s">
        <v>74</v>
      </c>
      <c r="O190" s="1" t="s">
        <v>74</v>
      </c>
      <c r="P190" s="1" t="s">
        <v>74</v>
      </c>
      <c r="Q190" s="1" t="s">
        <v>74</v>
      </c>
      <c r="R190" s="1" t="s">
        <v>74</v>
      </c>
      <c r="S190" s="1" t="s">
        <v>74</v>
      </c>
      <c r="T190" s="1" t="s">
        <v>74</v>
      </c>
      <c r="U190" s="1" t="s">
        <v>74</v>
      </c>
      <c r="V190" s="1" t="s">
        <v>2087</v>
      </c>
      <c r="W190" s="1" t="s">
        <v>74</v>
      </c>
      <c r="X190" s="1" t="s">
        <v>74</v>
      </c>
      <c r="Y190" s="1" t="s">
        <v>74</v>
      </c>
      <c r="Z190" s="1" t="s">
        <v>74</v>
      </c>
      <c r="AA190" s="1" t="s">
        <v>2088</v>
      </c>
      <c r="AB190" s="1" t="s">
        <v>2089</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2090</v>
      </c>
      <c r="AP190" s="1" t="s">
        <v>74</v>
      </c>
      <c r="AQ190" s="1" t="s">
        <v>74</v>
      </c>
      <c r="AR190" s="1" t="s">
        <v>74</v>
      </c>
      <c r="AS190" s="1" t="s">
        <v>74</v>
      </c>
      <c r="AT190" s="1" t="s">
        <v>2091</v>
      </c>
      <c r="AU190" s="1">
        <v>2017.0</v>
      </c>
      <c r="AV190" s="1">
        <v>30.0</v>
      </c>
      <c r="AW190" s="1" t="s">
        <v>2092</v>
      </c>
      <c r="AX190" s="1" t="s">
        <v>74</v>
      </c>
      <c r="AY190" s="1" t="s">
        <v>74</v>
      </c>
      <c r="AZ190" s="1" t="s">
        <v>74</v>
      </c>
      <c r="BA190" s="1" t="s">
        <v>74</v>
      </c>
      <c r="BB190" s="1">
        <v>667.0</v>
      </c>
      <c r="BC190" s="1">
        <v>694.0</v>
      </c>
      <c r="BD190" s="1" t="s">
        <v>74</v>
      </c>
      <c r="BE190" s="1" t="s">
        <v>74</v>
      </c>
      <c r="BF190" s="1" t="s">
        <v>74</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2093</v>
      </c>
      <c r="BT190" s="1" t="str">
        <f>HYPERLINK("https%3A%2F%2Fwww.webofscience.com%2Fwos%2Fwoscc%2Ffull-record%2FWOS:000406354100002","View Full Record in Web of Science")</f>
        <v>View Full Record in Web of Science</v>
      </c>
    </row>
    <row r="191" ht="12.75" customHeight="1">
      <c r="A191" s="1" t="s">
        <v>72</v>
      </c>
      <c r="B191" s="1" t="s">
        <v>2094</v>
      </c>
      <c r="C191" s="1" t="s">
        <v>74</v>
      </c>
      <c r="D191" s="1" t="s">
        <v>74</v>
      </c>
      <c r="E191" s="1" t="s">
        <v>74</v>
      </c>
      <c r="F191" s="1" t="s">
        <v>2095</v>
      </c>
      <c r="G191" s="1" t="s">
        <v>74</v>
      </c>
      <c r="H191" s="1" t="s">
        <v>74</v>
      </c>
      <c r="I191" s="1" t="s">
        <v>2096</v>
      </c>
      <c r="J191" s="1" t="s">
        <v>2097</v>
      </c>
      <c r="K191" s="1" t="s">
        <v>74</v>
      </c>
      <c r="L191" s="1" t="s">
        <v>74</v>
      </c>
      <c r="M191" s="1" t="s">
        <v>74</v>
      </c>
      <c r="N191" s="1" t="s">
        <v>74</v>
      </c>
      <c r="O191" s="1" t="s">
        <v>74</v>
      </c>
      <c r="P191" s="1" t="s">
        <v>74</v>
      </c>
      <c r="Q191" s="1" t="s">
        <v>74</v>
      </c>
      <c r="R191" s="1" t="s">
        <v>74</v>
      </c>
      <c r="S191" s="1" t="s">
        <v>74</v>
      </c>
      <c r="T191" s="1" t="s">
        <v>74</v>
      </c>
      <c r="U191" s="1" t="s">
        <v>74</v>
      </c>
      <c r="V191" s="1" t="s">
        <v>74</v>
      </c>
      <c r="W191" s="1" t="s">
        <v>74</v>
      </c>
      <c r="X191" s="1" t="s">
        <v>74</v>
      </c>
      <c r="Y191" s="1" t="s">
        <v>74</v>
      </c>
      <c r="Z191" s="1" t="s">
        <v>74</v>
      </c>
      <c r="AA191" s="1" t="s">
        <v>2098</v>
      </c>
      <c r="AB191" s="1" t="s">
        <v>74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2099</v>
      </c>
      <c r="AP191" s="1" t="s">
        <v>2100</v>
      </c>
      <c r="AQ191" s="1" t="s">
        <v>74</v>
      </c>
      <c r="AR191" s="1" t="s">
        <v>74</v>
      </c>
      <c r="AS191" s="1" t="s">
        <v>74</v>
      </c>
      <c r="AT191" s="1" t="s">
        <v>385</v>
      </c>
      <c r="AU191" s="1">
        <v>2017.0</v>
      </c>
      <c r="AV191" s="1">
        <v>9.0</v>
      </c>
      <c r="AW191" s="1">
        <v>2.0</v>
      </c>
      <c r="AX191" s="1" t="s">
        <v>74</v>
      </c>
      <c r="AY191" s="1" t="s">
        <v>74</v>
      </c>
      <c r="AZ191" s="1" t="s">
        <v>74</v>
      </c>
      <c r="BA191" s="1" t="s">
        <v>74</v>
      </c>
      <c r="BB191" s="1">
        <v>377.0</v>
      </c>
      <c r="BC191" s="1">
        <v>381.0</v>
      </c>
      <c r="BD191" s="1" t="s">
        <v>74</v>
      </c>
      <c r="BE191" s="1" t="s">
        <v>2101</v>
      </c>
      <c r="BF191" s="2" t="str">
        <f>HYPERLINK("http://dx.doi.org/10.1017/langcog.2017.2","http://dx.doi.org/10.1017/langcog.2017.2")</f>
        <v>http://dx.doi.org/10.1017/langcog.2017.2</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2102</v>
      </c>
      <c r="BT191" s="1" t="str">
        <f>HYPERLINK("https%3A%2F%2Fwww.webofscience.com%2Fwos%2Fwoscc%2Ffull-record%2FWOS:000401837000007","View Full Record in Web of Science")</f>
        <v>View Full Record in Web of Science</v>
      </c>
    </row>
    <row r="192" ht="12.75" customHeight="1">
      <c r="A192" s="1" t="s">
        <v>72</v>
      </c>
      <c r="B192" s="1" t="s">
        <v>2103</v>
      </c>
      <c r="C192" s="1" t="s">
        <v>74</v>
      </c>
      <c r="D192" s="1" t="s">
        <v>74</v>
      </c>
      <c r="E192" s="1" t="s">
        <v>74</v>
      </c>
      <c r="F192" s="1" t="s">
        <v>2104</v>
      </c>
      <c r="G192" s="1" t="s">
        <v>74</v>
      </c>
      <c r="H192" s="1" t="s">
        <v>74</v>
      </c>
      <c r="I192" s="1" t="s">
        <v>2105</v>
      </c>
      <c r="J192" s="1" t="s">
        <v>2106</v>
      </c>
      <c r="K192" s="1" t="s">
        <v>74</v>
      </c>
      <c r="L192" s="1" t="s">
        <v>74</v>
      </c>
      <c r="M192" s="1" t="s">
        <v>74</v>
      </c>
      <c r="N192" s="1" t="s">
        <v>74</v>
      </c>
      <c r="O192" s="1" t="s">
        <v>74</v>
      </c>
      <c r="P192" s="1" t="s">
        <v>74</v>
      </c>
      <c r="Q192" s="1" t="s">
        <v>74</v>
      </c>
      <c r="R192" s="1" t="s">
        <v>74</v>
      </c>
      <c r="S192" s="1" t="s">
        <v>74</v>
      </c>
      <c r="T192" s="1" t="s">
        <v>74</v>
      </c>
      <c r="U192" s="1" t="s">
        <v>74</v>
      </c>
      <c r="V192" s="1" t="s">
        <v>2107</v>
      </c>
      <c r="W192" s="1" t="s">
        <v>74</v>
      </c>
      <c r="X192" s="1" t="s">
        <v>74</v>
      </c>
      <c r="Y192" s="1" t="s">
        <v>74</v>
      </c>
      <c r="Z192" s="1" t="s">
        <v>74</v>
      </c>
      <c r="AA192" s="1" t="s">
        <v>2108</v>
      </c>
      <c r="AB192" s="1" t="s">
        <v>2109</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2110</v>
      </c>
      <c r="AP192" s="1" t="s">
        <v>2111</v>
      </c>
      <c r="AQ192" s="1" t="s">
        <v>74</v>
      </c>
      <c r="AR192" s="1" t="s">
        <v>74</v>
      </c>
      <c r="AS192" s="1" t="s">
        <v>74</v>
      </c>
      <c r="AT192" s="1" t="s">
        <v>1786</v>
      </c>
      <c r="AU192" s="1">
        <v>2017.0</v>
      </c>
      <c r="AV192" s="1">
        <v>584.0</v>
      </c>
      <c r="AW192" s="1" t="s">
        <v>74</v>
      </c>
      <c r="AX192" s="1" t="s">
        <v>74</v>
      </c>
      <c r="AY192" s="1" t="s">
        <v>74</v>
      </c>
      <c r="AZ192" s="1" t="s">
        <v>74</v>
      </c>
      <c r="BA192" s="1" t="s">
        <v>74</v>
      </c>
      <c r="BB192" s="1">
        <v>901.0</v>
      </c>
      <c r="BC192" s="1">
        <v>910.0</v>
      </c>
      <c r="BD192" s="1" t="s">
        <v>74</v>
      </c>
      <c r="BE192" s="1" t="s">
        <v>2112</v>
      </c>
      <c r="BF192" s="2" t="str">
        <f>HYPERLINK("http://dx.doi.org/10.1016/j.scitotenv.2017.01.136","http://dx.doi.org/10.1016/j.scitotenv.2017.01.136")</f>
        <v>http://dx.doi.org/10.1016/j.scitotenv.2017.01.136</v>
      </c>
      <c r="BG192" s="1" t="s">
        <v>74</v>
      </c>
      <c r="BH192" s="1" t="s">
        <v>74</v>
      </c>
      <c r="BI192" s="1" t="s">
        <v>74</v>
      </c>
      <c r="BJ192" s="1" t="s">
        <v>74</v>
      </c>
      <c r="BK192" s="1" t="s">
        <v>74</v>
      </c>
      <c r="BL192" s="1" t="s">
        <v>74</v>
      </c>
      <c r="BM192" s="1" t="s">
        <v>74</v>
      </c>
      <c r="BN192" s="1">
        <v>2.8189303E7</v>
      </c>
      <c r="BO192" s="1" t="s">
        <v>74</v>
      </c>
      <c r="BP192" s="1" t="s">
        <v>74</v>
      </c>
      <c r="BQ192" s="1" t="s">
        <v>74</v>
      </c>
      <c r="BR192" s="1" t="s">
        <v>74</v>
      </c>
      <c r="BS192" s="1" t="s">
        <v>2113</v>
      </c>
      <c r="BT192" s="1" t="str">
        <f>HYPERLINK("https%3A%2F%2Fwww.webofscience.com%2Fwos%2Fwoscc%2Ffull-record%2FWOS:000399358500087","View Full Record in Web of Science")</f>
        <v>View Full Record in Web of Science</v>
      </c>
    </row>
    <row r="193" ht="12.75" customHeight="1">
      <c r="A193" s="1" t="s">
        <v>72</v>
      </c>
      <c r="B193" s="1" t="s">
        <v>2114</v>
      </c>
      <c r="C193" s="1" t="s">
        <v>74</v>
      </c>
      <c r="D193" s="1" t="s">
        <v>74</v>
      </c>
      <c r="E193" s="1" t="s">
        <v>74</v>
      </c>
      <c r="F193" s="1" t="s">
        <v>2115</v>
      </c>
      <c r="G193" s="1" t="s">
        <v>74</v>
      </c>
      <c r="H193" s="1" t="s">
        <v>74</v>
      </c>
      <c r="I193" s="1" t="s">
        <v>2116</v>
      </c>
      <c r="J193" s="1" t="s">
        <v>2117</v>
      </c>
      <c r="K193" s="1" t="s">
        <v>74</v>
      </c>
      <c r="L193" s="1" t="s">
        <v>74</v>
      </c>
      <c r="M193" s="1" t="s">
        <v>74</v>
      </c>
      <c r="N193" s="1" t="s">
        <v>74</v>
      </c>
      <c r="O193" s="1" t="s">
        <v>74</v>
      </c>
      <c r="P193" s="1" t="s">
        <v>74</v>
      </c>
      <c r="Q193" s="1" t="s">
        <v>74</v>
      </c>
      <c r="R193" s="1" t="s">
        <v>74</v>
      </c>
      <c r="S193" s="1" t="s">
        <v>74</v>
      </c>
      <c r="T193" s="1" t="s">
        <v>74</v>
      </c>
      <c r="U193" s="1" t="s">
        <v>74</v>
      </c>
      <c r="V193" s="1" t="s">
        <v>2118</v>
      </c>
      <c r="W193" s="1" t="s">
        <v>74</v>
      </c>
      <c r="X193" s="1" t="s">
        <v>74</v>
      </c>
      <c r="Y193" s="1" t="s">
        <v>74</v>
      </c>
      <c r="Z193" s="1" t="s">
        <v>74</v>
      </c>
      <c r="AA193" s="1" t="s">
        <v>2119</v>
      </c>
      <c r="AB193" s="1" t="s">
        <v>2120</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2121</v>
      </c>
      <c r="AP193" s="1" t="s">
        <v>2122</v>
      </c>
      <c r="AQ193" s="1" t="s">
        <v>74</v>
      </c>
      <c r="AR193" s="1" t="s">
        <v>74</v>
      </c>
      <c r="AS193" s="1" t="s">
        <v>74</v>
      </c>
      <c r="AT193" s="1" t="s">
        <v>822</v>
      </c>
      <c r="AU193" s="1">
        <v>2017.0</v>
      </c>
      <c r="AV193" s="1">
        <v>88.0</v>
      </c>
      <c r="AW193" s="1">
        <v>1.0</v>
      </c>
      <c r="AX193" s="1" t="s">
        <v>74</v>
      </c>
      <c r="AY193" s="1" t="s">
        <v>74</v>
      </c>
      <c r="AZ193" s="1" t="s">
        <v>74</v>
      </c>
      <c r="BA193" s="1" t="s">
        <v>74</v>
      </c>
      <c r="BB193" s="1" t="s">
        <v>74</v>
      </c>
      <c r="BC193" s="1" t="s">
        <v>74</v>
      </c>
      <c r="BD193" s="1">
        <v>1600351.0</v>
      </c>
      <c r="BE193" s="1" t="s">
        <v>2123</v>
      </c>
      <c r="BF193" s="2" t="str">
        <f>HYPERLINK("http://dx.doi.org/10.1002/srin.201600351","http://dx.doi.org/10.1002/srin.201600351")</f>
        <v>http://dx.doi.org/10.1002/srin.201600351</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2124</v>
      </c>
      <c r="BT193" s="1" t="str">
        <f>HYPERLINK("https%3A%2F%2Fwww.webofscience.com%2Fwos%2Fwoscc%2Ffull-record%2FWOS:000392628200016","View Full Record in Web of Science")</f>
        <v>View Full Record in Web of Science</v>
      </c>
    </row>
    <row r="194" ht="12.75" customHeight="1">
      <c r="A194" s="1" t="s">
        <v>72</v>
      </c>
      <c r="B194" s="1" t="s">
        <v>2125</v>
      </c>
      <c r="C194" s="1" t="s">
        <v>74</v>
      </c>
      <c r="D194" s="1" t="s">
        <v>74</v>
      </c>
      <c r="E194" s="1" t="s">
        <v>74</v>
      </c>
      <c r="F194" s="1" t="s">
        <v>2126</v>
      </c>
      <c r="G194" s="1" t="s">
        <v>74</v>
      </c>
      <c r="H194" s="1" t="s">
        <v>74</v>
      </c>
      <c r="I194" s="1" t="s">
        <v>2127</v>
      </c>
      <c r="J194" s="1" t="s">
        <v>2128</v>
      </c>
      <c r="K194" s="1" t="s">
        <v>74</v>
      </c>
      <c r="L194" s="1" t="s">
        <v>74</v>
      </c>
      <c r="M194" s="1" t="s">
        <v>74</v>
      </c>
      <c r="N194" s="1" t="s">
        <v>74</v>
      </c>
      <c r="O194" s="1" t="s">
        <v>74</v>
      </c>
      <c r="P194" s="1" t="s">
        <v>74</v>
      </c>
      <c r="Q194" s="1" t="s">
        <v>74</v>
      </c>
      <c r="R194" s="1" t="s">
        <v>74</v>
      </c>
      <c r="S194" s="1" t="s">
        <v>74</v>
      </c>
      <c r="T194" s="1" t="s">
        <v>74</v>
      </c>
      <c r="U194" s="1" t="s">
        <v>74</v>
      </c>
      <c r="V194" s="1" t="s">
        <v>2129</v>
      </c>
      <c r="W194" s="1" t="s">
        <v>74</v>
      </c>
      <c r="X194" s="1" t="s">
        <v>74</v>
      </c>
      <c r="Y194" s="1" t="s">
        <v>74</v>
      </c>
      <c r="Z194" s="1" t="s">
        <v>74</v>
      </c>
      <c r="AA194" s="1" t="s">
        <v>2130</v>
      </c>
      <c r="AB194" s="1" t="s">
        <v>2131</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2132</v>
      </c>
      <c r="AP194" s="1" t="s">
        <v>2133</v>
      </c>
      <c r="AQ194" s="1" t="s">
        <v>74</v>
      </c>
      <c r="AR194" s="1" t="s">
        <v>74</v>
      </c>
      <c r="AS194" s="1" t="s">
        <v>74</v>
      </c>
      <c r="AT194" s="1" t="s">
        <v>74</v>
      </c>
      <c r="AU194" s="1">
        <v>2017.0</v>
      </c>
      <c r="AV194" s="1">
        <v>37.0</v>
      </c>
      <c r="AW194" s="1">
        <v>4.0</v>
      </c>
      <c r="AX194" s="1" t="s">
        <v>74</v>
      </c>
      <c r="AY194" s="1" t="s">
        <v>74</v>
      </c>
      <c r="AZ194" s="1" t="s">
        <v>74</v>
      </c>
      <c r="BA194" s="1" t="s">
        <v>74</v>
      </c>
      <c r="BB194" s="1">
        <v>482.0</v>
      </c>
      <c r="BC194" s="1">
        <v>484.0</v>
      </c>
      <c r="BD194" s="1" t="s">
        <v>74</v>
      </c>
      <c r="BE194" s="1" t="s">
        <v>74</v>
      </c>
      <c r="BF194" s="1" t="s">
        <v>74</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2134</v>
      </c>
      <c r="BT194" s="1" t="str">
        <f>HYPERLINK("https%3A%2F%2Fwww.webofscience.com%2Fwos%2Fwoscc%2Ffull-record%2FWOS:000417969000022","View Full Record in Web of Science")</f>
        <v>View Full Record in Web of Science</v>
      </c>
    </row>
    <row r="195" ht="12.75" customHeight="1">
      <c r="A195" s="1" t="s">
        <v>72</v>
      </c>
      <c r="B195" s="1" t="s">
        <v>2135</v>
      </c>
      <c r="C195" s="1" t="s">
        <v>74</v>
      </c>
      <c r="D195" s="1" t="s">
        <v>74</v>
      </c>
      <c r="E195" s="1" t="s">
        <v>74</v>
      </c>
      <c r="F195" s="1" t="s">
        <v>2136</v>
      </c>
      <c r="G195" s="1" t="s">
        <v>74</v>
      </c>
      <c r="H195" s="1" t="s">
        <v>74</v>
      </c>
      <c r="I195" s="1" t="s">
        <v>2137</v>
      </c>
      <c r="J195" s="1" t="s">
        <v>2138</v>
      </c>
      <c r="K195" s="1" t="s">
        <v>74</v>
      </c>
      <c r="L195" s="1" t="s">
        <v>74</v>
      </c>
      <c r="M195" s="1" t="s">
        <v>74</v>
      </c>
      <c r="N195" s="1" t="s">
        <v>74</v>
      </c>
      <c r="O195" s="1" t="s">
        <v>74</v>
      </c>
      <c r="P195" s="1" t="s">
        <v>74</v>
      </c>
      <c r="Q195" s="1" t="s">
        <v>74</v>
      </c>
      <c r="R195" s="1" t="s">
        <v>74</v>
      </c>
      <c r="S195" s="1" t="s">
        <v>74</v>
      </c>
      <c r="T195" s="1" t="s">
        <v>74</v>
      </c>
      <c r="U195" s="1" t="s">
        <v>74</v>
      </c>
      <c r="V195" s="1" t="s">
        <v>2139</v>
      </c>
      <c r="W195" s="1" t="s">
        <v>74</v>
      </c>
      <c r="X195" s="1" t="s">
        <v>74</v>
      </c>
      <c r="Y195" s="1" t="s">
        <v>74</v>
      </c>
      <c r="Z195" s="1" t="s">
        <v>74</v>
      </c>
      <c r="AA195" s="1" t="s">
        <v>238</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2140</v>
      </c>
      <c r="AP195" s="1" t="s">
        <v>2141</v>
      </c>
      <c r="AQ195" s="1" t="s">
        <v>74</v>
      </c>
      <c r="AR195" s="1" t="s">
        <v>74</v>
      </c>
      <c r="AS195" s="1" t="s">
        <v>74</v>
      </c>
      <c r="AT195" s="1" t="s">
        <v>2142</v>
      </c>
      <c r="AU195" s="1">
        <v>2016.0</v>
      </c>
      <c r="AV195" s="1">
        <v>101.0</v>
      </c>
      <c r="AW195" s="1" t="s">
        <v>2143</v>
      </c>
      <c r="AX195" s="1" t="s">
        <v>74</v>
      </c>
      <c r="AY195" s="1" t="s">
        <v>74</v>
      </c>
      <c r="AZ195" s="1" t="s">
        <v>74</v>
      </c>
      <c r="BA195" s="1" t="s">
        <v>74</v>
      </c>
      <c r="BB195" s="1">
        <v>587.0</v>
      </c>
      <c r="BC195" s="1">
        <v>595.0</v>
      </c>
      <c r="BD195" s="1" t="s">
        <v>74</v>
      </c>
      <c r="BE195" s="1" t="s">
        <v>2144</v>
      </c>
      <c r="BF195" s="2" t="str">
        <f>HYPERLINK("http://dx.doi.org/10.2138/am-2016-5505","http://dx.doi.org/10.2138/am-2016-5505")</f>
        <v>http://dx.doi.org/10.2138/am-2016-5505</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2145</v>
      </c>
      <c r="BT195" s="1" t="str">
        <f>HYPERLINK("https%3A%2F%2Fwww.webofscience.com%2Fwos%2Fwoscc%2Ffull-record%2FWOS:000374626100009","View Full Record in Web of Science")</f>
        <v>View Full Record in Web of Science</v>
      </c>
    </row>
    <row r="196" ht="12.75" customHeight="1">
      <c r="A196" s="1" t="s">
        <v>154</v>
      </c>
      <c r="B196" s="1" t="s">
        <v>2146</v>
      </c>
      <c r="C196" s="1" t="s">
        <v>74</v>
      </c>
      <c r="D196" s="1" t="s">
        <v>74</v>
      </c>
      <c r="E196" s="1" t="s">
        <v>880</v>
      </c>
      <c r="F196" s="1" t="s">
        <v>2147</v>
      </c>
      <c r="G196" s="1" t="s">
        <v>74</v>
      </c>
      <c r="H196" s="1" t="s">
        <v>74</v>
      </c>
      <c r="I196" s="1" t="s">
        <v>2148</v>
      </c>
      <c r="J196" s="1" t="s">
        <v>2149</v>
      </c>
      <c r="K196" s="1" t="s">
        <v>74</v>
      </c>
      <c r="L196" s="1" t="s">
        <v>74</v>
      </c>
      <c r="M196" s="1" t="s">
        <v>74</v>
      </c>
      <c r="N196" s="1" t="s">
        <v>74</v>
      </c>
      <c r="O196" s="1" t="s">
        <v>2150</v>
      </c>
      <c r="P196" s="1" t="s">
        <v>2151</v>
      </c>
      <c r="Q196" s="1" t="s">
        <v>2152</v>
      </c>
      <c r="R196" s="1" t="s">
        <v>2153</v>
      </c>
      <c r="S196" s="1" t="s">
        <v>74</v>
      </c>
      <c r="T196" s="1" t="s">
        <v>74</v>
      </c>
      <c r="U196" s="1" t="s">
        <v>74</v>
      </c>
      <c r="V196" s="1" t="s">
        <v>2154</v>
      </c>
      <c r="W196" s="1" t="s">
        <v>74</v>
      </c>
      <c r="X196" s="1" t="s">
        <v>74</v>
      </c>
      <c r="Y196" s="1" t="s">
        <v>74</v>
      </c>
      <c r="Z196" s="1" t="s">
        <v>74</v>
      </c>
      <c r="AA196" s="1" t="s">
        <v>74</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74</v>
      </c>
      <c r="AP196" s="1" t="s">
        <v>74</v>
      </c>
      <c r="AQ196" s="1" t="s">
        <v>2155</v>
      </c>
      <c r="AR196" s="1" t="s">
        <v>74</v>
      </c>
      <c r="AS196" s="1" t="s">
        <v>74</v>
      </c>
      <c r="AT196" s="1" t="s">
        <v>74</v>
      </c>
      <c r="AU196" s="1">
        <v>2016.0</v>
      </c>
      <c r="AV196" s="1" t="s">
        <v>74</v>
      </c>
      <c r="AW196" s="1" t="s">
        <v>74</v>
      </c>
      <c r="AX196" s="1" t="s">
        <v>74</v>
      </c>
      <c r="AY196" s="1" t="s">
        <v>74</v>
      </c>
      <c r="AZ196" s="1" t="s">
        <v>74</v>
      </c>
      <c r="BA196" s="1" t="s">
        <v>74</v>
      </c>
      <c r="BB196" s="1" t="s">
        <v>74</v>
      </c>
      <c r="BC196" s="1" t="s">
        <v>74</v>
      </c>
      <c r="BD196" s="1" t="s">
        <v>2156</v>
      </c>
      <c r="BE196" s="1" t="s">
        <v>74</v>
      </c>
      <c r="BF196" s="1" t="s">
        <v>74</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2157</v>
      </c>
      <c r="BT196" s="1" t="str">
        <f>HYPERLINK("https%3A%2F%2Fwww.webofscience.com%2Fwos%2Fwoscc%2Ffull-record%2FWOS:000392359400071","View Full Record in Web of Science")</f>
        <v>View Full Record in Web of Science</v>
      </c>
    </row>
    <row r="197" ht="12.75" customHeight="1">
      <c r="A197" s="1" t="s">
        <v>72</v>
      </c>
      <c r="B197" s="1" t="s">
        <v>2158</v>
      </c>
      <c r="C197" s="1" t="s">
        <v>74</v>
      </c>
      <c r="D197" s="1" t="s">
        <v>74</v>
      </c>
      <c r="E197" s="1" t="s">
        <v>74</v>
      </c>
      <c r="F197" s="1" t="s">
        <v>2159</v>
      </c>
      <c r="G197" s="1" t="s">
        <v>74</v>
      </c>
      <c r="H197" s="1" t="s">
        <v>74</v>
      </c>
      <c r="I197" s="1" t="s">
        <v>2160</v>
      </c>
      <c r="J197" s="1" t="s">
        <v>2161</v>
      </c>
      <c r="K197" s="1" t="s">
        <v>74</v>
      </c>
      <c r="L197" s="1" t="s">
        <v>74</v>
      </c>
      <c r="M197" s="1" t="s">
        <v>74</v>
      </c>
      <c r="N197" s="1" t="s">
        <v>74</v>
      </c>
      <c r="O197" s="1" t="s">
        <v>74</v>
      </c>
      <c r="P197" s="1" t="s">
        <v>74</v>
      </c>
      <c r="Q197" s="1" t="s">
        <v>74</v>
      </c>
      <c r="R197" s="1" t="s">
        <v>74</v>
      </c>
      <c r="S197" s="1" t="s">
        <v>74</v>
      </c>
      <c r="T197" s="1" t="s">
        <v>74</v>
      </c>
      <c r="U197" s="1" t="s">
        <v>74</v>
      </c>
      <c r="V197" s="1" t="s">
        <v>2162</v>
      </c>
      <c r="W197" s="1" t="s">
        <v>74</v>
      </c>
      <c r="X197" s="1" t="s">
        <v>74</v>
      </c>
      <c r="Y197" s="1" t="s">
        <v>74</v>
      </c>
      <c r="Z197" s="1" t="s">
        <v>74</v>
      </c>
      <c r="AA197" s="1" t="s">
        <v>2163</v>
      </c>
      <c r="AB197" s="1" t="s">
        <v>2164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2165</v>
      </c>
      <c r="AP197" s="1" t="s">
        <v>2166</v>
      </c>
      <c r="AQ197" s="1" t="s">
        <v>74</v>
      </c>
      <c r="AR197" s="1" t="s">
        <v>74</v>
      </c>
      <c r="AS197" s="1" t="s">
        <v>74</v>
      </c>
      <c r="AT197" s="1" t="s">
        <v>1082</v>
      </c>
      <c r="AU197" s="1">
        <v>2015.0</v>
      </c>
      <c r="AV197" s="1">
        <v>169.0</v>
      </c>
      <c r="AW197" s="1" t="s">
        <v>74</v>
      </c>
      <c r="AX197" s="1" t="s">
        <v>74</v>
      </c>
      <c r="AY197" s="1" t="s">
        <v>74</v>
      </c>
      <c r="AZ197" s="1" t="s">
        <v>74</v>
      </c>
      <c r="BA197" s="1" t="s">
        <v>74</v>
      </c>
      <c r="BB197" s="1">
        <v>75.0</v>
      </c>
      <c r="BC197" s="1">
        <v>92.0</v>
      </c>
      <c r="BD197" s="1" t="s">
        <v>74</v>
      </c>
      <c r="BE197" s="1" t="s">
        <v>2167</v>
      </c>
      <c r="BF197" s="2" t="str">
        <f>HYPERLINK("http://dx.doi.org/10.1016/j.rse.2015.07.030","http://dx.doi.org/10.1016/j.rse.2015.07.030")</f>
        <v>http://dx.doi.org/10.1016/j.rse.2015.07.030</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2168</v>
      </c>
      <c r="BT197" s="1" t="str">
        <f>HYPERLINK("https%3A%2F%2Fwww.webofscience.com%2Fwos%2Fwoscc%2Ffull-record%2FWOS:000363815900005","View Full Record in Web of Science")</f>
        <v>View Full Record in Web of Science</v>
      </c>
    </row>
    <row r="198" ht="12.75" customHeight="1">
      <c r="A198" s="1" t="s">
        <v>72</v>
      </c>
      <c r="B198" s="1" t="s">
        <v>2169</v>
      </c>
      <c r="C198" s="1" t="s">
        <v>74</v>
      </c>
      <c r="D198" s="1" t="s">
        <v>74</v>
      </c>
      <c r="E198" s="1" t="s">
        <v>74</v>
      </c>
      <c r="F198" s="1" t="s">
        <v>2170</v>
      </c>
      <c r="G198" s="1" t="s">
        <v>74</v>
      </c>
      <c r="H198" s="1" t="s">
        <v>74</v>
      </c>
      <c r="I198" s="1" t="s">
        <v>2171</v>
      </c>
      <c r="J198" s="1" t="s">
        <v>2172</v>
      </c>
      <c r="K198" s="1" t="s">
        <v>74</v>
      </c>
      <c r="L198" s="1" t="s">
        <v>74</v>
      </c>
      <c r="M198" s="1" t="s">
        <v>74</v>
      </c>
      <c r="N198" s="1" t="s">
        <v>74</v>
      </c>
      <c r="O198" s="1" t="s">
        <v>74</v>
      </c>
      <c r="P198" s="1" t="s">
        <v>74</v>
      </c>
      <c r="Q198" s="1" t="s">
        <v>74</v>
      </c>
      <c r="R198" s="1" t="s">
        <v>74</v>
      </c>
      <c r="S198" s="1" t="s">
        <v>74</v>
      </c>
      <c r="T198" s="1" t="s">
        <v>74</v>
      </c>
      <c r="U198" s="1" t="s">
        <v>74</v>
      </c>
      <c r="V198" s="1" t="s">
        <v>2173</v>
      </c>
      <c r="W198" s="1" t="s">
        <v>74</v>
      </c>
      <c r="X198" s="1" t="s">
        <v>74</v>
      </c>
      <c r="Y198" s="1" t="s">
        <v>74</v>
      </c>
      <c r="Z198" s="1" t="s">
        <v>74</v>
      </c>
      <c r="AA198" s="1" t="s">
        <v>2174</v>
      </c>
      <c r="AB198" s="1" t="s">
        <v>2175</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2176</v>
      </c>
      <c r="AP198" s="1" t="s">
        <v>2177</v>
      </c>
      <c r="AQ198" s="1" t="s">
        <v>74</v>
      </c>
      <c r="AR198" s="1" t="s">
        <v>74</v>
      </c>
      <c r="AS198" s="1" t="s">
        <v>74</v>
      </c>
      <c r="AT198" s="1" t="s">
        <v>822</v>
      </c>
      <c r="AU198" s="1">
        <v>2015.0</v>
      </c>
      <c r="AV198" s="1">
        <v>144.0</v>
      </c>
      <c r="AW198" s="1" t="s">
        <v>74</v>
      </c>
      <c r="AX198" s="1" t="s">
        <v>74</v>
      </c>
      <c r="AY198" s="1" t="s">
        <v>74</v>
      </c>
      <c r="AZ198" s="1" t="s">
        <v>74</v>
      </c>
      <c r="BA198" s="1" t="s">
        <v>74</v>
      </c>
      <c r="BB198" s="1">
        <v>58.0</v>
      </c>
      <c r="BC198" s="1">
        <v>65.0</v>
      </c>
      <c r="BD198" s="1" t="s">
        <v>74</v>
      </c>
      <c r="BE198" s="1" t="s">
        <v>2178</v>
      </c>
      <c r="BF198" s="2" t="str">
        <f>HYPERLINK("http://dx.doi.org/10.1016/j.jfoodeng.2014.07.009","http://dx.doi.org/10.1016/j.jfoodeng.2014.07.009")</f>
        <v>http://dx.doi.org/10.1016/j.jfoodeng.2014.07.009</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2179</v>
      </c>
      <c r="BT198" s="1" t="str">
        <f>HYPERLINK("https%3A%2F%2Fwww.webofscience.com%2Fwos%2Fwoscc%2Ffull-record%2FWOS:000342865200007","View Full Record in Web of Science")</f>
        <v>View Full Record in Web of Science</v>
      </c>
    </row>
    <row r="199" ht="12.75" customHeight="1">
      <c r="A199" s="1" t="s">
        <v>72</v>
      </c>
      <c r="B199" s="1" t="s">
        <v>2180</v>
      </c>
      <c r="C199" s="1" t="s">
        <v>74</v>
      </c>
      <c r="D199" s="1" t="s">
        <v>74</v>
      </c>
      <c r="E199" s="1" t="s">
        <v>74</v>
      </c>
      <c r="F199" s="1" t="s">
        <v>2181</v>
      </c>
      <c r="G199" s="1" t="s">
        <v>74</v>
      </c>
      <c r="H199" s="1" t="s">
        <v>74</v>
      </c>
      <c r="I199" s="1" t="s">
        <v>2182</v>
      </c>
      <c r="J199" s="1" t="s">
        <v>2183</v>
      </c>
      <c r="K199" s="1" t="s">
        <v>74</v>
      </c>
      <c r="L199" s="1" t="s">
        <v>74</v>
      </c>
      <c r="M199" s="1" t="s">
        <v>74</v>
      </c>
      <c r="N199" s="1" t="s">
        <v>74</v>
      </c>
      <c r="O199" s="1" t="s">
        <v>74</v>
      </c>
      <c r="P199" s="1" t="s">
        <v>74</v>
      </c>
      <c r="Q199" s="1" t="s">
        <v>74</v>
      </c>
      <c r="R199" s="1" t="s">
        <v>74</v>
      </c>
      <c r="S199" s="1" t="s">
        <v>74</v>
      </c>
      <c r="T199" s="1" t="s">
        <v>74</v>
      </c>
      <c r="U199" s="1" t="s">
        <v>74</v>
      </c>
      <c r="V199" s="1" t="s">
        <v>2184</v>
      </c>
      <c r="W199" s="1" t="s">
        <v>74</v>
      </c>
      <c r="X199" s="1" t="s">
        <v>74</v>
      </c>
      <c r="Y199" s="1" t="s">
        <v>74</v>
      </c>
      <c r="Z199" s="1" t="s">
        <v>74</v>
      </c>
      <c r="AA199" s="1" t="s">
        <v>2185</v>
      </c>
      <c r="AB199" s="1" t="s">
        <v>2186</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2187</v>
      </c>
      <c r="AP199" s="1" t="s">
        <v>2188</v>
      </c>
      <c r="AQ199" s="1" t="s">
        <v>74</v>
      </c>
      <c r="AR199" s="1" t="s">
        <v>74</v>
      </c>
      <c r="AS199" s="1" t="s">
        <v>74</v>
      </c>
      <c r="AT199" s="1" t="s">
        <v>151</v>
      </c>
      <c r="AU199" s="1">
        <v>2013.0</v>
      </c>
      <c r="AV199" s="1">
        <v>50.0</v>
      </c>
      <c r="AW199" s="1">
        <v>5.0</v>
      </c>
      <c r="AX199" s="1" t="s">
        <v>74</v>
      </c>
      <c r="AY199" s="1" t="s">
        <v>74</v>
      </c>
      <c r="AZ199" s="1" t="s">
        <v>74</v>
      </c>
      <c r="BA199" s="1" t="s">
        <v>74</v>
      </c>
      <c r="BB199" s="1" t="s">
        <v>2189</v>
      </c>
      <c r="BC199" s="1" t="s">
        <v>2190</v>
      </c>
      <c r="BD199" s="1" t="s">
        <v>74</v>
      </c>
      <c r="BE199" s="1" t="s">
        <v>2191</v>
      </c>
      <c r="BF199" s="2" t="str">
        <f>HYPERLINK("http://dx.doi.org/10.1088/0026-1394/50/5/L1","http://dx.doi.org/10.1088/0026-1394/50/5/L1")</f>
        <v>http://dx.doi.org/10.1088/0026-1394/50/5/L1</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2192</v>
      </c>
      <c r="BT199" s="1" t="str">
        <f>HYPERLINK("https%3A%2F%2Fwww.webofscience.com%2Fwos%2Fwoscc%2Ffull-record%2FWOS:000330831400001","View Full Record in Web of Science")</f>
        <v>View Full Record in Web of Science</v>
      </c>
    </row>
    <row r="200" ht="12.75" customHeight="1">
      <c r="A200" s="1" t="s">
        <v>72</v>
      </c>
      <c r="B200" s="1" t="s">
        <v>2193</v>
      </c>
      <c r="C200" s="1" t="s">
        <v>74</v>
      </c>
      <c r="D200" s="1" t="s">
        <v>74</v>
      </c>
      <c r="E200" s="1" t="s">
        <v>74</v>
      </c>
      <c r="F200" s="1" t="s">
        <v>2194</v>
      </c>
      <c r="G200" s="1" t="s">
        <v>74</v>
      </c>
      <c r="H200" s="1" t="s">
        <v>74</v>
      </c>
      <c r="I200" s="1" t="s">
        <v>2195</v>
      </c>
      <c r="J200" s="1" t="s">
        <v>2196</v>
      </c>
      <c r="K200" s="1" t="s">
        <v>74</v>
      </c>
      <c r="L200" s="1" t="s">
        <v>74</v>
      </c>
      <c r="M200" s="1" t="s">
        <v>74</v>
      </c>
      <c r="N200" s="1" t="s">
        <v>74</v>
      </c>
      <c r="O200" s="1" t="s">
        <v>74</v>
      </c>
      <c r="P200" s="1" t="s">
        <v>74</v>
      </c>
      <c r="Q200" s="1" t="s">
        <v>74</v>
      </c>
      <c r="R200" s="1" t="s">
        <v>74</v>
      </c>
      <c r="S200" s="1" t="s">
        <v>74</v>
      </c>
      <c r="T200" s="1" t="s">
        <v>74</v>
      </c>
      <c r="U200" s="1" t="s">
        <v>74</v>
      </c>
      <c r="V200" s="1" t="s">
        <v>2197</v>
      </c>
      <c r="W200" s="1" t="s">
        <v>74</v>
      </c>
      <c r="X200" s="1" t="s">
        <v>74</v>
      </c>
      <c r="Y200" s="1" t="s">
        <v>74</v>
      </c>
      <c r="Z200" s="1" t="s">
        <v>74</v>
      </c>
      <c r="AA200" s="1" t="s">
        <v>2198</v>
      </c>
      <c r="AB200" s="1" t="s">
        <v>2199</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2200</v>
      </c>
      <c r="AP200" s="1" t="s">
        <v>2201</v>
      </c>
      <c r="AQ200" s="1" t="s">
        <v>74</v>
      </c>
      <c r="AR200" s="1" t="s">
        <v>74</v>
      </c>
      <c r="AS200" s="1" t="s">
        <v>74</v>
      </c>
      <c r="AT200" s="1" t="s">
        <v>74</v>
      </c>
      <c r="AU200" s="1">
        <v>2013.0</v>
      </c>
      <c r="AV200" s="1">
        <v>12.0</v>
      </c>
      <c r="AW200" s="1">
        <v>7.0</v>
      </c>
      <c r="AX200" s="1" t="s">
        <v>74</v>
      </c>
      <c r="AY200" s="1" t="s">
        <v>74</v>
      </c>
      <c r="AZ200" s="1" t="s">
        <v>74</v>
      </c>
      <c r="BA200" s="1" t="s">
        <v>74</v>
      </c>
      <c r="BB200" s="1">
        <v>1193.0</v>
      </c>
      <c r="BC200" s="1">
        <v>1201.0</v>
      </c>
      <c r="BD200" s="1" t="s">
        <v>74</v>
      </c>
      <c r="BE200" s="1" t="s">
        <v>2202</v>
      </c>
      <c r="BF200" s="2" t="str">
        <f>HYPERLINK("http://dx.doi.org/10.1039/c3pp25440b","http://dx.doi.org/10.1039/c3pp25440b")</f>
        <v>http://dx.doi.org/10.1039/c3pp25440b</v>
      </c>
      <c r="BG200" s="1" t="s">
        <v>74</v>
      </c>
      <c r="BH200" s="1" t="s">
        <v>74</v>
      </c>
      <c r="BI200" s="1" t="s">
        <v>74</v>
      </c>
      <c r="BJ200" s="1" t="s">
        <v>74</v>
      </c>
      <c r="BK200" s="1" t="s">
        <v>74</v>
      </c>
      <c r="BL200" s="1" t="s">
        <v>74</v>
      </c>
      <c r="BM200" s="1" t="s">
        <v>74</v>
      </c>
      <c r="BN200" s="1">
        <v>2.358437E7</v>
      </c>
      <c r="BO200" s="1" t="s">
        <v>74</v>
      </c>
      <c r="BP200" s="1" t="s">
        <v>74</v>
      </c>
      <c r="BQ200" s="1" t="s">
        <v>74</v>
      </c>
      <c r="BR200" s="1" t="s">
        <v>74</v>
      </c>
      <c r="BS200" s="1" t="s">
        <v>2203</v>
      </c>
      <c r="BT200" s="1" t="str">
        <f>HYPERLINK("https%3A%2F%2Fwww.webofscience.com%2Fwos%2Fwoscc%2Ffull-record%2FWOS:000320557800009","View Full Record in Web of Science")</f>
        <v>View Full Record in Web of Science</v>
      </c>
    </row>
    <row r="201" ht="12.75" customHeight="1">
      <c r="A201" s="1" t="s">
        <v>154</v>
      </c>
      <c r="B201" s="1" t="s">
        <v>2204</v>
      </c>
      <c r="C201" s="1" t="s">
        <v>74</v>
      </c>
      <c r="D201" s="1" t="s">
        <v>2205</v>
      </c>
      <c r="E201" s="1" t="s">
        <v>74</v>
      </c>
      <c r="F201" s="1" t="s">
        <v>2206</v>
      </c>
      <c r="G201" s="1" t="s">
        <v>74</v>
      </c>
      <c r="H201" s="1" t="s">
        <v>74</v>
      </c>
      <c r="I201" s="1" t="s">
        <v>2207</v>
      </c>
      <c r="J201" s="1" t="s">
        <v>2208</v>
      </c>
      <c r="K201" s="1" t="s">
        <v>1294</v>
      </c>
      <c r="L201" s="1" t="s">
        <v>74</v>
      </c>
      <c r="M201" s="1" t="s">
        <v>74</v>
      </c>
      <c r="N201" s="1" t="s">
        <v>74</v>
      </c>
      <c r="O201" s="1" t="s">
        <v>2209</v>
      </c>
      <c r="P201" s="1" t="s">
        <v>2210</v>
      </c>
      <c r="Q201" s="1" t="s">
        <v>2211</v>
      </c>
      <c r="R201" s="1" t="s">
        <v>2212</v>
      </c>
      <c r="S201" s="1" t="s">
        <v>74</v>
      </c>
      <c r="T201" s="1" t="s">
        <v>74</v>
      </c>
      <c r="U201" s="1" t="s">
        <v>74</v>
      </c>
      <c r="V201" s="1" t="s">
        <v>2213</v>
      </c>
      <c r="W201" s="1" t="s">
        <v>74</v>
      </c>
      <c r="X201" s="1" t="s">
        <v>74</v>
      </c>
      <c r="Y201" s="1" t="s">
        <v>74</v>
      </c>
      <c r="Z201" s="1" t="s">
        <v>74</v>
      </c>
      <c r="AA201" s="1" t="s">
        <v>2214</v>
      </c>
      <c r="AB201" s="1" t="s">
        <v>2215</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1300</v>
      </c>
      <c r="AP201" s="1" t="s">
        <v>1301</v>
      </c>
      <c r="AQ201" s="1" t="s">
        <v>2216</v>
      </c>
      <c r="AR201" s="1" t="s">
        <v>74</v>
      </c>
      <c r="AS201" s="1" t="s">
        <v>74</v>
      </c>
      <c r="AT201" s="1" t="s">
        <v>74</v>
      </c>
      <c r="AU201" s="1">
        <v>2013.0</v>
      </c>
      <c r="AV201" s="1">
        <v>8097.0</v>
      </c>
      <c r="AW201" s="1" t="s">
        <v>74</v>
      </c>
      <c r="AX201" s="1" t="s">
        <v>74</v>
      </c>
      <c r="AY201" s="1" t="s">
        <v>74</v>
      </c>
      <c r="AZ201" s="1" t="s">
        <v>74</v>
      </c>
      <c r="BA201" s="1" t="s">
        <v>74</v>
      </c>
      <c r="BB201" s="1">
        <v>394.0</v>
      </c>
      <c r="BC201" s="1">
        <v>405.0</v>
      </c>
      <c r="BD201" s="1" t="s">
        <v>74</v>
      </c>
      <c r="BE201" s="1" t="s">
        <v>74</v>
      </c>
      <c r="BF201" s="1" t="s">
        <v>74</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2217</v>
      </c>
      <c r="BT201" s="1" t="str">
        <f>HYPERLINK("https%3A%2F%2Fwww.webofscience.com%2Fwos%2Fwoscc%2Ffull-record%2FWOS:000341243100041","View Full Record in Web of Science")</f>
        <v>View Full Record in Web of Science</v>
      </c>
    </row>
    <row r="202" ht="12.75" customHeight="1">
      <c r="A202" s="1" t="s">
        <v>72</v>
      </c>
      <c r="B202" s="1" t="s">
        <v>2218</v>
      </c>
      <c r="C202" s="1" t="s">
        <v>74</v>
      </c>
      <c r="D202" s="1" t="s">
        <v>74</v>
      </c>
      <c r="E202" s="1" t="s">
        <v>74</v>
      </c>
      <c r="F202" s="1" t="s">
        <v>2219</v>
      </c>
      <c r="G202" s="1" t="s">
        <v>74</v>
      </c>
      <c r="H202" s="1" t="s">
        <v>74</v>
      </c>
      <c r="I202" s="1" t="s">
        <v>2220</v>
      </c>
      <c r="J202" s="1" t="s">
        <v>2221</v>
      </c>
      <c r="K202" s="1" t="s">
        <v>74</v>
      </c>
      <c r="L202" s="1" t="s">
        <v>74</v>
      </c>
      <c r="M202" s="1" t="s">
        <v>74</v>
      </c>
      <c r="N202" s="1" t="s">
        <v>74</v>
      </c>
      <c r="O202" s="1" t="s">
        <v>74</v>
      </c>
      <c r="P202" s="1" t="s">
        <v>74</v>
      </c>
      <c r="Q202" s="1" t="s">
        <v>74</v>
      </c>
      <c r="R202" s="1" t="s">
        <v>74</v>
      </c>
      <c r="S202" s="1" t="s">
        <v>74</v>
      </c>
      <c r="T202" s="1" t="s">
        <v>74</v>
      </c>
      <c r="U202" s="1" t="s">
        <v>74</v>
      </c>
      <c r="V202" s="1" t="s">
        <v>2222</v>
      </c>
      <c r="W202" s="1" t="s">
        <v>74</v>
      </c>
      <c r="X202" s="1" t="s">
        <v>74</v>
      </c>
      <c r="Y202" s="1" t="s">
        <v>74</v>
      </c>
      <c r="Z202" s="1" t="s">
        <v>74</v>
      </c>
      <c r="AA202" s="1" t="s">
        <v>2223</v>
      </c>
      <c r="AB202" s="1" t="s">
        <v>2224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2225</v>
      </c>
      <c r="AP202" s="1" t="s">
        <v>2226</v>
      </c>
      <c r="AQ202" s="1" t="s">
        <v>74</v>
      </c>
      <c r="AR202" s="1" t="s">
        <v>74</v>
      </c>
      <c r="AS202" s="1" t="s">
        <v>74</v>
      </c>
      <c r="AT202" s="1" t="s">
        <v>83</v>
      </c>
      <c r="AU202" s="1">
        <v>2012.0</v>
      </c>
      <c r="AV202" s="1">
        <v>8.0</v>
      </c>
      <c r="AW202" s="1">
        <v>4.0</v>
      </c>
      <c r="AX202" s="1" t="s">
        <v>74</v>
      </c>
      <c r="AY202" s="1" t="s">
        <v>74</v>
      </c>
      <c r="AZ202" s="1" t="s">
        <v>74</v>
      </c>
      <c r="BA202" s="1" t="s">
        <v>74</v>
      </c>
      <c r="BB202" s="1">
        <v>327.0</v>
      </c>
      <c r="BC202" s="1">
        <v>334.0</v>
      </c>
      <c r="BD202" s="1" t="s">
        <v>74</v>
      </c>
      <c r="BE202" s="1" t="s">
        <v>2227</v>
      </c>
      <c r="BF202" s="2" t="str">
        <f>HYPERLINK("http://dx.doi.org/10.1007/s13273-012-0040-6","http://dx.doi.org/10.1007/s13273-012-0040-6")</f>
        <v>http://dx.doi.org/10.1007/s13273-012-0040-6</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2228</v>
      </c>
      <c r="BT202" s="1" t="str">
        <f>HYPERLINK("https%3A%2F%2Fwww.webofscience.com%2Fwos%2Fwoscc%2Ffull-record%2FWOS:000313031900002","View Full Record in Web of Science")</f>
        <v>View Full Record in Web of Science</v>
      </c>
    </row>
    <row r="203" ht="12.75" customHeight="1">
      <c r="A203" s="1" t="s">
        <v>72</v>
      </c>
      <c r="B203" s="1" t="s">
        <v>2229</v>
      </c>
      <c r="C203" s="1" t="s">
        <v>74</v>
      </c>
      <c r="D203" s="1" t="s">
        <v>74</v>
      </c>
      <c r="E203" s="1" t="s">
        <v>74</v>
      </c>
      <c r="F203" s="1" t="s">
        <v>2230</v>
      </c>
      <c r="G203" s="1" t="s">
        <v>74</v>
      </c>
      <c r="H203" s="1" t="s">
        <v>74</v>
      </c>
      <c r="I203" s="1" t="s">
        <v>2231</v>
      </c>
      <c r="J203" s="1" t="s">
        <v>2232</v>
      </c>
      <c r="K203" s="1" t="s">
        <v>74</v>
      </c>
      <c r="L203" s="1" t="s">
        <v>74</v>
      </c>
      <c r="M203" s="1" t="s">
        <v>74</v>
      </c>
      <c r="N203" s="1" t="s">
        <v>74</v>
      </c>
      <c r="O203" s="1" t="s">
        <v>74</v>
      </c>
      <c r="P203" s="1" t="s">
        <v>74</v>
      </c>
      <c r="Q203" s="1" t="s">
        <v>74</v>
      </c>
      <c r="R203" s="1" t="s">
        <v>74</v>
      </c>
      <c r="S203" s="1" t="s">
        <v>74</v>
      </c>
      <c r="T203" s="1" t="s">
        <v>74</v>
      </c>
      <c r="U203" s="1" t="s">
        <v>74</v>
      </c>
      <c r="V203" s="1" t="s">
        <v>2233</v>
      </c>
      <c r="W203" s="1" t="s">
        <v>74</v>
      </c>
      <c r="X203" s="1" t="s">
        <v>74</v>
      </c>
      <c r="Y203" s="1" t="s">
        <v>74</v>
      </c>
      <c r="Z203" s="1" t="s">
        <v>74</v>
      </c>
      <c r="AA203" s="1" t="s">
        <v>2234</v>
      </c>
      <c r="AB203" s="1" t="s">
        <v>2235</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2236</v>
      </c>
      <c r="AP203" s="1" t="s">
        <v>2237</v>
      </c>
      <c r="AQ203" s="1" t="s">
        <v>74</v>
      </c>
      <c r="AR203" s="1" t="s">
        <v>74</v>
      </c>
      <c r="AS203" s="1" t="s">
        <v>74</v>
      </c>
      <c r="AT203" s="1" t="s">
        <v>74</v>
      </c>
      <c r="AU203" s="1">
        <v>2012.0</v>
      </c>
      <c r="AV203" s="1">
        <v>237.0</v>
      </c>
      <c r="AW203" s="1" t="s">
        <v>74</v>
      </c>
      <c r="AX203" s="1" t="s">
        <v>74</v>
      </c>
      <c r="AY203" s="1" t="s">
        <v>74</v>
      </c>
      <c r="AZ203" s="1" t="s">
        <v>74</v>
      </c>
      <c r="BA203" s="1" t="s">
        <v>74</v>
      </c>
      <c r="BB203" s="1">
        <v>78.0</v>
      </c>
      <c r="BC203" s="1">
        <v>87.0</v>
      </c>
      <c r="BD203" s="1" t="s">
        <v>74</v>
      </c>
      <c r="BE203" s="1" t="s">
        <v>2238</v>
      </c>
      <c r="BF203" s="2" t="str">
        <f>HYPERLINK("http://dx.doi.org/10.1016/j.cma.2012.05.006","http://dx.doi.org/10.1016/j.cma.2012.05.006")</f>
        <v>http://dx.doi.org/10.1016/j.cma.2012.05.006</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2239</v>
      </c>
      <c r="BT203" s="1" t="str">
        <f>HYPERLINK("https%3A%2F%2Fwww.webofscience.com%2Fwos%2Fwoscc%2Ffull-record%2FWOS:000307158800007","View Full Record in Web of Science")</f>
        <v>View Full Record in Web of Science</v>
      </c>
    </row>
    <row r="204" ht="12.75" customHeight="1">
      <c r="A204" s="1" t="s">
        <v>72</v>
      </c>
      <c r="B204" s="1" t="s">
        <v>2240</v>
      </c>
      <c r="C204" s="1" t="s">
        <v>74</v>
      </c>
      <c r="D204" s="1" t="s">
        <v>74</v>
      </c>
      <c r="E204" s="1" t="s">
        <v>74</v>
      </c>
      <c r="F204" s="1" t="s">
        <v>2241</v>
      </c>
      <c r="G204" s="1" t="s">
        <v>74</v>
      </c>
      <c r="H204" s="1" t="s">
        <v>74</v>
      </c>
      <c r="I204" s="1" t="s">
        <v>2242</v>
      </c>
      <c r="J204" s="1" t="s">
        <v>2243</v>
      </c>
      <c r="K204" s="1" t="s">
        <v>74</v>
      </c>
      <c r="L204" s="1" t="s">
        <v>74</v>
      </c>
      <c r="M204" s="1" t="s">
        <v>74</v>
      </c>
      <c r="N204" s="1" t="s">
        <v>74</v>
      </c>
      <c r="O204" s="1" t="s">
        <v>74</v>
      </c>
      <c r="P204" s="1" t="s">
        <v>74</v>
      </c>
      <c r="Q204" s="1" t="s">
        <v>74</v>
      </c>
      <c r="R204" s="1" t="s">
        <v>74</v>
      </c>
      <c r="S204" s="1" t="s">
        <v>74</v>
      </c>
      <c r="T204" s="1" t="s">
        <v>74</v>
      </c>
      <c r="U204" s="1" t="s">
        <v>74</v>
      </c>
      <c r="V204" s="1" t="s">
        <v>2244</v>
      </c>
      <c r="W204" s="1" t="s">
        <v>74</v>
      </c>
      <c r="X204" s="1" t="s">
        <v>74</v>
      </c>
      <c r="Y204" s="1" t="s">
        <v>74</v>
      </c>
      <c r="Z204" s="1" t="s">
        <v>74</v>
      </c>
      <c r="AA204" s="1" t="s">
        <v>2245</v>
      </c>
      <c r="AB204" s="1" t="s">
        <v>2246</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2247</v>
      </c>
      <c r="AP204" s="1" t="s">
        <v>2248</v>
      </c>
      <c r="AQ204" s="1" t="s">
        <v>74</v>
      </c>
      <c r="AR204" s="1" t="s">
        <v>74</v>
      </c>
      <c r="AS204" s="1" t="s">
        <v>74</v>
      </c>
      <c r="AT204" s="1" t="s">
        <v>176</v>
      </c>
      <c r="AU204" s="1">
        <v>2011.0</v>
      </c>
      <c r="AV204" s="1">
        <v>41.0</v>
      </c>
      <c r="AW204" s="1">
        <v>3.0</v>
      </c>
      <c r="AX204" s="1" t="s">
        <v>74</v>
      </c>
      <c r="AY204" s="1" t="s">
        <v>74</v>
      </c>
      <c r="AZ204" s="1" t="s">
        <v>74</v>
      </c>
      <c r="BA204" s="1" t="s">
        <v>74</v>
      </c>
      <c r="BB204" s="1">
        <v>537.0</v>
      </c>
      <c r="BC204" s="1">
        <v>543.0</v>
      </c>
      <c r="BD204" s="1" t="s">
        <v>74</v>
      </c>
      <c r="BE204" s="1" t="s">
        <v>2249</v>
      </c>
      <c r="BF204" s="2" t="str">
        <f>HYPERLINK("http://dx.doi.org/10.1590/S0103-84782011000300029","http://dx.doi.org/10.1590/S0103-84782011000300029")</f>
        <v>http://dx.doi.org/10.1590/S0103-84782011000300029</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2250</v>
      </c>
      <c r="BT204" s="1" t="str">
        <f>HYPERLINK("https%3A%2F%2Fwww.webofscience.com%2Fwos%2Fwoscc%2Ffull-record%2FWOS:000288863100029","View Full Record in Web of Science")</f>
        <v>View Full Record in Web of Science</v>
      </c>
    </row>
    <row r="205" ht="12.75" customHeight="1">
      <c r="A205" s="1" t="s">
        <v>72</v>
      </c>
      <c r="B205" s="1" t="s">
        <v>2251</v>
      </c>
      <c r="C205" s="1" t="s">
        <v>74</v>
      </c>
      <c r="D205" s="1" t="s">
        <v>74</v>
      </c>
      <c r="E205" s="1" t="s">
        <v>74</v>
      </c>
      <c r="F205" s="1" t="s">
        <v>2252</v>
      </c>
      <c r="G205" s="1" t="s">
        <v>74</v>
      </c>
      <c r="H205" s="1" t="s">
        <v>74</v>
      </c>
      <c r="I205" s="1" t="s">
        <v>2253</v>
      </c>
      <c r="J205" s="1" t="s">
        <v>2254</v>
      </c>
      <c r="K205" s="1" t="s">
        <v>74</v>
      </c>
      <c r="L205" s="1" t="s">
        <v>74</v>
      </c>
      <c r="M205" s="1" t="s">
        <v>74</v>
      </c>
      <c r="N205" s="1" t="s">
        <v>74</v>
      </c>
      <c r="O205" s="1" t="s">
        <v>74</v>
      </c>
      <c r="P205" s="1" t="s">
        <v>74</v>
      </c>
      <c r="Q205" s="1" t="s">
        <v>74</v>
      </c>
      <c r="R205" s="1" t="s">
        <v>74</v>
      </c>
      <c r="S205" s="1" t="s">
        <v>74</v>
      </c>
      <c r="T205" s="1" t="s">
        <v>74</v>
      </c>
      <c r="U205" s="1" t="s">
        <v>74</v>
      </c>
      <c r="V205" s="1" t="s">
        <v>2255</v>
      </c>
      <c r="W205" s="1" t="s">
        <v>74</v>
      </c>
      <c r="X205" s="1" t="s">
        <v>74</v>
      </c>
      <c r="Y205" s="1" t="s">
        <v>74</v>
      </c>
      <c r="Z205" s="1" t="s">
        <v>74</v>
      </c>
      <c r="AA205" s="1" t="s">
        <v>2256</v>
      </c>
      <c r="AB205" s="1" t="s">
        <v>2257</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2258</v>
      </c>
      <c r="AP205" s="1" t="s">
        <v>74</v>
      </c>
      <c r="AQ205" s="1" t="s">
        <v>74</v>
      </c>
      <c r="AR205" s="1" t="s">
        <v>74</v>
      </c>
      <c r="AS205" s="1" t="s">
        <v>74</v>
      </c>
      <c r="AT205" s="1" t="s">
        <v>74</v>
      </c>
      <c r="AU205" s="1">
        <v>2009.0</v>
      </c>
      <c r="AV205" s="1">
        <v>11.0</v>
      </c>
      <c r="AW205" s="1">
        <v>4.0</v>
      </c>
      <c r="AX205" s="1" t="s">
        <v>74</v>
      </c>
      <c r="AY205" s="1" t="s">
        <v>74</v>
      </c>
      <c r="AZ205" s="1" t="s">
        <v>74</v>
      </c>
      <c r="BA205" s="1" t="s">
        <v>74</v>
      </c>
      <c r="BB205" s="1" t="s">
        <v>74</v>
      </c>
      <c r="BC205" s="1" t="s">
        <v>74</v>
      </c>
      <c r="BD205" s="1" t="s">
        <v>2259</v>
      </c>
      <c r="BE205" s="1" t="s">
        <v>2260</v>
      </c>
      <c r="BF205" s="2" t="str">
        <f>HYPERLINK("http://dx.doi.org/10.1186/ar2756","http://dx.doi.org/10.1186/ar2756")</f>
        <v>http://dx.doi.org/10.1186/ar2756</v>
      </c>
      <c r="BG205" s="1" t="s">
        <v>74</v>
      </c>
      <c r="BH205" s="1" t="s">
        <v>74</v>
      </c>
      <c r="BI205" s="1" t="s">
        <v>74</v>
      </c>
      <c r="BJ205" s="1" t="s">
        <v>74</v>
      </c>
      <c r="BK205" s="1" t="s">
        <v>74</v>
      </c>
      <c r="BL205" s="1" t="s">
        <v>74</v>
      </c>
      <c r="BM205" s="1" t="s">
        <v>74</v>
      </c>
      <c r="BN205" s="1">
        <v>1.9586548E7</v>
      </c>
      <c r="BO205" s="1" t="s">
        <v>74</v>
      </c>
      <c r="BP205" s="1" t="s">
        <v>74</v>
      </c>
      <c r="BQ205" s="1" t="s">
        <v>74</v>
      </c>
      <c r="BR205" s="1" t="s">
        <v>74</v>
      </c>
      <c r="BS205" s="1" t="s">
        <v>2261</v>
      </c>
      <c r="BT205" s="1" t="str">
        <f>HYPERLINK("https%3A%2F%2Fwww.webofscience.com%2Fwos%2Fwoscc%2Ffull-record%2FWOS:000270936400020","View Full Record in Web of Science")</f>
        <v>View Full Record in Web of Science</v>
      </c>
    </row>
    <row r="206" ht="12.75" customHeight="1">
      <c r="A206" s="1" t="s">
        <v>72</v>
      </c>
      <c r="B206" s="1" t="s">
        <v>2262</v>
      </c>
      <c r="C206" s="1" t="s">
        <v>74</v>
      </c>
      <c r="D206" s="1" t="s">
        <v>74</v>
      </c>
      <c r="E206" s="1" t="s">
        <v>74</v>
      </c>
      <c r="F206" s="1" t="s">
        <v>2263</v>
      </c>
      <c r="G206" s="1" t="s">
        <v>74</v>
      </c>
      <c r="H206" s="1" t="s">
        <v>74</v>
      </c>
      <c r="I206" s="1" t="s">
        <v>2264</v>
      </c>
      <c r="J206" s="1" t="s">
        <v>2265</v>
      </c>
      <c r="K206" s="1" t="s">
        <v>74</v>
      </c>
      <c r="L206" s="1" t="s">
        <v>74</v>
      </c>
      <c r="M206" s="1" t="s">
        <v>74</v>
      </c>
      <c r="N206" s="1" t="s">
        <v>74</v>
      </c>
      <c r="O206" s="1" t="s">
        <v>74</v>
      </c>
      <c r="P206" s="1" t="s">
        <v>74</v>
      </c>
      <c r="Q206" s="1" t="s">
        <v>74</v>
      </c>
      <c r="R206" s="1" t="s">
        <v>74</v>
      </c>
      <c r="S206" s="1" t="s">
        <v>74</v>
      </c>
      <c r="T206" s="1" t="s">
        <v>74</v>
      </c>
      <c r="U206" s="1" t="s">
        <v>74</v>
      </c>
      <c r="V206" s="1" t="s">
        <v>2266</v>
      </c>
      <c r="W206" s="1" t="s">
        <v>74</v>
      </c>
      <c r="X206" s="1" t="s">
        <v>74</v>
      </c>
      <c r="Y206" s="1" t="s">
        <v>74</v>
      </c>
      <c r="Z206" s="1" t="s">
        <v>74</v>
      </c>
      <c r="AA206" s="1" t="s">
        <v>74</v>
      </c>
      <c r="AB206" s="1" t="s">
        <v>74</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2267</v>
      </c>
      <c r="AP206" s="1" t="s">
        <v>74</v>
      </c>
      <c r="AQ206" s="1" t="s">
        <v>74</v>
      </c>
      <c r="AR206" s="1" t="s">
        <v>74</v>
      </c>
      <c r="AS206" s="1" t="s">
        <v>74</v>
      </c>
      <c r="AT206" s="1" t="s">
        <v>74</v>
      </c>
      <c r="AU206" s="1">
        <v>2009.0</v>
      </c>
      <c r="AV206" s="1">
        <v>9.0</v>
      </c>
      <c r="AW206" s="1">
        <v>2.0</v>
      </c>
      <c r="AX206" s="1" t="s">
        <v>74</v>
      </c>
      <c r="AY206" s="1" t="s">
        <v>74</v>
      </c>
      <c r="AZ206" s="1" t="s">
        <v>74</v>
      </c>
      <c r="BA206" s="1" t="s">
        <v>74</v>
      </c>
      <c r="BB206" s="1">
        <v>263.0</v>
      </c>
      <c r="BC206" s="1">
        <v>303.0</v>
      </c>
      <c r="BD206" s="1" t="s">
        <v>74</v>
      </c>
      <c r="BE206" s="1" t="s">
        <v>74</v>
      </c>
      <c r="BF206" s="1" t="s">
        <v>74</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2268</v>
      </c>
      <c r="BT206" s="1" t="str">
        <f>HYPERLINK("https%3A%2F%2Fwww.webofscience.com%2Fwos%2Fwoscc%2Ffull-record%2FWOS:000271541500004","View Full Record in Web of Science")</f>
        <v>View Full Record in Web of Science</v>
      </c>
    </row>
    <row r="207" ht="12.75" customHeight="1">
      <c r="A207" s="1" t="s">
        <v>72</v>
      </c>
      <c r="B207" s="1" t="s">
        <v>2269</v>
      </c>
      <c r="C207" s="1" t="s">
        <v>74</v>
      </c>
      <c r="D207" s="1" t="s">
        <v>74</v>
      </c>
      <c r="E207" s="1" t="s">
        <v>74</v>
      </c>
      <c r="F207" s="1" t="s">
        <v>2270</v>
      </c>
      <c r="G207" s="1" t="s">
        <v>74</v>
      </c>
      <c r="H207" s="1" t="s">
        <v>74</v>
      </c>
      <c r="I207" s="1" t="s">
        <v>2271</v>
      </c>
      <c r="J207" s="1" t="s">
        <v>2272</v>
      </c>
      <c r="K207" s="1" t="s">
        <v>74</v>
      </c>
      <c r="L207" s="1" t="s">
        <v>74</v>
      </c>
      <c r="M207" s="1" t="s">
        <v>74</v>
      </c>
      <c r="N207" s="1" t="s">
        <v>74</v>
      </c>
      <c r="O207" s="1" t="s">
        <v>74</v>
      </c>
      <c r="P207" s="1" t="s">
        <v>74</v>
      </c>
      <c r="Q207" s="1" t="s">
        <v>74</v>
      </c>
      <c r="R207" s="1" t="s">
        <v>74</v>
      </c>
      <c r="S207" s="1" t="s">
        <v>74</v>
      </c>
      <c r="T207" s="1" t="s">
        <v>74</v>
      </c>
      <c r="U207" s="1" t="s">
        <v>74</v>
      </c>
      <c r="V207" s="1" t="s">
        <v>2273</v>
      </c>
      <c r="W207" s="1" t="s">
        <v>74</v>
      </c>
      <c r="X207" s="1" t="s">
        <v>74</v>
      </c>
      <c r="Y207" s="1" t="s">
        <v>74</v>
      </c>
      <c r="Z207" s="1" t="s">
        <v>74</v>
      </c>
      <c r="AA207" s="1" t="s">
        <v>2274</v>
      </c>
      <c r="AB207" s="1" t="s">
        <v>74</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2275</v>
      </c>
      <c r="AP207" s="1" t="s">
        <v>2276</v>
      </c>
      <c r="AQ207" s="1" t="s">
        <v>74</v>
      </c>
      <c r="AR207" s="1" t="s">
        <v>74</v>
      </c>
      <c r="AS207" s="1" t="s">
        <v>74</v>
      </c>
      <c r="AT207" s="1" t="s">
        <v>74</v>
      </c>
      <c r="AU207" s="1">
        <v>2008.0</v>
      </c>
      <c r="AV207" s="1" t="s">
        <v>74</v>
      </c>
      <c r="AW207" s="1">
        <v>47.0</v>
      </c>
      <c r="AX207" s="1" t="s">
        <v>74</v>
      </c>
      <c r="AY207" s="1" t="s">
        <v>74</v>
      </c>
      <c r="AZ207" s="1" t="s">
        <v>74</v>
      </c>
      <c r="BA207" s="1" t="s">
        <v>74</v>
      </c>
      <c r="BB207" s="1">
        <v>109.0</v>
      </c>
      <c r="BC207" s="1">
        <v>124.0</v>
      </c>
      <c r="BD207" s="1" t="s">
        <v>74</v>
      </c>
      <c r="BE207" s="1" t="s">
        <v>74</v>
      </c>
      <c r="BF207" s="1" t="s">
        <v>74</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2277</v>
      </c>
      <c r="BT207" s="1" t="str">
        <f>HYPERLINK("https%3A%2F%2Fwww.webofscience.com%2Fwos%2Fwoscc%2Ffull-record%2FWOS:000260760000005","View Full Record in Web of Science")</f>
        <v>View Full Record in Web of Science</v>
      </c>
    </row>
    <row r="208" ht="12.75" customHeight="1">
      <c r="A208" s="1" t="s">
        <v>72</v>
      </c>
      <c r="B208" s="1" t="s">
        <v>2278</v>
      </c>
      <c r="C208" s="1" t="s">
        <v>74</v>
      </c>
      <c r="D208" s="1" t="s">
        <v>74</v>
      </c>
      <c r="E208" s="1" t="s">
        <v>74</v>
      </c>
      <c r="F208" s="1" t="s">
        <v>2278</v>
      </c>
      <c r="G208" s="1" t="s">
        <v>74</v>
      </c>
      <c r="H208" s="1" t="s">
        <v>74</v>
      </c>
      <c r="I208" s="1" t="s">
        <v>2279</v>
      </c>
      <c r="J208" s="1" t="s">
        <v>2280</v>
      </c>
      <c r="K208" s="1" t="s">
        <v>74</v>
      </c>
      <c r="L208" s="1" t="s">
        <v>74</v>
      </c>
      <c r="M208" s="1" t="s">
        <v>74</v>
      </c>
      <c r="N208" s="1" t="s">
        <v>74</v>
      </c>
      <c r="O208" s="1" t="s">
        <v>74</v>
      </c>
      <c r="P208" s="1" t="s">
        <v>74</v>
      </c>
      <c r="Q208" s="1" t="s">
        <v>74</v>
      </c>
      <c r="R208" s="1" t="s">
        <v>74</v>
      </c>
      <c r="S208" s="1" t="s">
        <v>74</v>
      </c>
      <c r="T208" s="1" t="s">
        <v>74</v>
      </c>
      <c r="U208" s="1" t="s">
        <v>74</v>
      </c>
      <c r="V208" s="1" t="s">
        <v>2281</v>
      </c>
      <c r="W208" s="1" t="s">
        <v>74</v>
      </c>
      <c r="X208" s="1" t="s">
        <v>74</v>
      </c>
      <c r="Y208" s="1" t="s">
        <v>74</v>
      </c>
      <c r="Z208" s="1" t="s">
        <v>74</v>
      </c>
      <c r="AA208" s="1" t="s">
        <v>74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2282</v>
      </c>
      <c r="AP208" s="1" t="s">
        <v>74</v>
      </c>
      <c r="AQ208" s="1" t="s">
        <v>74</v>
      </c>
      <c r="AR208" s="1" t="s">
        <v>74</v>
      </c>
      <c r="AS208" s="1" t="s">
        <v>74</v>
      </c>
      <c r="AT208" s="1" t="s">
        <v>877</v>
      </c>
      <c r="AU208" s="1">
        <v>2002.0</v>
      </c>
      <c r="AV208" s="1">
        <v>16.0</v>
      </c>
      <c r="AW208" s="1">
        <v>4.0</v>
      </c>
      <c r="AX208" s="1" t="s">
        <v>74</v>
      </c>
      <c r="AY208" s="1" t="s">
        <v>74</v>
      </c>
      <c r="AZ208" s="1" t="s">
        <v>74</v>
      </c>
      <c r="BA208" s="1" t="s">
        <v>74</v>
      </c>
      <c r="BB208" s="1">
        <v>223.0</v>
      </c>
      <c r="BC208" s="1">
        <v>228.0</v>
      </c>
      <c r="BD208" s="1" t="s">
        <v>74</v>
      </c>
      <c r="BE208" s="1" t="s">
        <v>2283</v>
      </c>
      <c r="BF208" s="2" t="str">
        <f>HYPERLINK("http://dx.doi.org/10.1080/10575630290020460","http://dx.doi.org/10.1080/10575630290020460")</f>
        <v>http://dx.doi.org/10.1080/10575630290020460</v>
      </c>
      <c r="BG208" s="1" t="s">
        <v>74</v>
      </c>
      <c r="BH208" s="1" t="s">
        <v>74</v>
      </c>
      <c r="BI208" s="1" t="s">
        <v>74</v>
      </c>
      <c r="BJ208" s="1" t="s">
        <v>74</v>
      </c>
      <c r="BK208" s="1" t="s">
        <v>74</v>
      </c>
      <c r="BL208" s="1" t="s">
        <v>74</v>
      </c>
      <c r="BM208" s="1" t="s">
        <v>74</v>
      </c>
      <c r="BN208" s="1">
        <v>1.2168755E7</v>
      </c>
      <c r="BO208" s="1" t="s">
        <v>74</v>
      </c>
      <c r="BP208" s="1" t="s">
        <v>74</v>
      </c>
      <c r="BQ208" s="1" t="s">
        <v>74</v>
      </c>
      <c r="BR208" s="1" t="s">
        <v>74</v>
      </c>
      <c r="BS208" s="1" t="s">
        <v>2284</v>
      </c>
      <c r="BT208" s="1" t="str">
        <f>HYPERLINK("https%3A%2F%2Fwww.webofscience.com%2Fwos%2Fwoscc%2Ffull-record%2FWOS:000177267900003","View Full Record in Web of Science")</f>
        <v>View Full Record in Web of Science</v>
      </c>
    </row>
    <row r="209" ht="12.75" customHeight="1">
      <c r="A209" s="1" t="s">
        <v>72</v>
      </c>
      <c r="B209" s="1" t="s">
        <v>2285</v>
      </c>
      <c r="C209" s="1" t="s">
        <v>74</v>
      </c>
      <c r="D209" s="1" t="s">
        <v>74</v>
      </c>
      <c r="E209" s="1" t="s">
        <v>74</v>
      </c>
      <c r="F209" s="1" t="s">
        <v>2285</v>
      </c>
      <c r="G209" s="1" t="s">
        <v>74</v>
      </c>
      <c r="H209" s="1" t="s">
        <v>74</v>
      </c>
      <c r="I209" s="1" t="s">
        <v>2286</v>
      </c>
      <c r="J209" s="1" t="s">
        <v>1059</v>
      </c>
      <c r="K209" s="1" t="s">
        <v>74</v>
      </c>
      <c r="L209" s="1" t="s">
        <v>74</v>
      </c>
      <c r="M209" s="1" t="s">
        <v>74</v>
      </c>
      <c r="N209" s="1" t="s">
        <v>74</v>
      </c>
      <c r="O209" s="1" t="s">
        <v>74</v>
      </c>
      <c r="P209" s="1" t="s">
        <v>74</v>
      </c>
      <c r="Q209" s="1" t="s">
        <v>74</v>
      </c>
      <c r="R209" s="1" t="s">
        <v>74</v>
      </c>
      <c r="S209" s="1" t="s">
        <v>74</v>
      </c>
      <c r="T209" s="1" t="s">
        <v>74</v>
      </c>
      <c r="U209" s="1" t="s">
        <v>74</v>
      </c>
      <c r="V209" s="1" t="s">
        <v>2287</v>
      </c>
      <c r="W209" s="1" t="s">
        <v>74</v>
      </c>
      <c r="X209" s="1" t="s">
        <v>74</v>
      </c>
      <c r="Y209" s="1" t="s">
        <v>74</v>
      </c>
      <c r="Z209" s="1" t="s">
        <v>74</v>
      </c>
      <c r="AA209" s="1" t="s">
        <v>2288</v>
      </c>
      <c r="AB209" s="1" t="s">
        <v>2289</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1063</v>
      </c>
      <c r="AP209" s="1" t="s">
        <v>74</v>
      </c>
      <c r="AQ209" s="1" t="s">
        <v>74</v>
      </c>
      <c r="AR209" s="1" t="s">
        <v>74</v>
      </c>
      <c r="AS209" s="1" t="s">
        <v>74</v>
      </c>
      <c r="AT209" s="1" t="s">
        <v>974</v>
      </c>
      <c r="AU209" s="1">
        <v>2001.0</v>
      </c>
      <c r="AV209" s="1">
        <v>183.0</v>
      </c>
      <c r="AW209" s="1">
        <v>14.0</v>
      </c>
      <c r="AX209" s="1" t="s">
        <v>74</v>
      </c>
      <c r="AY209" s="1" t="s">
        <v>74</v>
      </c>
      <c r="AZ209" s="1" t="s">
        <v>74</v>
      </c>
      <c r="BA209" s="1" t="s">
        <v>74</v>
      </c>
      <c r="BB209" s="1">
        <v>4323.0</v>
      </c>
      <c r="BC209" s="1">
        <v>4329.0</v>
      </c>
      <c r="BD209" s="1" t="s">
        <v>74</v>
      </c>
      <c r="BE209" s="1" t="s">
        <v>2290</v>
      </c>
      <c r="BF209" s="2" t="str">
        <f>HYPERLINK("http://dx.doi.org/10.1128/JB.183.14.4323-4329.2001","http://dx.doi.org/10.1128/JB.183.14.4323-4329.2001")</f>
        <v>http://dx.doi.org/10.1128/JB.183.14.4323-4329.2001</v>
      </c>
      <c r="BG209" s="1" t="s">
        <v>74</v>
      </c>
      <c r="BH209" s="1" t="s">
        <v>74</v>
      </c>
      <c r="BI209" s="1" t="s">
        <v>74</v>
      </c>
      <c r="BJ209" s="1" t="s">
        <v>74</v>
      </c>
      <c r="BK209" s="1" t="s">
        <v>74</v>
      </c>
      <c r="BL209" s="1" t="s">
        <v>74</v>
      </c>
      <c r="BM209" s="1" t="s">
        <v>74</v>
      </c>
      <c r="BN209" s="1">
        <v>1.1418574E7</v>
      </c>
      <c r="BO209" s="1" t="s">
        <v>74</v>
      </c>
      <c r="BP209" s="1" t="s">
        <v>74</v>
      </c>
      <c r="BQ209" s="1" t="s">
        <v>74</v>
      </c>
      <c r="BR209" s="1" t="s">
        <v>74</v>
      </c>
      <c r="BS209" s="1" t="s">
        <v>2291</v>
      </c>
      <c r="BT209" s="1" t="str">
        <f>HYPERLINK("https%3A%2F%2Fwww.webofscience.com%2Fwos%2Fwoscc%2Ffull-record%2FWOS:000169475100027","View Full Record in Web of Science")</f>
        <v>View Full Record in Web of Science</v>
      </c>
    </row>
    <row r="210" ht="12.75" customHeight="1">
      <c r="A210" s="1" t="s">
        <v>72</v>
      </c>
      <c r="B210" s="1" t="s">
        <v>2292</v>
      </c>
      <c r="C210" s="1" t="s">
        <v>74</v>
      </c>
      <c r="D210" s="1" t="s">
        <v>74</v>
      </c>
      <c r="E210" s="1" t="s">
        <v>74</v>
      </c>
      <c r="F210" s="1" t="s">
        <v>2292</v>
      </c>
      <c r="G210" s="1" t="s">
        <v>74</v>
      </c>
      <c r="H210" s="1" t="s">
        <v>74</v>
      </c>
      <c r="I210" s="1" t="s">
        <v>2293</v>
      </c>
      <c r="J210" s="1" t="s">
        <v>392</v>
      </c>
      <c r="K210" s="1" t="s">
        <v>74</v>
      </c>
      <c r="L210" s="1" t="s">
        <v>74</v>
      </c>
      <c r="M210" s="1" t="s">
        <v>74</v>
      </c>
      <c r="N210" s="1" t="s">
        <v>74</v>
      </c>
      <c r="O210" s="1" t="s">
        <v>74</v>
      </c>
      <c r="P210" s="1" t="s">
        <v>74</v>
      </c>
      <c r="Q210" s="1" t="s">
        <v>74</v>
      </c>
      <c r="R210" s="1" t="s">
        <v>74</v>
      </c>
      <c r="S210" s="1" t="s">
        <v>74</v>
      </c>
      <c r="T210" s="1" t="s">
        <v>74</v>
      </c>
      <c r="U210" s="1" t="s">
        <v>74</v>
      </c>
      <c r="V210" s="1" t="s">
        <v>2294</v>
      </c>
      <c r="W210" s="1" t="s">
        <v>74</v>
      </c>
      <c r="X210" s="1" t="s">
        <v>74</v>
      </c>
      <c r="Y210" s="1" t="s">
        <v>74</v>
      </c>
      <c r="Z210" s="1" t="s">
        <v>74</v>
      </c>
      <c r="AA210" s="1" t="s">
        <v>74</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2295</v>
      </c>
      <c r="AP210" s="1" t="s">
        <v>74</v>
      </c>
      <c r="AQ210" s="1" t="s">
        <v>74</v>
      </c>
      <c r="AR210" s="1" t="s">
        <v>74</v>
      </c>
      <c r="AS210" s="1" t="s">
        <v>74</v>
      </c>
      <c r="AT210" s="1" t="s">
        <v>1786</v>
      </c>
      <c r="AU210" s="1">
        <v>2000.0</v>
      </c>
      <c r="AV210" s="1">
        <v>61.0</v>
      </c>
      <c r="AW210" s="1">
        <v>8.0</v>
      </c>
      <c r="AX210" s="1" t="s">
        <v>74</v>
      </c>
      <c r="AY210" s="1" t="s">
        <v>74</v>
      </c>
      <c r="AZ210" s="1" t="s">
        <v>74</v>
      </c>
      <c r="BA210" s="1" t="s">
        <v>74</v>
      </c>
      <c r="BB210" s="1" t="s">
        <v>74</v>
      </c>
      <c r="BC210" s="1" t="s">
        <v>74</v>
      </c>
      <c r="BD210" s="1">
        <v>84003.0</v>
      </c>
      <c r="BE210" s="1" t="s">
        <v>2296</v>
      </c>
      <c r="BF210" s="2" t="str">
        <f>HYPERLINK("http://dx.doi.org/10.1103/PhysRevD.61.084003","http://dx.doi.org/10.1103/PhysRevD.61.084003")</f>
        <v>http://dx.doi.org/10.1103/PhysRevD.61.084003</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2297</v>
      </c>
      <c r="BT210" s="1" t="str">
        <f>HYPERLINK("https%3A%2F%2Fwww.webofscience.com%2Fwos%2Fwoscc%2Ffull-record%2FWOS:000086554100030","View Full Record in Web of Science")</f>
        <v>View Full Record in Web of Science</v>
      </c>
    </row>
    <row r="211" ht="12.75" customHeight="1">
      <c r="A211" s="1" t="s">
        <v>72</v>
      </c>
      <c r="B211" s="1" t="s">
        <v>2298</v>
      </c>
      <c r="C211" s="1" t="s">
        <v>74</v>
      </c>
      <c r="D211" s="1" t="s">
        <v>74</v>
      </c>
      <c r="E211" s="1" t="s">
        <v>74</v>
      </c>
      <c r="F211" s="1" t="s">
        <v>2298</v>
      </c>
      <c r="G211" s="1" t="s">
        <v>74</v>
      </c>
      <c r="H211" s="1" t="s">
        <v>74</v>
      </c>
      <c r="I211" s="1" t="s">
        <v>2299</v>
      </c>
      <c r="J211" s="1" t="s">
        <v>2300</v>
      </c>
      <c r="K211" s="1" t="s">
        <v>74</v>
      </c>
      <c r="L211" s="1" t="s">
        <v>74</v>
      </c>
      <c r="M211" s="1" t="s">
        <v>74</v>
      </c>
      <c r="N211" s="1" t="s">
        <v>74</v>
      </c>
      <c r="O211" s="1" t="s">
        <v>74</v>
      </c>
      <c r="P211" s="1" t="s">
        <v>74</v>
      </c>
      <c r="Q211" s="1" t="s">
        <v>74</v>
      </c>
      <c r="R211" s="1" t="s">
        <v>74</v>
      </c>
      <c r="S211" s="1" t="s">
        <v>74</v>
      </c>
      <c r="T211" s="1" t="s">
        <v>74</v>
      </c>
      <c r="U211" s="1" t="s">
        <v>74</v>
      </c>
      <c r="V211" s="1" t="s">
        <v>2301</v>
      </c>
      <c r="W211" s="1" t="s">
        <v>74</v>
      </c>
      <c r="X211" s="1" t="s">
        <v>74</v>
      </c>
      <c r="Y211" s="1" t="s">
        <v>74</v>
      </c>
      <c r="Z211" s="1" t="s">
        <v>74</v>
      </c>
      <c r="AA211" s="1" t="s">
        <v>2302</v>
      </c>
      <c r="AB211" s="1" t="s">
        <v>2303</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2304</v>
      </c>
      <c r="AP211" s="1" t="s">
        <v>74</v>
      </c>
      <c r="AQ211" s="1" t="s">
        <v>74</v>
      </c>
      <c r="AR211" s="1" t="s">
        <v>74</v>
      </c>
      <c r="AS211" s="1" t="s">
        <v>74</v>
      </c>
      <c r="AT211" s="1" t="s">
        <v>743</v>
      </c>
      <c r="AU211" s="1">
        <v>1990.0</v>
      </c>
      <c r="AV211" s="1">
        <v>1021.0</v>
      </c>
      <c r="AW211" s="1">
        <v>1.0</v>
      </c>
      <c r="AX211" s="1" t="s">
        <v>74</v>
      </c>
      <c r="AY211" s="1" t="s">
        <v>74</v>
      </c>
      <c r="AZ211" s="1" t="s">
        <v>74</v>
      </c>
      <c r="BA211" s="1" t="s">
        <v>74</v>
      </c>
      <c r="BB211" s="1">
        <v>46.0</v>
      </c>
      <c r="BC211" s="1">
        <v>50.0</v>
      </c>
      <c r="BD211" s="1" t="s">
        <v>74</v>
      </c>
      <c r="BE211" s="1" t="s">
        <v>2305</v>
      </c>
      <c r="BF211" s="2" t="str">
        <f>HYPERLINK("http://dx.doi.org/10.1016/0005-2736(90)90382-X","http://dx.doi.org/10.1016/0005-2736(90)90382-X")</f>
        <v>http://dx.doi.org/10.1016/0005-2736(90)90382-X</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2306</v>
      </c>
      <c r="BT211" s="1" t="str">
        <f>HYPERLINK("https%3A%2F%2Fwww.webofscience.com%2Fwos%2Fwoscc%2Ffull-record%2FWOS:A1990CL06600008","View Full Record in Web of Science")</f>
        <v>View Full Record in Web of Science</v>
      </c>
    </row>
    <row r="212" ht="12.75" customHeight="1">
      <c r="A212" s="1" t="s">
        <v>72</v>
      </c>
      <c r="B212" s="1" t="s">
        <v>2307</v>
      </c>
      <c r="C212" s="1" t="s">
        <v>74</v>
      </c>
      <c r="D212" s="1" t="s">
        <v>74</v>
      </c>
      <c r="E212" s="1" t="s">
        <v>74</v>
      </c>
      <c r="F212" s="1" t="s">
        <v>2308</v>
      </c>
      <c r="G212" s="1" t="s">
        <v>74</v>
      </c>
      <c r="H212" s="1" t="s">
        <v>74</v>
      </c>
      <c r="I212" s="1" t="s">
        <v>2309</v>
      </c>
      <c r="J212" s="1" t="s">
        <v>2310</v>
      </c>
      <c r="K212" s="1" t="s">
        <v>74</v>
      </c>
      <c r="L212" s="1" t="s">
        <v>74</v>
      </c>
      <c r="M212" s="1" t="s">
        <v>74</v>
      </c>
      <c r="N212" s="1" t="s">
        <v>74</v>
      </c>
      <c r="O212" s="1" t="s">
        <v>74</v>
      </c>
      <c r="P212" s="1" t="s">
        <v>74</v>
      </c>
      <c r="Q212" s="1" t="s">
        <v>74</v>
      </c>
      <c r="R212" s="1" t="s">
        <v>74</v>
      </c>
      <c r="S212" s="1" t="s">
        <v>74</v>
      </c>
      <c r="T212" s="1" t="s">
        <v>74</v>
      </c>
      <c r="U212" s="1" t="s">
        <v>74</v>
      </c>
      <c r="V212" s="1" t="s">
        <v>2311</v>
      </c>
      <c r="W212" s="1" t="s">
        <v>74</v>
      </c>
      <c r="X212" s="1" t="s">
        <v>74</v>
      </c>
      <c r="Y212" s="1" t="s">
        <v>74</v>
      </c>
      <c r="Z212" s="1" t="s">
        <v>74</v>
      </c>
      <c r="AA212" s="1" t="s">
        <v>2312</v>
      </c>
      <c r="AB212" s="1" t="s">
        <v>2313</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2314</v>
      </c>
      <c r="AP212" s="1" t="s">
        <v>2315</v>
      </c>
      <c r="AQ212" s="1" t="s">
        <v>74</v>
      </c>
      <c r="AR212" s="1" t="s">
        <v>74</v>
      </c>
      <c r="AS212" s="1" t="s">
        <v>74</v>
      </c>
      <c r="AT212" s="1" t="s">
        <v>1426</v>
      </c>
      <c r="AU212" s="1">
        <v>2025.0</v>
      </c>
      <c r="AV212" s="1">
        <v>343.0</v>
      </c>
      <c r="AW212" s="1" t="s">
        <v>74</v>
      </c>
      <c r="AX212" s="1" t="s">
        <v>74</v>
      </c>
      <c r="AY212" s="1" t="s">
        <v>74</v>
      </c>
      <c r="AZ212" s="1" t="s">
        <v>74</v>
      </c>
      <c r="BA212" s="1" t="s">
        <v>74</v>
      </c>
      <c r="BB212" s="1" t="s">
        <v>74</v>
      </c>
      <c r="BC212" s="1" t="s">
        <v>74</v>
      </c>
      <c r="BD212" s="1">
        <v>114099.0</v>
      </c>
      <c r="BE212" s="1" t="s">
        <v>2316</v>
      </c>
      <c r="BF212" s="2" t="str">
        <f>HYPERLINK("http://dx.doi.org/10.1016/j.scienta.2025.114099","http://dx.doi.org/10.1016/j.scienta.2025.114099")</f>
        <v>http://dx.doi.org/10.1016/j.scienta.2025.114099</v>
      </c>
      <c r="BG212" s="1" t="s">
        <v>74</v>
      </c>
      <c r="BH212" s="1" t="s">
        <v>1095</v>
      </c>
      <c r="BI212" s="1" t="s">
        <v>74</v>
      </c>
      <c r="BJ212" s="1" t="s">
        <v>74</v>
      </c>
      <c r="BK212" s="1" t="s">
        <v>74</v>
      </c>
      <c r="BL212" s="1" t="s">
        <v>74</v>
      </c>
      <c r="BM212" s="1" t="s">
        <v>74</v>
      </c>
      <c r="BN212" s="1" t="s">
        <v>74</v>
      </c>
      <c r="BO212" s="1" t="s">
        <v>74</v>
      </c>
      <c r="BP212" s="1" t="s">
        <v>74</v>
      </c>
      <c r="BQ212" s="1" t="s">
        <v>74</v>
      </c>
      <c r="BR212" s="1" t="s">
        <v>74</v>
      </c>
      <c r="BS212" s="1" t="s">
        <v>2317</v>
      </c>
      <c r="BT212" s="1" t="str">
        <f>HYPERLINK("https%3A%2F%2Fwww.webofscience.com%2Fwos%2Fwoscc%2Ffull-record%2FWOS:001461497900001","View Full Record in Web of Science")</f>
        <v>View Full Record in Web of Science</v>
      </c>
    </row>
    <row r="213" ht="12.75" customHeight="1">
      <c r="A213" s="1" t="s">
        <v>72</v>
      </c>
      <c r="B213" s="1" t="s">
        <v>697</v>
      </c>
      <c r="C213" s="1" t="s">
        <v>74</v>
      </c>
      <c r="D213" s="1" t="s">
        <v>74</v>
      </c>
      <c r="E213" s="1" t="s">
        <v>74</v>
      </c>
      <c r="F213" s="1" t="s">
        <v>698</v>
      </c>
      <c r="G213" s="1" t="s">
        <v>74</v>
      </c>
      <c r="H213" s="1" t="s">
        <v>74</v>
      </c>
      <c r="I213" s="1" t="s">
        <v>2318</v>
      </c>
      <c r="J213" s="1" t="s">
        <v>2319</v>
      </c>
      <c r="K213" s="1" t="s">
        <v>74</v>
      </c>
      <c r="L213" s="1" t="s">
        <v>74</v>
      </c>
      <c r="M213" s="1" t="s">
        <v>74</v>
      </c>
      <c r="N213" s="1" t="s">
        <v>74</v>
      </c>
      <c r="O213" s="1" t="s">
        <v>74</v>
      </c>
      <c r="P213" s="1" t="s">
        <v>74</v>
      </c>
      <c r="Q213" s="1" t="s">
        <v>74</v>
      </c>
      <c r="R213" s="1" t="s">
        <v>74</v>
      </c>
      <c r="S213" s="1" t="s">
        <v>74</v>
      </c>
      <c r="T213" s="1" t="s">
        <v>74</v>
      </c>
      <c r="U213" s="1" t="s">
        <v>74</v>
      </c>
      <c r="V213" s="1" t="s">
        <v>2320</v>
      </c>
      <c r="W213" s="1" t="s">
        <v>74</v>
      </c>
      <c r="X213" s="1" t="s">
        <v>74</v>
      </c>
      <c r="Y213" s="1" t="s">
        <v>74</v>
      </c>
      <c r="Z213" s="1" t="s">
        <v>74</v>
      </c>
      <c r="AA213" s="1" t="s">
        <v>702</v>
      </c>
      <c r="AB213" s="1" t="s">
        <v>2321</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2322</v>
      </c>
      <c r="AP213" s="1" t="s">
        <v>2323</v>
      </c>
      <c r="AQ213" s="1" t="s">
        <v>74</v>
      </c>
      <c r="AR213" s="1" t="s">
        <v>74</v>
      </c>
      <c r="AS213" s="1" t="s">
        <v>74</v>
      </c>
      <c r="AT213" s="1" t="s">
        <v>83</v>
      </c>
      <c r="AU213" s="1">
        <v>2024.0</v>
      </c>
      <c r="AV213" s="1">
        <v>203.0</v>
      </c>
      <c r="AW213" s="1">
        <v>6.0</v>
      </c>
      <c r="AX213" s="1" t="s">
        <v>74</v>
      </c>
      <c r="AY213" s="1" t="s">
        <v>74</v>
      </c>
      <c r="AZ213" s="1" t="s">
        <v>74</v>
      </c>
      <c r="BA213" s="1" t="s">
        <v>74</v>
      </c>
      <c r="BB213" s="1">
        <v>2549.0</v>
      </c>
      <c r="BC213" s="1">
        <v>2575.0</v>
      </c>
      <c r="BD213" s="1" t="s">
        <v>74</v>
      </c>
      <c r="BE213" s="1" t="s">
        <v>2324</v>
      </c>
      <c r="BF213" s="2" t="str">
        <f>HYPERLINK("http://dx.doi.org/10.1007/s10231-024-01455-x","http://dx.doi.org/10.1007/s10231-024-01455-x")</f>
        <v>http://dx.doi.org/10.1007/s10231-024-01455-x</v>
      </c>
      <c r="BG213" s="1" t="s">
        <v>74</v>
      </c>
      <c r="BH213" s="1" t="s">
        <v>706</v>
      </c>
      <c r="BI213" s="1" t="s">
        <v>74</v>
      </c>
      <c r="BJ213" s="1" t="s">
        <v>74</v>
      </c>
      <c r="BK213" s="1" t="s">
        <v>74</v>
      </c>
      <c r="BL213" s="1" t="s">
        <v>74</v>
      </c>
      <c r="BM213" s="1" t="s">
        <v>74</v>
      </c>
      <c r="BN213" s="1" t="s">
        <v>74</v>
      </c>
      <c r="BO213" s="1" t="s">
        <v>74</v>
      </c>
      <c r="BP213" s="1" t="s">
        <v>74</v>
      </c>
      <c r="BQ213" s="1" t="s">
        <v>74</v>
      </c>
      <c r="BR213" s="1" t="s">
        <v>74</v>
      </c>
      <c r="BS213" s="1" t="s">
        <v>2325</v>
      </c>
      <c r="BT213" s="1" t="str">
        <f>HYPERLINK("https%3A%2F%2Fwww.webofscience.com%2Fwos%2Fwoscc%2Ffull-record%2FWOS:001215557600001","View Full Record in Web of Science")</f>
        <v>View Full Record in Web of Science</v>
      </c>
    </row>
    <row r="214" ht="12.75" customHeight="1">
      <c r="A214" s="1" t="s">
        <v>72</v>
      </c>
      <c r="B214" s="1" t="s">
        <v>2326</v>
      </c>
      <c r="C214" s="1" t="s">
        <v>74</v>
      </c>
      <c r="D214" s="1" t="s">
        <v>74</v>
      </c>
      <c r="E214" s="1" t="s">
        <v>74</v>
      </c>
      <c r="F214" s="1" t="s">
        <v>2327</v>
      </c>
      <c r="G214" s="1" t="s">
        <v>74</v>
      </c>
      <c r="H214" s="1" t="s">
        <v>74</v>
      </c>
      <c r="I214" s="1" t="s">
        <v>2328</v>
      </c>
      <c r="J214" s="1" t="s">
        <v>2329</v>
      </c>
      <c r="K214" s="1" t="s">
        <v>74</v>
      </c>
      <c r="L214" s="1" t="s">
        <v>74</v>
      </c>
      <c r="M214" s="1" t="s">
        <v>74</v>
      </c>
      <c r="N214" s="1" t="s">
        <v>74</v>
      </c>
      <c r="O214" s="1" t="s">
        <v>74</v>
      </c>
      <c r="P214" s="1" t="s">
        <v>74</v>
      </c>
      <c r="Q214" s="1" t="s">
        <v>74</v>
      </c>
      <c r="R214" s="1" t="s">
        <v>74</v>
      </c>
      <c r="S214" s="1" t="s">
        <v>74</v>
      </c>
      <c r="T214" s="1" t="s">
        <v>74</v>
      </c>
      <c r="U214" s="1" t="s">
        <v>74</v>
      </c>
      <c r="V214" s="1" t="s">
        <v>2330</v>
      </c>
      <c r="W214" s="1" t="s">
        <v>74</v>
      </c>
      <c r="X214" s="1" t="s">
        <v>74</v>
      </c>
      <c r="Y214" s="1" t="s">
        <v>74</v>
      </c>
      <c r="Z214" s="1" t="s">
        <v>74</v>
      </c>
      <c r="AA214" s="1" t="s">
        <v>2331</v>
      </c>
      <c r="AB214" s="1" t="s">
        <v>2332</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2333</v>
      </c>
      <c r="AP214" s="1" t="s">
        <v>2334</v>
      </c>
      <c r="AQ214" s="1" t="s">
        <v>74</v>
      </c>
      <c r="AR214" s="1" t="s">
        <v>74</v>
      </c>
      <c r="AS214" s="1" t="s">
        <v>74</v>
      </c>
      <c r="AT214" s="1" t="s">
        <v>2335</v>
      </c>
      <c r="AU214" s="1">
        <v>2024.0</v>
      </c>
      <c r="AV214" s="1">
        <v>124.0</v>
      </c>
      <c r="AW214" s="1">
        <v>18.0</v>
      </c>
      <c r="AX214" s="1" t="s">
        <v>74</v>
      </c>
      <c r="AY214" s="1" t="s">
        <v>74</v>
      </c>
      <c r="AZ214" s="1" t="s">
        <v>74</v>
      </c>
      <c r="BA214" s="1" t="s">
        <v>74</v>
      </c>
      <c r="BB214" s="1" t="s">
        <v>74</v>
      </c>
      <c r="BC214" s="1" t="s">
        <v>74</v>
      </c>
      <c r="BD214" s="1">
        <v>182403.0</v>
      </c>
      <c r="BE214" s="1" t="s">
        <v>2336</v>
      </c>
      <c r="BF214" s="2" t="str">
        <f>HYPERLINK("http://dx.doi.org/10.1063/5.0201718","http://dx.doi.org/10.1063/5.0201718")</f>
        <v>http://dx.doi.org/10.1063/5.0201718</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2337</v>
      </c>
      <c r="BT214" s="1" t="str">
        <f>HYPERLINK("https%3A%2F%2Fwww.webofscience.com%2Fwos%2Fwoscc%2Ffull-record%2FWOS:001225897500003","View Full Record in Web of Science")</f>
        <v>View Full Record in Web of Science</v>
      </c>
    </row>
    <row r="215" ht="12.75" customHeight="1">
      <c r="A215" s="1" t="s">
        <v>72</v>
      </c>
      <c r="B215" s="1" t="s">
        <v>2338</v>
      </c>
      <c r="C215" s="1" t="s">
        <v>74</v>
      </c>
      <c r="D215" s="1" t="s">
        <v>74</v>
      </c>
      <c r="E215" s="1" t="s">
        <v>74</v>
      </c>
      <c r="F215" s="1" t="s">
        <v>2339</v>
      </c>
      <c r="G215" s="1" t="s">
        <v>74</v>
      </c>
      <c r="H215" s="1" t="s">
        <v>74</v>
      </c>
      <c r="I215" s="1" t="s">
        <v>2340</v>
      </c>
      <c r="J215" s="1" t="s">
        <v>2341</v>
      </c>
      <c r="K215" s="1" t="s">
        <v>74</v>
      </c>
      <c r="L215" s="1" t="s">
        <v>74</v>
      </c>
      <c r="M215" s="1" t="s">
        <v>74</v>
      </c>
      <c r="N215" s="1" t="s">
        <v>74</v>
      </c>
      <c r="O215" s="1" t="s">
        <v>74</v>
      </c>
      <c r="P215" s="1" t="s">
        <v>74</v>
      </c>
      <c r="Q215" s="1" t="s">
        <v>74</v>
      </c>
      <c r="R215" s="1" t="s">
        <v>74</v>
      </c>
      <c r="S215" s="1" t="s">
        <v>74</v>
      </c>
      <c r="T215" s="1" t="s">
        <v>74</v>
      </c>
      <c r="U215" s="1" t="s">
        <v>74</v>
      </c>
      <c r="V215" s="1" t="s">
        <v>2342</v>
      </c>
      <c r="W215" s="1" t="s">
        <v>74</v>
      </c>
      <c r="X215" s="1" t="s">
        <v>74</v>
      </c>
      <c r="Y215" s="1" t="s">
        <v>74</v>
      </c>
      <c r="Z215" s="1" t="s">
        <v>74</v>
      </c>
      <c r="AA215" s="1" t="s">
        <v>74</v>
      </c>
      <c r="AB215" s="1" t="s">
        <v>2343</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2344</v>
      </c>
      <c r="AP215" s="1" t="s">
        <v>2345</v>
      </c>
      <c r="AQ215" s="1" t="s">
        <v>74</v>
      </c>
      <c r="AR215" s="1" t="s">
        <v>74</v>
      </c>
      <c r="AS215" s="1" t="s">
        <v>74</v>
      </c>
      <c r="AT215" s="1" t="s">
        <v>877</v>
      </c>
      <c r="AU215" s="1">
        <v>2024.0</v>
      </c>
      <c r="AV215" s="1">
        <v>60.0</v>
      </c>
      <c r="AW215" s="1">
        <v>6.0</v>
      </c>
      <c r="AX215" s="1" t="s">
        <v>74</v>
      </c>
      <c r="AY215" s="1" t="s">
        <v>74</v>
      </c>
      <c r="AZ215" s="1" t="s">
        <v>74</v>
      </c>
      <c r="BA215" s="1" t="s">
        <v>74</v>
      </c>
      <c r="BB215" s="1">
        <v>1094.0</v>
      </c>
      <c r="BC215" s="1">
        <v>1103.0</v>
      </c>
      <c r="BD215" s="1" t="s">
        <v>74</v>
      </c>
      <c r="BE215" s="1" t="s">
        <v>2346</v>
      </c>
      <c r="BF215" s="2" t="str">
        <f>HYPERLINK("http://dx.doi.org/10.1007/s10597-024-01261-y","http://dx.doi.org/10.1007/s10597-024-01261-y")</f>
        <v>http://dx.doi.org/10.1007/s10597-024-01261-y</v>
      </c>
      <c r="BG215" s="1" t="s">
        <v>74</v>
      </c>
      <c r="BH215" s="1" t="s">
        <v>2347</v>
      </c>
      <c r="BI215" s="1" t="s">
        <v>74</v>
      </c>
      <c r="BJ215" s="1" t="s">
        <v>74</v>
      </c>
      <c r="BK215" s="1" t="s">
        <v>74</v>
      </c>
      <c r="BL215" s="1" t="s">
        <v>74</v>
      </c>
      <c r="BM215" s="1" t="s">
        <v>74</v>
      </c>
      <c r="BN215" s="1">
        <v>3.8489127E7</v>
      </c>
      <c r="BO215" s="1" t="s">
        <v>74</v>
      </c>
      <c r="BP215" s="1" t="s">
        <v>74</v>
      </c>
      <c r="BQ215" s="1" t="s">
        <v>74</v>
      </c>
      <c r="BR215" s="1" t="s">
        <v>74</v>
      </c>
      <c r="BS215" s="1" t="s">
        <v>2348</v>
      </c>
      <c r="BT215" s="1" t="str">
        <f>HYPERLINK("https%3A%2F%2Fwww.webofscience.com%2Fwos%2Fwoscc%2Ffull-record%2FWOS:001183912700001","View Full Record in Web of Science")</f>
        <v>View Full Record in Web of Science</v>
      </c>
    </row>
    <row r="216" ht="12.75" customHeight="1">
      <c r="A216" s="1" t="s">
        <v>72</v>
      </c>
      <c r="B216" s="1" t="s">
        <v>2349</v>
      </c>
      <c r="C216" s="1" t="s">
        <v>74</v>
      </c>
      <c r="D216" s="1" t="s">
        <v>74</v>
      </c>
      <c r="E216" s="1" t="s">
        <v>74</v>
      </c>
      <c r="F216" s="1" t="s">
        <v>2350</v>
      </c>
      <c r="G216" s="1" t="s">
        <v>74</v>
      </c>
      <c r="H216" s="1" t="s">
        <v>74</v>
      </c>
      <c r="I216" s="1" t="s">
        <v>2351</v>
      </c>
      <c r="J216" s="1" t="s">
        <v>2352</v>
      </c>
      <c r="K216" s="1" t="s">
        <v>74</v>
      </c>
      <c r="L216" s="1" t="s">
        <v>74</v>
      </c>
      <c r="M216" s="1" t="s">
        <v>74</v>
      </c>
      <c r="N216" s="1" t="s">
        <v>74</v>
      </c>
      <c r="O216" s="1" t="s">
        <v>74</v>
      </c>
      <c r="P216" s="1" t="s">
        <v>74</v>
      </c>
      <c r="Q216" s="1" t="s">
        <v>74</v>
      </c>
      <c r="R216" s="1" t="s">
        <v>74</v>
      </c>
      <c r="S216" s="1" t="s">
        <v>74</v>
      </c>
      <c r="T216" s="1" t="s">
        <v>74</v>
      </c>
      <c r="U216" s="1" t="s">
        <v>74</v>
      </c>
      <c r="V216" s="1" t="s">
        <v>2353</v>
      </c>
      <c r="W216" s="1" t="s">
        <v>74</v>
      </c>
      <c r="X216" s="1" t="s">
        <v>74</v>
      </c>
      <c r="Y216" s="1" t="s">
        <v>74</v>
      </c>
      <c r="Z216" s="1" t="s">
        <v>74</v>
      </c>
      <c r="AA216" s="1" t="s">
        <v>2354</v>
      </c>
      <c r="AB216" s="1" t="s">
        <v>2355</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2356</v>
      </c>
      <c r="AP216" s="1" t="s">
        <v>2357</v>
      </c>
      <c r="AQ216" s="1" t="s">
        <v>74</v>
      </c>
      <c r="AR216" s="1" t="s">
        <v>74</v>
      </c>
      <c r="AS216" s="1" t="s">
        <v>74</v>
      </c>
      <c r="AT216" s="1" t="s">
        <v>2358</v>
      </c>
      <c r="AU216" s="1">
        <v>2024.0</v>
      </c>
      <c r="AV216" s="1">
        <v>30.0</v>
      </c>
      <c r="AW216" s="1">
        <v>18.0</v>
      </c>
      <c r="AX216" s="1" t="s">
        <v>74</v>
      </c>
      <c r="AY216" s="1" t="s">
        <v>74</v>
      </c>
      <c r="AZ216" s="1" t="s">
        <v>74</v>
      </c>
      <c r="BA216" s="1" t="s">
        <v>74</v>
      </c>
      <c r="BB216" s="1" t="s">
        <v>74</v>
      </c>
      <c r="BC216" s="1" t="s">
        <v>74</v>
      </c>
      <c r="BD216" s="1" t="s">
        <v>74</v>
      </c>
      <c r="BE216" s="1" t="s">
        <v>2359</v>
      </c>
      <c r="BF216" s="2" t="str">
        <f>HYPERLINK("http://dx.doi.org/10.1002/chem.202304007","http://dx.doi.org/10.1002/chem.202304007")</f>
        <v>http://dx.doi.org/10.1002/chem.202304007</v>
      </c>
      <c r="BG216" s="1" t="s">
        <v>74</v>
      </c>
      <c r="BH216" s="1" t="s">
        <v>2360</v>
      </c>
      <c r="BI216" s="1" t="s">
        <v>74</v>
      </c>
      <c r="BJ216" s="1" t="s">
        <v>74</v>
      </c>
      <c r="BK216" s="1" t="s">
        <v>74</v>
      </c>
      <c r="BL216" s="1" t="s">
        <v>74</v>
      </c>
      <c r="BM216" s="1" t="s">
        <v>74</v>
      </c>
      <c r="BN216" s="1">
        <v>3.8271285E7</v>
      </c>
      <c r="BO216" s="1" t="s">
        <v>74</v>
      </c>
      <c r="BP216" s="1" t="s">
        <v>74</v>
      </c>
      <c r="BQ216" s="1" t="s">
        <v>74</v>
      </c>
      <c r="BR216" s="1" t="s">
        <v>74</v>
      </c>
      <c r="BS216" s="1" t="s">
        <v>2361</v>
      </c>
      <c r="BT216" s="1" t="str">
        <f>HYPERLINK("https%3A%2F%2Fwww.webofscience.com%2Fwos%2Fwoscc%2Ffull-record%2FWOS:001161455800001","View Full Record in Web of Science")</f>
        <v>View Full Record in Web of Science</v>
      </c>
    </row>
    <row r="217" ht="12.75" customHeight="1">
      <c r="A217" s="1" t="s">
        <v>72</v>
      </c>
      <c r="B217" s="1" t="s">
        <v>2362</v>
      </c>
      <c r="C217" s="1" t="s">
        <v>74</v>
      </c>
      <c r="D217" s="1" t="s">
        <v>74</v>
      </c>
      <c r="E217" s="1" t="s">
        <v>74</v>
      </c>
      <c r="F217" s="1" t="s">
        <v>2363</v>
      </c>
      <c r="G217" s="1" t="s">
        <v>74</v>
      </c>
      <c r="H217" s="1" t="s">
        <v>74</v>
      </c>
      <c r="I217" s="1" t="s">
        <v>2364</v>
      </c>
      <c r="J217" s="1" t="s">
        <v>2365</v>
      </c>
      <c r="K217" s="1" t="s">
        <v>74</v>
      </c>
      <c r="L217" s="1" t="s">
        <v>74</v>
      </c>
      <c r="M217" s="1" t="s">
        <v>74</v>
      </c>
      <c r="N217" s="1" t="s">
        <v>74</v>
      </c>
      <c r="O217" s="1" t="s">
        <v>74</v>
      </c>
      <c r="P217" s="1" t="s">
        <v>74</v>
      </c>
      <c r="Q217" s="1" t="s">
        <v>74</v>
      </c>
      <c r="R217" s="1" t="s">
        <v>74</v>
      </c>
      <c r="S217" s="1" t="s">
        <v>74</v>
      </c>
      <c r="T217" s="1" t="s">
        <v>74</v>
      </c>
      <c r="U217" s="1" t="s">
        <v>74</v>
      </c>
      <c r="V217" s="1" t="s">
        <v>2366</v>
      </c>
      <c r="W217" s="1" t="s">
        <v>74</v>
      </c>
      <c r="X217" s="1" t="s">
        <v>74</v>
      </c>
      <c r="Y217" s="1" t="s">
        <v>74</v>
      </c>
      <c r="Z217" s="1" t="s">
        <v>74</v>
      </c>
      <c r="AA217" s="1" t="s">
        <v>2367</v>
      </c>
      <c r="AB217" s="1" t="s">
        <v>2368</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74</v>
      </c>
      <c r="AP217" s="1" t="s">
        <v>2369</v>
      </c>
      <c r="AQ217" s="1" t="s">
        <v>74</v>
      </c>
      <c r="AR217" s="1" t="s">
        <v>74</v>
      </c>
      <c r="AS217" s="1" t="s">
        <v>74</v>
      </c>
      <c r="AT217" s="1" t="s">
        <v>241</v>
      </c>
      <c r="AU217" s="1">
        <v>2023.0</v>
      </c>
      <c r="AV217" s="1">
        <v>15.0</v>
      </c>
      <c r="AW217" s="1">
        <v>18.0</v>
      </c>
      <c r="AX217" s="1" t="s">
        <v>74</v>
      </c>
      <c r="AY217" s="1" t="s">
        <v>74</v>
      </c>
      <c r="AZ217" s="1" t="s">
        <v>74</v>
      </c>
      <c r="BA217" s="1" t="s">
        <v>74</v>
      </c>
      <c r="BB217" s="1" t="s">
        <v>74</v>
      </c>
      <c r="BC217" s="1" t="s">
        <v>74</v>
      </c>
      <c r="BD217" s="1">
        <v>3720.0</v>
      </c>
      <c r="BE217" s="1" t="s">
        <v>2370</v>
      </c>
      <c r="BF217" s="2" t="str">
        <f>HYPERLINK("http://dx.doi.org/10.3390/polym15183720","http://dx.doi.org/10.3390/polym15183720")</f>
        <v>http://dx.doi.org/10.3390/polym15183720</v>
      </c>
      <c r="BG217" s="1" t="s">
        <v>74</v>
      </c>
      <c r="BH217" s="1" t="s">
        <v>74</v>
      </c>
      <c r="BI217" s="1" t="s">
        <v>74</v>
      </c>
      <c r="BJ217" s="1" t="s">
        <v>74</v>
      </c>
      <c r="BK217" s="1" t="s">
        <v>74</v>
      </c>
      <c r="BL217" s="1" t="s">
        <v>74</v>
      </c>
      <c r="BM217" s="1" t="s">
        <v>74</v>
      </c>
      <c r="BN217" s="1">
        <v>3.7765575E7</v>
      </c>
      <c r="BO217" s="1" t="s">
        <v>74</v>
      </c>
      <c r="BP217" s="1" t="s">
        <v>74</v>
      </c>
      <c r="BQ217" s="1" t="s">
        <v>74</v>
      </c>
      <c r="BR217" s="1" t="s">
        <v>74</v>
      </c>
      <c r="BS217" s="1" t="s">
        <v>2371</v>
      </c>
      <c r="BT217" s="1" t="str">
        <f>HYPERLINK("https%3A%2F%2Fwww.webofscience.com%2Fwos%2Fwoscc%2Ffull-record%2FWOS:001077833900001","View Full Record in Web of Science")</f>
        <v>View Full Record in Web of Science</v>
      </c>
    </row>
    <row r="218" ht="12.75" customHeight="1">
      <c r="A218" s="1" t="s">
        <v>72</v>
      </c>
      <c r="B218" s="1" t="s">
        <v>2372</v>
      </c>
      <c r="C218" s="1" t="s">
        <v>74</v>
      </c>
      <c r="D218" s="1" t="s">
        <v>74</v>
      </c>
      <c r="E218" s="1" t="s">
        <v>74</v>
      </c>
      <c r="F218" s="1" t="s">
        <v>2373</v>
      </c>
      <c r="G218" s="1" t="s">
        <v>74</v>
      </c>
      <c r="H218" s="1" t="s">
        <v>74</v>
      </c>
      <c r="I218" s="1" t="s">
        <v>2374</v>
      </c>
      <c r="J218" s="1" t="s">
        <v>1571</v>
      </c>
      <c r="K218" s="1" t="s">
        <v>74</v>
      </c>
      <c r="L218" s="1" t="s">
        <v>74</v>
      </c>
      <c r="M218" s="1" t="s">
        <v>74</v>
      </c>
      <c r="N218" s="1" t="s">
        <v>74</v>
      </c>
      <c r="O218" s="1" t="s">
        <v>74</v>
      </c>
      <c r="P218" s="1" t="s">
        <v>74</v>
      </c>
      <c r="Q218" s="1" t="s">
        <v>74</v>
      </c>
      <c r="R218" s="1" t="s">
        <v>74</v>
      </c>
      <c r="S218" s="1" t="s">
        <v>74</v>
      </c>
      <c r="T218" s="1" t="s">
        <v>74</v>
      </c>
      <c r="U218" s="1" t="s">
        <v>74</v>
      </c>
      <c r="V218" s="1" t="s">
        <v>2375</v>
      </c>
      <c r="W218" s="1" t="s">
        <v>74</v>
      </c>
      <c r="X218" s="1" t="s">
        <v>74</v>
      </c>
      <c r="Y218" s="1" t="s">
        <v>74</v>
      </c>
      <c r="Z218" s="1" t="s">
        <v>74</v>
      </c>
      <c r="AA218" s="1" t="s">
        <v>2376</v>
      </c>
      <c r="AB218" s="1" t="s">
        <v>2377</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74</v>
      </c>
      <c r="AP218" s="1" t="s">
        <v>1575</v>
      </c>
      <c r="AQ218" s="1" t="s">
        <v>74</v>
      </c>
      <c r="AR218" s="1" t="s">
        <v>74</v>
      </c>
      <c r="AS218" s="1" t="s">
        <v>74</v>
      </c>
      <c r="AT218" s="1" t="s">
        <v>974</v>
      </c>
      <c r="AU218" s="1">
        <v>2023.0</v>
      </c>
      <c r="AV218" s="1">
        <v>15.0</v>
      </c>
      <c r="AW218" s="1">
        <v>14.0</v>
      </c>
      <c r="AX218" s="1" t="s">
        <v>74</v>
      </c>
      <c r="AY218" s="1" t="s">
        <v>74</v>
      </c>
      <c r="AZ218" s="1" t="s">
        <v>74</v>
      </c>
      <c r="BA218" s="1" t="s">
        <v>74</v>
      </c>
      <c r="BB218" s="1" t="s">
        <v>74</v>
      </c>
      <c r="BC218" s="1" t="s">
        <v>74</v>
      </c>
      <c r="BD218" s="1">
        <v>11033.0</v>
      </c>
      <c r="BE218" s="1" t="s">
        <v>2378</v>
      </c>
      <c r="BF218" s="2" t="str">
        <f>HYPERLINK("http://dx.doi.org/10.3390/su151411033","http://dx.doi.org/10.3390/su151411033")</f>
        <v>http://dx.doi.org/10.3390/su151411033</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2379</v>
      </c>
      <c r="BT218" s="1" t="str">
        <f>HYPERLINK("https%3A%2F%2Fwww.webofscience.com%2Fwos%2Fwoscc%2Ffull-record%2FWOS:001091325600001","View Full Record in Web of Science")</f>
        <v>View Full Record in Web of Science</v>
      </c>
    </row>
    <row r="219" ht="12.75" customHeight="1">
      <c r="A219" s="1" t="s">
        <v>72</v>
      </c>
      <c r="B219" s="1" t="s">
        <v>2380</v>
      </c>
      <c r="C219" s="1" t="s">
        <v>74</v>
      </c>
      <c r="D219" s="1" t="s">
        <v>74</v>
      </c>
      <c r="E219" s="1" t="s">
        <v>74</v>
      </c>
      <c r="F219" s="1" t="s">
        <v>2381</v>
      </c>
      <c r="G219" s="1" t="s">
        <v>74</v>
      </c>
      <c r="H219" s="1" t="s">
        <v>74</v>
      </c>
      <c r="I219" s="1" t="s">
        <v>2382</v>
      </c>
      <c r="J219" s="1" t="s">
        <v>2383</v>
      </c>
      <c r="K219" s="1" t="s">
        <v>74</v>
      </c>
      <c r="L219" s="1" t="s">
        <v>74</v>
      </c>
      <c r="M219" s="1" t="s">
        <v>74</v>
      </c>
      <c r="N219" s="1" t="s">
        <v>74</v>
      </c>
      <c r="O219" s="1" t="s">
        <v>74</v>
      </c>
      <c r="P219" s="1" t="s">
        <v>74</v>
      </c>
      <c r="Q219" s="1" t="s">
        <v>74</v>
      </c>
      <c r="R219" s="1" t="s">
        <v>74</v>
      </c>
      <c r="S219" s="1" t="s">
        <v>74</v>
      </c>
      <c r="T219" s="1" t="s">
        <v>74</v>
      </c>
      <c r="U219" s="1" t="s">
        <v>74</v>
      </c>
      <c r="V219" s="1" t="s">
        <v>2384</v>
      </c>
      <c r="W219" s="1" t="s">
        <v>74</v>
      </c>
      <c r="X219" s="1" t="s">
        <v>74</v>
      </c>
      <c r="Y219" s="1" t="s">
        <v>74</v>
      </c>
      <c r="Z219" s="1" t="s">
        <v>74</v>
      </c>
      <c r="AA219" s="1" t="s">
        <v>2385</v>
      </c>
      <c r="AB219" s="1" t="s">
        <v>2386</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74</v>
      </c>
      <c r="AP219" s="1" t="s">
        <v>2387</v>
      </c>
      <c r="AQ219" s="1" t="s">
        <v>74</v>
      </c>
      <c r="AR219" s="1" t="s">
        <v>74</v>
      </c>
      <c r="AS219" s="1" t="s">
        <v>74</v>
      </c>
      <c r="AT219" s="1" t="s">
        <v>2388</v>
      </c>
      <c r="AU219" s="1">
        <v>2023.0</v>
      </c>
      <c r="AV219" s="1">
        <v>16.0</v>
      </c>
      <c r="AW219" s="1">
        <v>10.0</v>
      </c>
      <c r="AX219" s="1" t="s">
        <v>74</v>
      </c>
      <c r="AY219" s="1" t="s">
        <v>74</v>
      </c>
      <c r="AZ219" s="1" t="s">
        <v>74</v>
      </c>
      <c r="BA219" s="1" t="s">
        <v>74</v>
      </c>
      <c r="BB219" s="1" t="s">
        <v>74</v>
      </c>
      <c r="BC219" s="1" t="s">
        <v>74</v>
      </c>
      <c r="BD219" s="1">
        <v>3618.0</v>
      </c>
      <c r="BE219" s="1" t="s">
        <v>2389</v>
      </c>
      <c r="BF219" s="2" t="str">
        <f>HYPERLINK("http://dx.doi.org/10.3390/ma16103618","http://dx.doi.org/10.3390/ma16103618")</f>
        <v>http://dx.doi.org/10.3390/ma16103618</v>
      </c>
      <c r="BG219" s="1" t="s">
        <v>74</v>
      </c>
      <c r="BH219" s="1" t="s">
        <v>74</v>
      </c>
      <c r="BI219" s="1" t="s">
        <v>74</v>
      </c>
      <c r="BJ219" s="1" t="s">
        <v>74</v>
      </c>
      <c r="BK219" s="1" t="s">
        <v>74</v>
      </c>
      <c r="BL219" s="1" t="s">
        <v>74</v>
      </c>
      <c r="BM219" s="1" t="s">
        <v>74</v>
      </c>
      <c r="BN219" s="1">
        <v>3.7241245E7</v>
      </c>
      <c r="BO219" s="1" t="s">
        <v>74</v>
      </c>
      <c r="BP219" s="1" t="s">
        <v>74</v>
      </c>
      <c r="BQ219" s="1" t="s">
        <v>74</v>
      </c>
      <c r="BR219" s="1" t="s">
        <v>74</v>
      </c>
      <c r="BS219" s="1" t="s">
        <v>2390</v>
      </c>
      <c r="BT219" s="1" t="str">
        <f>HYPERLINK("https%3A%2F%2Fwww.webofscience.com%2Fwos%2Fwoscc%2Ffull-record%2FWOS:000997573900001","View Full Record in Web of Science")</f>
        <v>View Full Record in Web of Science</v>
      </c>
    </row>
    <row r="220" ht="12.75" customHeight="1">
      <c r="A220" s="1" t="s">
        <v>72</v>
      </c>
      <c r="B220" s="1" t="s">
        <v>2391</v>
      </c>
      <c r="C220" s="1" t="s">
        <v>74</v>
      </c>
      <c r="D220" s="1" t="s">
        <v>74</v>
      </c>
      <c r="E220" s="1" t="s">
        <v>74</v>
      </c>
      <c r="F220" s="1" t="s">
        <v>2392</v>
      </c>
      <c r="G220" s="1" t="s">
        <v>74</v>
      </c>
      <c r="H220" s="1" t="s">
        <v>74</v>
      </c>
      <c r="I220" s="1" t="s">
        <v>2393</v>
      </c>
      <c r="J220" s="1" t="s">
        <v>1229</v>
      </c>
      <c r="K220" s="1" t="s">
        <v>74</v>
      </c>
      <c r="L220" s="1" t="s">
        <v>74</v>
      </c>
      <c r="M220" s="1" t="s">
        <v>74</v>
      </c>
      <c r="N220" s="1" t="s">
        <v>74</v>
      </c>
      <c r="O220" s="1" t="s">
        <v>74</v>
      </c>
      <c r="P220" s="1" t="s">
        <v>74</v>
      </c>
      <c r="Q220" s="1" t="s">
        <v>74</v>
      </c>
      <c r="R220" s="1" t="s">
        <v>74</v>
      </c>
      <c r="S220" s="1" t="s">
        <v>74</v>
      </c>
      <c r="T220" s="1" t="s">
        <v>74</v>
      </c>
      <c r="U220" s="1" t="s">
        <v>74</v>
      </c>
      <c r="V220" s="1" t="s">
        <v>2394</v>
      </c>
      <c r="W220" s="1" t="s">
        <v>74</v>
      </c>
      <c r="X220" s="1" t="s">
        <v>74</v>
      </c>
      <c r="Y220" s="1" t="s">
        <v>74</v>
      </c>
      <c r="Z220" s="1" t="s">
        <v>74</v>
      </c>
      <c r="AA220" s="1" t="s">
        <v>74</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1233</v>
      </c>
      <c r="AP220" s="1" t="s">
        <v>74</v>
      </c>
      <c r="AQ220" s="1" t="s">
        <v>74</v>
      </c>
      <c r="AR220" s="1" t="s">
        <v>74</v>
      </c>
      <c r="AS220" s="1" t="s">
        <v>74</v>
      </c>
      <c r="AT220" s="1" t="s">
        <v>2395</v>
      </c>
      <c r="AU220" s="1">
        <v>2023.0</v>
      </c>
      <c r="AV220" s="1">
        <v>15.0</v>
      </c>
      <c r="AW220" s="1">
        <v>2.0</v>
      </c>
      <c r="AX220" s="1" t="s">
        <v>74</v>
      </c>
      <c r="AY220" s="1" t="s">
        <v>74</v>
      </c>
      <c r="AZ220" s="1" t="s">
        <v>74</v>
      </c>
      <c r="BA220" s="1" t="s">
        <v>74</v>
      </c>
      <c r="BB220" s="1">
        <v>395.0</v>
      </c>
      <c r="BC220" s="1">
        <v>408.0</v>
      </c>
      <c r="BD220" s="1" t="s">
        <v>74</v>
      </c>
      <c r="BE220" s="1" t="s">
        <v>2396</v>
      </c>
      <c r="BF220" s="2" t="str">
        <f>HYPERLINK("http://dx.doi.org/10.58727/jshr.92440","http://dx.doi.org/10.58727/jshr.92440")</f>
        <v>http://dx.doi.org/10.58727/jshr.92440</v>
      </c>
      <c r="BG220" s="1" t="s">
        <v>74</v>
      </c>
      <c r="BH220" s="1" t="s">
        <v>74</v>
      </c>
      <c r="BI220" s="1" t="s">
        <v>74</v>
      </c>
      <c r="BJ220" s="1" t="s">
        <v>74</v>
      </c>
      <c r="BK220" s="1" t="s">
        <v>74</v>
      </c>
      <c r="BL220" s="1" t="s">
        <v>74</v>
      </c>
      <c r="BM220" s="1" t="s">
        <v>74</v>
      </c>
      <c r="BN220" s="1" t="s">
        <v>74</v>
      </c>
      <c r="BO220" s="1" t="s">
        <v>74</v>
      </c>
      <c r="BP220" s="1" t="s">
        <v>74</v>
      </c>
      <c r="BQ220" s="1" t="s">
        <v>74</v>
      </c>
      <c r="BR220" s="1" t="s">
        <v>74</v>
      </c>
      <c r="BS220" s="1" t="s">
        <v>2397</v>
      </c>
      <c r="BT220" s="1" t="str">
        <f>HYPERLINK("https%3A%2F%2Fwww.webofscience.com%2Fwos%2Fwoscc%2Ffull-record%2FWOS:000986868800011","View Full Record in Web of Science")</f>
        <v>View Full Record in Web of Science</v>
      </c>
    </row>
    <row r="221" ht="12.75" customHeight="1">
      <c r="A221" s="1" t="s">
        <v>72</v>
      </c>
      <c r="B221" s="1" t="s">
        <v>2398</v>
      </c>
      <c r="C221" s="1" t="s">
        <v>74</v>
      </c>
      <c r="D221" s="1" t="s">
        <v>74</v>
      </c>
      <c r="E221" s="1" t="s">
        <v>74</v>
      </c>
      <c r="F221" s="1" t="s">
        <v>2399</v>
      </c>
      <c r="G221" s="1" t="s">
        <v>74</v>
      </c>
      <c r="H221" s="1" t="s">
        <v>74</v>
      </c>
      <c r="I221" s="1" t="s">
        <v>2400</v>
      </c>
      <c r="J221" s="1" t="s">
        <v>2401</v>
      </c>
      <c r="K221" s="1" t="s">
        <v>74</v>
      </c>
      <c r="L221" s="1" t="s">
        <v>74</v>
      </c>
      <c r="M221" s="1" t="s">
        <v>74</v>
      </c>
      <c r="N221" s="1" t="s">
        <v>74</v>
      </c>
      <c r="O221" s="1" t="s">
        <v>74</v>
      </c>
      <c r="P221" s="1" t="s">
        <v>74</v>
      </c>
      <c r="Q221" s="1" t="s">
        <v>74</v>
      </c>
      <c r="R221" s="1" t="s">
        <v>74</v>
      </c>
      <c r="S221" s="1" t="s">
        <v>74</v>
      </c>
      <c r="T221" s="1" t="s">
        <v>74</v>
      </c>
      <c r="U221" s="1" t="s">
        <v>74</v>
      </c>
      <c r="V221" s="1" t="s">
        <v>2402</v>
      </c>
      <c r="W221" s="1" t="s">
        <v>74</v>
      </c>
      <c r="X221" s="1" t="s">
        <v>74</v>
      </c>
      <c r="Y221" s="1" t="s">
        <v>74</v>
      </c>
      <c r="Z221" s="1" t="s">
        <v>74</v>
      </c>
      <c r="AA221" s="1" t="s">
        <v>2403</v>
      </c>
      <c r="AB221" s="1" t="s">
        <v>2404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2405</v>
      </c>
      <c r="AP221" s="1" t="s">
        <v>74</v>
      </c>
      <c r="AQ221" s="1" t="s">
        <v>74</v>
      </c>
      <c r="AR221" s="1" t="s">
        <v>74</v>
      </c>
      <c r="AS221" s="1" t="s">
        <v>74</v>
      </c>
      <c r="AT221" s="1" t="s">
        <v>2406</v>
      </c>
      <c r="AU221" s="1">
        <v>2022.0</v>
      </c>
      <c r="AV221" s="1">
        <v>18.0</v>
      </c>
      <c r="AW221" s="1">
        <v>1.0</v>
      </c>
      <c r="AX221" s="1" t="s">
        <v>74</v>
      </c>
      <c r="AY221" s="1" t="s">
        <v>74</v>
      </c>
      <c r="AZ221" s="1" t="s">
        <v>74</v>
      </c>
      <c r="BA221" s="1" t="s">
        <v>74</v>
      </c>
      <c r="BB221" s="1" t="s">
        <v>74</v>
      </c>
      <c r="BC221" s="1" t="s">
        <v>74</v>
      </c>
      <c r="BD221" s="1">
        <v>14047.0</v>
      </c>
      <c r="BE221" s="1" t="s">
        <v>2407</v>
      </c>
      <c r="BF221" s="2" t="str">
        <f>HYPERLINK("http://dx.doi.org/10.1103/PhysRevApplied.18.014047","http://dx.doi.org/10.1103/PhysRevApplied.18.014047")</f>
        <v>http://dx.doi.org/10.1103/PhysRevApplied.18.014047</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2408</v>
      </c>
      <c r="BT221" s="1" t="str">
        <f>HYPERLINK("https%3A%2F%2Fwww.webofscience.com%2Fwos%2Fwoscc%2Ffull-record%2FWOS:000829922900004","View Full Record in Web of Science")</f>
        <v>View Full Record in Web of Science</v>
      </c>
    </row>
    <row r="222" ht="12.75" customHeight="1">
      <c r="A222" s="1" t="s">
        <v>72</v>
      </c>
      <c r="B222" s="1" t="s">
        <v>2409</v>
      </c>
      <c r="C222" s="1" t="s">
        <v>74</v>
      </c>
      <c r="D222" s="1" t="s">
        <v>74</v>
      </c>
      <c r="E222" s="1" t="s">
        <v>74</v>
      </c>
      <c r="F222" s="1" t="s">
        <v>2410</v>
      </c>
      <c r="G222" s="1" t="s">
        <v>74</v>
      </c>
      <c r="H222" s="1" t="s">
        <v>74</v>
      </c>
      <c r="I222" s="1" t="s">
        <v>2411</v>
      </c>
      <c r="J222" s="1" t="s">
        <v>1676</v>
      </c>
      <c r="K222" s="1" t="s">
        <v>74</v>
      </c>
      <c r="L222" s="1" t="s">
        <v>74</v>
      </c>
      <c r="M222" s="1" t="s">
        <v>74</v>
      </c>
      <c r="N222" s="1" t="s">
        <v>74</v>
      </c>
      <c r="O222" s="1" t="s">
        <v>74</v>
      </c>
      <c r="P222" s="1" t="s">
        <v>74</v>
      </c>
      <c r="Q222" s="1" t="s">
        <v>74</v>
      </c>
      <c r="R222" s="1" t="s">
        <v>74</v>
      </c>
      <c r="S222" s="1" t="s">
        <v>74</v>
      </c>
      <c r="T222" s="1" t="s">
        <v>74</v>
      </c>
      <c r="U222" s="1" t="s">
        <v>74</v>
      </c>
      <c r="V222" s="1" t="s">
        <v>2412</v>
      </c>
      <c r="W222" s="1" t="s">
        <v>74</v>
      </c>
      <c r="X222" s="1" t="s">
        <v>74</v>
      </c>
      <c r="Y222" s="1" t="s">
        <v>74</v>
      </c>
      <c r="Z222" s="1" t="s">
        <v>74</v>
      </c>
      <c r="AA222" s="1" t="s">
        <v>2413</v>
      </c>
      <c r="AB222" s="1" t="s">
        <v>2414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1680</v>
      </c>
      <c r="AP222" s="1" t="s">
        <v>74</v>
      </c>
      <c r="AQ222" s="1" t="s">
        <v>74</v>
      </c>
      <c r="AR222" s="1" t="s">
        <v>74</v>
      </c>
      <c r="AS222" s="1" t="s">
        <v>74</v>
      </c>
      <c r="AT222" s="1" t="s">
        <v>151</v>
      </c>
      <c r="AU222" s="1">
        <v>2022.0</v>
      </c>
      <c r="AV222" s="1">
        <v>35.0</v>
      </c>
      <c r="AW222" s="1" t="s">
        <v>74</v>
      </c>
      <c r="AX222" s="1" t="s">
        <v>74</v>
      </c>
      <c r="AY222" s="1" t="s">
        <v>74</v>
      </c>
      <c r="AZ222" s="1" t="s">
        <v>74</v>
      </c>
      <c r="BA222" s="1" t="s">
        <v>74</v>
      </c>
      <c r="BB222" s="1" t="s">
        <v>74</v>
      </c>
      <c r="BC222" s="1" t="s">
        <v>74</v>
      </c>
      <c r="BD222" s="1">
        <v>101035.0</v>
      </c>
      <c r="BE222" s="1" t="s">
        <v>2415</v>
      </c>
      <c r="BF222" s="2" t="str">
        <f>HYPERLINK("http://dx.doi.org/10.1016/j.coelec.2022.101035","http://dx.doi.org/10.1016/j.coelec.2022.101035")</f>
        <v>http://dx.doi.org/10.1016/j.coelec.2022.101035</v>
      </c>
      <c r="BG222" s="1" t="s">
        <v>74</v>
      </c>
      <c r="BH222" s="1" t="s">
        <v>732</v>
      </c>
      <c r="BI222" s="1" t="s">
        <v>74</v>
      </c>
      <c r="BJ222" s="1" t="s">
        <v>74</v>
      </c>
      <c r="BK222" s="1" t="s">
        <v>74</v>
      </c>
      <c r="BL222" s="1" t="s">
        <v>74</v>
      </c>
      <c r="BM222" s="1" t="s">
        <v>74</v>
      </c>
      <c r="BN222" s="1" t="s">
        <v>74</v>
      </c>
      <c r="BO222" s="1" t="s">
        <v>74</v>
      </c>
      <c r="BP222" s="1" t="s">
        <v>74</v>
      </c>
      <c r="BQ222" s="1" t="s">
        <v>74</v>
      </c>
      <c r="BR222" s="1" t="s">
        <v>74</v>
      </c>
      <c r="BS222" s="1" t="s">
        <v>2416</v>
      </c>
      <c r="BT222" s="1" t="str">
        <f>HYPERLINK("https%3A%2F%2Fwww.webofscience.com%2Fwos%2Fwoscc%2Ffull-record%2FWOS:000836472200002","View Full Record in Web of Science")</f>
        <v>View Full Record in Web of Science</v>
      </c>
    </row>
    <row r="223" ht="12.75" customHeight="1">
      <c r="A223" s="1" t="s">
        <v>72</v>
      </c>
      <c r="B223" s="1" t="s">
        <v>2417</v>
      </c>
      <c r="C223" s="1" t="s">
        <v>74</v>
      </c>
      <c r="D223" s="1" t="s">
        <v>74</v>
      </c>
      <c r="E223" s="1" t="s">
        <v>74</v>
      </c>
      <c r="F223" s="1" t="s">
        <v>2418</v>
      </c>
      <c r="G223" s="1" t="s">
        <v>74</v>
      </c>
      <c r="H223" s="1" t="s">
        <v>74</v>
      </c>
      <c r="I223" s="1" t="s">
        <v>2419</v>
      </c>
      <c r="J223" s="1" t="s">
        <v>1970</v>
      </c>
      <c r="K223" s="1" t="s">
        <v>74</v>
      </c>
      <c r="L223" s="1" t="s">
        <v>74</v>
      </c>
      <c r="M223" s="1" t="s">
        <v>74</v>
      </c>
      <c r="N223" s="1" t="s">
        <v>74</v>
      </c>
      <c r="O223" s="1" t="s">
        <v>74</v>
      </c>
      <c r="P223" s="1" t="s">
        <v>74</v>
      </c>
      <c r="Q223" s="1" t="s">
        <v>74</v>
      </c>
      <c r="R223" s="1" t="s">
        <v>74</v>
      </c>
      <c r="S223" s="1" t="s">
        <v>74</v>
      </c>
      <c r="T223" s="1" t="s">
        <v>74</v>
      </c>
      <c r="U223" s="1" t="s">
        <v>74</v>
      </c>
      <c r="V223" s="1" t="s">
        <v>2420</v>
      </c>
      <c r="W223" s="1" t="s">
        <v>74</v>
      </c>
      <c r="X223" s="1" t="s">
        <v>74</v>
      </c>
      <c r="Y223" s="1" t="s">
        <v>74</v>
      </c>
      <c r="Z223" s="1" t="s">
        <v>74</v>
      </c>
      <c r="AA223" s="1" t="s">
        <v>2421</v>
      </c>
      <c r="AB223" s="1" t="s">
        <v>2422</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74</v>
      </c>
      <c r="AP223" s="1" t="s">
        <v>1974</v>
      </c>
      <c r="AQ223" s="1" t="s">
        <v>74</v>
      </c>
      <c r="AR223" s="1" t="s">
        <v>74</v>
      </c>
      <c r="AS223" s="1" t="s">
        <v>74</v>
      </c>
      <c r="AT223" s="1" t="s">
        <v>1082</v>
      </c>
      <c r="AU223" s="1">
        <v>2021.0</v>
      </c>
      <c r="AV223" s="1">
        <v>18.0</v>
      </c>
      <c r="AW223" s="1">
        <v>21.0</v>
      </c>
      <c r="AX223" s="1" t="s">
        <v>74</v>
      </c>
      <c r="AY223" s="1" t="s">
        <v>74</v>
      </c>
      <c r="AZ223" s="1" t="s">
        <v>74</v>
      </c>
      <c r="BA223" s="1" t="s">
        <v>74</v>
      </c>
      <c r="BB223" s="1" t="s">
        <v>74</v>
      </c>
      <c r="BC223" s="1" t="s">
        <v>74</v>
      </c>
      <c r="BD223" s="1">
        <v>11190.0</v>
      </c>
      <c r="BE223" s="1" t="s">
        <v>2423</v>
      </c>
      <c r="BF223" s="2" t="str">
        <f>HYPERLINK("http://dx.doi.org/10.3390/ijerph182111190","http://dx.doi.org/10.3390/ijerph182111190")</f>
        <v>http://dx.doi.org/10.3390/ijerph182111190</v>
      </c>
      <c r="BG223" s="1" t="s">
        <v>74</v>
      </c>
      <c r="BH223" s="1" t="s">
        <v>74</v>
      </c>
      <c r="BI223" s="1" t="s">
        <v>74</v>
      </c>
      <c r="BJ223" s="1" t="s">
        <v>74</v>
      </c>
      <c r="BK223" s="1" t="s">
        <v>74</v>
      </c>
      <c r="BL223" s="1" t="s">
        <v>74</v>
      </c>
      <c r="BM223" s="1" t="s">
        <v>74</v>
      </c>
      <c r="BN223" s="1">
        <v>3.4769709E7</v>
      </c>
      <c r="BO223" s="1" t="s">
        <v>74</v>
      </c>
      <c r="BP223" s="1" t="s">
        <v>74</v>
      </c>
      <c r="BQ223" s="1" t="s">
        <v>74</v>
      </c>
      <c r="BR223" s="1" t="s">
        <v>74</v>
      </c>
      <c r="BS223" s="1" t="s">
        <v>2424</v>
      </c>
      <c r="BT223" s="1" t="str">
        <f>HYPERLINK("https%3A%2F%2Fwww.webofscience.com%2Fwos%2Fwoscc%2Ffull-record%2FWOS:000726594500001","View Full Record in Web of Science")</f>
        <v>View Full Record in Web of Science</v>
      </c>
    </row>
    <row r="224" ht="12.75" customHeight="1">
      <c r="A224" s="1" t="s">
        <v>72</v>
      </c>
      <c r="B224" s="1" t="s">
        <v>2425</v>
      </c>
      <c r="C224" s="1" t="s">
        <v>74</v>
      </c>
      <c r="D224" s="1" t="s">
        <v>74</v>
      </c>
      <c r="E224" s="1" t="s">
        <v>74</v>
      </c>
      <c r="F224" s="1" t="s">
        <v>2426</v>
      </c>
      <c r="G224" s="1" t="s">
        <v>74</v>
      </c>
      <c r="H224" s="1" t="s">
        <v>74</v>
      </c>
      <c r="I224" s="1" t="s">
        <v>2427</v>
      </c>
      <c r="J224" s="1" t="s">
        <v>2428</v>
      </c>
      <c r="K224" s="1" t="s">
        <v>74</v>
      </c>
      <c r="L224" s="1" t="s">
        <v>74</v>
      </c>
      <c r="M224" s="1" t="s">
        <v>74</v>
      </c>
      <c r="N224" s="1" t="s">
        <v>74</v>
      </c>
      <c r="O224" s="1" t="s">
        <v>74</v>
      </c>
      <c r="P224" s="1" t="s">
        <v>74</v>
      </c>
      <c r="Q224" s="1" t="s">
        <v>74</v>
      </c>
      <c r="R224" s="1" t="s">
        <v>74</v>
      </c>
      <c r="S224" s="1" t="s">
        <v>74</v>
      </c>
      <c r="T224" s="1" t="s">
        <v>74</v>
      </c>
      <c r="U224" s="1" t="s">
        <v>74</v>
      </c>
      <c r="V224" s="1" t="s">
        <v>2429</v>
      </c>
      <c r="W224" s="1" t="s">
        <v>74</v>
      </c>
      <c r="X224" s="1" t="s">
        <v>74</v>
      </c>
      <c r="Y224" s="1" t="s">
        <v>74</v>
      </c>
      <c r="Z224" s="1" t="s">
        <v>74</v>
      </c>
      <c r="AA224" s="1" t="s">
        <v>372</v>
      </c>
      <c r="AB224" s="1" t="s">
        <v>2430</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2431</v>
      </c>
      <c r="AP224" s="1" t="s">
        <v>2432</v>
      </c>
      <c r="AQ224" s="1" t="s">
        <v>74</v>
      </c>
      <c r="AR224" s="1" t="s">
        <v>74</v>
      </c>
      <c r="AS224" s="1" t="s">
        <v>74</v>
      </c>
      <c r="AT224" s="1" t="s">
        <v>200</v>
      </c>
      <c r="AU224" s="1">
        <v>2021.0</v>
      </c>
      <c r="AV224" s="1">
        <v>295.0</v>
      </c>
      <c r="AW224" s="1" t="s">
        <v>74</v>
      </c>
      <c r="AX224" s="1" t="s">
        <v>74</v>
      </c>
      <c r="AY224" s="1" t="s">
        <v>74</v>
      </c>
      <c r="AZ224" s="1" t="s">
        <v>74</v>
      </c>
      <c r="BA224" s="1" t="s">
        <v>74</v>
      </c>
      <c r="BB224" s="1" t="s">
        <v>74</v>
      </c>
      <c r="BC224" s="1" t="s">
        <v>74</v>
      </c>
      <c r="BD224" s="1">
        <v>129795.0</v>
      </c>
      <c r="BE224" s="1" t="s">
        <v>2433</v>
      </c>
      <c r="BF224" s="2" t="str">
        <f>HYPERLINK("http://dx.doi.org/10.1016/j.matlet.2021.129795","http://dx.doi.org/10.1016/j.matlet.2021.129795")</f>
        <v>http://dx.doi.org/10.1016/j.matlet.2021.129795</v>
      </c>
      <c r="BG224" s="1" t="s">
        <v>74</v>
      </c>
      <c r="BH224" s="1" t="s">
        <v>2434</v>
      </c>
      <c r="BI224" s="1" t="s">
        <v>74</v>
      </c>
      <c r="BJ224" s="1" t="s">
        <v>74</v>
      </c>
      <c r="BK224" s="1" t="s">
        <v>74</v>
      </c>
      <c r="BL224" s="1" t="s">
        <v>74</v>
      </c>
      <c r="BM224" s="1" t="s">
        <v>74</v>
      </c>
      <c r="BN224" s="1" t="s">
        <v>74</v>
      </c>
      <c r="BO224" s="1" t="s">
        <v>74</v>
      </c>
      <c r="BP224" s="1" t="s">
        <v>74</v>
      </c>
      <c r="BQ224" s="1" t="s">
        <v>74</v>
      </c>
      <c r="BR224" s="1" t="s">
        <v>74</v>
      </c>
      <c r="BS224" s="1" t="s">
        <v>2435</v>
      </c>
      <c r="BT224" s="1" t="str">
        <f>HYPERLINK("https%3A%2F%2Fwww.webofscience.com%2Fwos%2Fwoscc%2Ffull-record%2FWOS:000649681900027","View Full Record in Web of Science")</f>
        <v>View Full Record in Web of Science</v>
      </c>
    </row>
    <row r="225" ht="12.75" customHeight="1">
      <c r="A225" s="1" t="s">
        <v>72</v>
      </c>
      <c r="B225" s="1" t="s">
        <v>2436</v>
      </c>
      <c r="C225" s="1" t="s">
        <v>74</v>
      </c>
      <c r="D225" s="1" t="s">
        <v>74</v>
      </c>
      <c r="E225" s="1" t="s">
        <v>74</v>
      </c>
      <c r="F225" s="1" t="s">
        <v>2437</v>
      </c>
      <c r="G225" s="1" t="s">
        <v>74</v>
      </c>
      <c r="H225" s="1" t="s">
        <v>74</v>
      </c>
      <c r="I225" s="1" t="s">
        <v>2438</v>
      </c>
      <c r="J225" s="1" t="s">
        <v>1803</v>
      </c>
      <c r="K225" s="1" t="s">
        <v>74</v>
      </c>
      <c r="L225" s="1" t="s">
        <v>74</v>
      </c>
      <c r="M225" s="1" t="s">
        <v>74</v>
      </c>
      <c r="N225" s="1" t="s">
        <v>74</v>
      </c>
      <c r="O225" s="1" t="s">
        <v>74</v>
      </c>
      <c r="P225" s="1" t="s">
        <v>74</v>
      </c>
      <c r="Q225" s="1" t="s">
        <v>74</v>
      </c>
      <c r="R225" s="1" t="s">
        <v>74</v>
      </c>
      <c r="S225" s="1" t="s">
        <v>74</v>
      </c>
      <c r="T225" s="1" t="s">
        <v>74</v>
      </c>
      <c r="U225" s="1" t="s">
        <v>74</v>
      </c>
      <c r="V225" s="1" t="s">
        <v>2439</v>
      </c>
      <c r="W225" s="1" t="s">
        <v>74</v>
      </c>
      <c r="X225" s="1" t="s">
        <v>74</v>
      </c>
      <c r="Y225" s="1" t="s">
        <v>74</v>
      </c>
      <c r="Z225" s="1" t="s">
        <v>74</v>
      </c>
      <c r="AA225" s="1" t="s">
        <v>2440</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1807</v>
      </c>
      <c r="AP225" s="1" t="s">
        <v>1808</v>
      </c>
      <c r="AQ225" s="1" t="s">
        <v>74</v>
      </c>
      <c r="AR225" s="1" t="s">
        <v>74</v>
      </c>
      <c r="AS225" s="1" t="s">
        <v>74</v>
      </c>
      <c r="AT225" s="1" t="s">
        <v>2441</v>
      </c>
      <c r="AU225" s="1">
        <v>2021.0</v>
      </c>
      <c r="AV225" s="1">
        <v>289.0</v>
      </c>
      <c r="AW225" s="1" t="s">
        <v>74</v>
      </c>
      <c r="AX225" s="1" t="s">
        <v>74</v>
      </c>
      <c r="AY225" s="1" t="s">
        <v>74</v>
      </c>
      <c r="AZ225" s="1" t="s">
        <v>74</v>
      </c>
      <c r="BA225" s="1" t="s">
        <v>74</v>
      </c>
      <c r="BB225" s="1" t="s">
        <v>74</v>
      </c>
      <c r="BC225" s="1" t="s">
        <v>74</v>
      </c>
      <c r="BD225" s="1">
        <v>125839.0</v>
      </c>
      <c r="BE225" s="1" t="s">
        <v>2442</v>
      </c>
      <c r="BF225" s="2" t="str">
        <f>HYPERLINK("http://dx.doi.org/10.1016/j.jclepro.2021.125839","http://dx.doi.org/10.1016/j.jclepro.2021.125839")</f>
        <v>http://dx.doi.org/10.1016/j.jclepro.2021.125839</v>
      </c>
      <c r="BG225" s="1" t="s">
        <v>74</v>
      </c>
      <c r="BH225" s="1" t="s">
        <v>2027</v>
      </c>
      <c r="BI225" s="1" t="s">
        <v>74</v>
      </c>
      <c r="BJ225" s="1" t="s">
        <v>74</v>
      </c>
      <c r="BK225" s="1" t="s">
        <v>74</v>
      </c>
      <c r="BL225" s="1" t="s">
        <v>74</v>
      </c>
      <c r="BM225" s="1" t="s">
        <v>74</v>
      </c>
      <c r="BN225" s="1" t="s">
        <v>74</v>
      </c>
      <c r="BO225" s="1" t="s">
        <v>74</v>
      </c>
      <c r="BP225" s="1" t="s">
        <v>74</v>
      </c>
      <c r="BQ225" s="1" t="s">
        <v>74</v>
      </c>
      <c r="BR225" s="1" t="s">
        <v>74</v>
      </c>
      <c r="BS225" s="1" t="s">
        <v>2443</v>
      </c>
      <c r="BT225" s="1" t="str">
        <f>HYPERLINK("https%3A%2F%2Fwww.webofscience.com%2Fwos%2Fwoscc%2Ffull-record%2FWOS:000620273900016","View Full Record in Web of Science")</f>
        <v>View Full Record in Web of Science</v>
      </c>
    </row>
    <row r="226" ht="12.75" customHeight="1">
      <c r="A226" s="1" t="s">
        <v>72</v>
      </c>
      <c r="B226" s="1" t="s">
        <v>2444</v>
      </c>
      <c r="C226" s="1" t="s">
        <v>74</v>
      </c>
      <c r="D226" s="1" t="s">
        <v>74</v>
      </c>
      <c r="E226" s="1" t="s">
        <v>74</v>
      </c>
      <c r="F226" s="1" t="s">
        <v>2445</v>
      </c>
      <c r="G226" s="1" t="s">
        <v>74</v>
      </c>
      <c r="H226" s="1" t="s">
        <v>74</v>
      </c>
      <c r="I226" s="1" t="s">
        <v>2446</v>
      </c>
      <c r="J226" s="1" t="s">
        <v>2447</v>
      </c>
      <c r="K226" s="1" t="s">
        <v>74</v>
      </c>
      <c r="L226" s="1" t="s">
        <v>74</v>
      </c>
      <c r="M226" s="1" t="s">
        <v>74</v>
      </c>
      <c r="N226" s="1" t="s">
        <v>74</v>
      </c>
      <c r="O226" s="1" t="s">
        <v>74</v>
      </c>
      <c r="P226" s="1" t="s">
        <v>74</v>
      </c>
      <c r="Q226" s="1" t="s">
        <v>74</v>
      </c>
      <c r="R226" s="1" t="s">
        <v>74</v>
      </c>
      <c r="S226" s="1" t="s">
        <v>74</v>
      </c>
      <c r="T226" s="1" t="s">
        <v>74</v>
      </c>
      <c r="U226" s="1" t="s">
        <v>74</v>
      </c>
      <c r="V226" s="1" t="s">
        <v>2448</v>
      </c>
      <c r="W226" s="1" t="s">
        <v>74</v>
      </c>
      <c r="X226" s="1" t="s">
        <v>74</v>
      </c>
      <c r="Y226" s="1" t="s">
        <v>74</v>
      </c>
      <c r="Z226" s="1" t="s">
        <v>74</v>
      </c>
      <c r="AA226" s="1" t="s">
        <v>2449</v>
      </c>
      <c r="AB226" s="1" t="s">
        <v>2450</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2451</v>
      </c>
      <c r="AP226" s="1" t="s">
        <v>2452</v>
      </c>
      <c r="AQ226" s="1" t="s">
        <v>74</v>
      </c>
      <c r="AR226" s="1" t="s">
        <v>74</v>
      </c>
      <c r="AS226" s="1" t="s">
        <v>74</v>
      </c>
      <c r="AT226" s="1" t="s">
        <v>176</v>
      </c>
      <c r="AU226" s="1">
        <v>2021.0</v>
      </c>
      <c r="AV226" s="1">
        <v>13.0</v>
      </c>
      <c r="AW226" s="1">
        <v>4.0</v>
      </c>
      <c r="AX226" s="1" t="s">
        <v>74</v>
      </c>
      <c r="AY226" s="1" t="s">
        <v>74</v>
      </c>
      <c r="AZ226" s="1" t="s">
        <v>74</v>
      </c>
      <c r="BA226" s="1" t="s">
        <v>74</v>
      </c>
      <c r="BB226" s="1">
        <v>309.0</v>
      </c>
      <c r="BC226" s="1">
        <v>326.0</v>
      </c>
      <c r="BD226" s="1" t="s">
        <v>74</v>
      </c>
      <c r="BE226" s="1" t="s">
        <v>2453</v>
      </c>
      <c r="BF226" s="2" t="str">
        <f>HYPERLINK("http://dx.doi.org/10.2217/imt-2020-0209","http://dx.doi.org/10.2217/imt-2020-0209")</f>
        <v>http://dx.doi.org/10.2217/imt-2020-0209</v>
      </c>
      <c r="BG226" s="1" t="s">
        <v>74</v>
      </c>
      <c r="BH226" s="1" t="s">
        <v>2027</v>
      </c>
      <c r="BI226" s="1" t="s">
        <v>74</v>
      </c>
      <c r="BJ226" s="1" t="s">
        <v>74</v>
      </c>
      <c r="BK226" s="1" t="s">
        <v>74</v>
      </c>
      <c r="BL226" s="1" t="s">
        <v>74</v>
      </c>
      <c r="BM226" s="1" t="s">
        <v>74</v>
      </c>
      <c r="BN226" s="1">
        <v>3.3397152E7</v>
      </c>
      <c r="BO226" s="1" t="s">
        <v>74</v>
      </c>
      <c r="BP226" s="1" t="s">
        <v>74</v>
      </c>
      <c r="BQ226" s="1" t="s">
        <v>74</v>
      </c>
      <c r="BR226" s="1" t="s">
        <v>74</v>
      </c>
      <c r="BS226" s="1" t="s">
        <v>2454</v>
      </c>
      <c r="BT226" s="1" t="str">
        <f>HYPERLINK("https%3A%2F%2Fwww.webofscience.com%2Fwos%2Fwoscc%2Ffull-record%2FWOS:000604907900001","View Full Record in Web of Science")</f>
        <v>View Full Record in Web of Science</v>
      </c>
    </row>
    <row r="227" ht="12.75" customHeight="1">
      <c r="A227" s="1" t="s">
        <v>72</v>
      </c>
      <c r="B227" s="1" t="s">
        <v>2455</v>
      </c>
      <c r="C227" s="1" t="s">
        <v>74</v>
      </c>
      <c r="D227" s="1" t="s">
        <v>74</v>
      </c>
      <c r="E227" s="1" t="s">
        <v>74</v>
      </c>
      <c r="F227" s="1" t="s">
        <v>2456</v>
      </c>
      <c r="G227" s="1" t="s">
        <v>74</v>
      </c>
      <c r="H227" s="1" t="s">
        <v>74</v>
      </c>
      <c r="I227" s="1" t="s">
        <v>2457</v>
      </c>
      <c r="J227" s="1" t="s">
        <v>2458</v>
      </c>
      <c r="K227" s="1" t="s">
        <v>74</v>
      </c>
      <c r="L227" s="1" t="s">
        <v>74</v>
      </c>
      <c r="M227" s="1" t="s">
        <v>74</v>
      </c>
      <c r="N227" s="1" t="s">
        <v>74</v>
      </c>
      <c r="O227" s="1" t="s">
        <v>74</v>
      </c>
      <c r="P227" s="1" t="s">
        <v>74</v>
      </c>
      <c r="Q227" s="1" t="s">
        <v>74</v>
      </c>
      <c r="R227" s="1" t="s">
        <v>74</v>
      </c>
      <c r="S227" s="1" t="s">
        <v>74</v>
      </c>
      <c r="T227" s="1" t="s">
        <v>74</v>
      </c>
      <c r="U227" s="1" t="s">
        <v>74</v>
      </c>
      <c r="V227" s="1" t="s">
        <v>2459</v>
      </c>
      <c r="W227" s="1" t="s">
        <v>74</v>
      </c>
      <c r="X227" s="1" t="s">
        <v>74</v>
      </c>
      <c r="Y227" s="1" t="s">
        <v>74</v>
      </c>
      <c r="Z227" s="1" t="s">
        <v>74</v>
      </c>
      <c r="AA227" s="1" t="s">
        <v>2460</v>
      </c>
      <c r="AB227" s="1" t="s">
        <v>2461</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2462</v>
      </c>
      <c r="AP227" s="1" t="s">
        <v>2463</v>
      </c>
      <c r="AQ227" s="1" t="s">
        <v>74</v>
      </c>
      <c r="AR227" s="1" t="s">
        <v>74</v>
      </c>
      <c r="AS227" s="1" t="s">
        <v>74</v>
      </c>
      <c r="AT227" s="1" t="s">
        <v>74</v>
      </c>
      <c r="AU227" s="1">
        <v>2021.0</v>
      </c>
      <c r="AV227" s="1">
        <v>81.0</v>
      </c>
      <c r="AW227" s="1">
        <v>3.0</v>
      </c>
      <c r="AX227" s="1" t="s">
        <v>74</v>
      </c>
      <c r="AY227" s="1" t="s">
        <v>74</v>
      </c>
      <c r="AZ227" s="1" t="s">
        <v>74</v>
      </c>
      <c r="BA227" s="1" t="s">
        <v>74</v>
      </c>
      <c r="BB227" s="1">
        <v>1231.0</v>
      </c>
      <c r="BC227" s="1">
        <v>1241.0</v>
      </c>
      <c r="BD227" s="1" t="s">
        <v>74</v>
      </c>
      <c r="BE227" s="1" t="s">
        <v>2464</v>
      </c>
      <c r="BF227" s="2" t="str">
        <f>HYPERLINK("http://dx.doi.org/10.3233/JAD-201501","http://dx.doi.org/10.3233/JAD-201501")</f>
        <v>http://dx.doi.org/10.3233/JAD-201501</v>
      </c>
      <c r="BG227" s="1" t="s">
        <v>74</v>
      </c>
      <c r="BH227" s="1" t="s">
        <v>74</v>
      </c>
      <c r="BI227" s="1" t="s">
        <v>74</v>
      </c>
      <c r="BJ227" s="1" t="s">
        <v>74</v>
      </c>
      <c r="BK227" s="1" t="s">
        <v>74</v>
      </c>
      <c r="BL227" s="1" t="s">
        <v>74</v>
      </c>
      <c r="BM227" s="1" t="s">
        <v>74</v>
      </c>
      <c r="BN227" s="1">
        <v>3.393508E7</v>
      </c>
      <c r="BO227" s="1" t="s">
        <v>74</v>
      </c>
      <c r="BP227" s="1" t="s">
        <v>74</v>
      </c>
      <c r="BQ227" s="1" t="s">
        <v>74</v>
      </c>
      <c r="BR227" s="1" t="s">
        <v>74</v>
      </c>
      <c r="BS227" s="1" t="s">
        <v>2465</v>
      </c>
      <c r="BT227" s="1" t="str">
        <f>HYPERLINK("https%3A%2F%2Fwww.webofscience.com%2Fwos%2Fwoscc%2Ffull-record%2FWOS:000658395500024","View Full Record in Web of Science")</f>
        <v>View Full Record in Web of Science</v>
      </c>
    </row>
    <row r="228" ht="12.75" customHeight="1">
      <c r="A228" s="1" t="s">
        <v>1844</v>
      </c>
      <c r="B228" s="1" t="s">
        <v>2466</v>
      </c>
      <c r="C228" s="1" t="s">
        <v>74</v>
      </c>
      <c r="D228" s="1" t="s">
        <v>2466</v>
      </c>
      <c r="E228" s="1" t="s">
        <v>74</v>
      </c>
      <c r="F228" s="1" t="s">
        <v>2467</v>
      </c>
      <c r="G228" s="1" t="s">
        <v>74</v>
      </c>
      <c r="H228" s="1" t="s">
        <v>74</v>
      </c>
      <c r="I228" s="1" t="s">
        <v>2468</v>
      </c>
      <c r="J228" s="1" t="s">
        <v>2469</v>
      </c>
      <c r="K228" s="1" t="s">
        <v>74</v>
      </c>
      <c r="L228" s="1" t="s">
        <v>74</v>
      </c>
      <c r="M228" s="1" t="s">
        <v>74</v>
      </c>
      <c r="N228" s="1" t="s">
        <v>74</v>
      </c>
      <c r="O228" s="1" t="s">
        <v>74</v>
      </c>
      <c r="P228" s="1" t="s">
        <v>74</v>
      </c>
      <c r="Q228" s="1" t="s">
        <v>74</v>
      </c>
      <c r="R228" s="1" t="s">
        <v>74</v>
      </c>
      <c r="S228" s="1" t="s">
        <v>74</v>
      </c>
      <c r="T228" s="1" t="s">
        <v>74</v>
      </c>
      <c r="U228" s="1" t="s">
        <v>74</v>
      </c>
      <c r="V228" s="1" t="s">
        <v>74</v>
      </c>
      <c r="W228" s="1" t="s">
        <v>74</v>
      </c>
      <c r="X228" s="1" t="s">
        <v>74</v>
      </c>
      <c r="Y228" s="1" t="s">
        <v>74</v>
      </c>
      <c r="Z228" s="1" t="s">
        <v>74</v>
      </c>
      <c r="AA228" s="1" t="s">
        <v>2470</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74</v>
      </c>
      <c r="AP228" s="1" t="s">
        <v>74</v>
      </c>
      <c r="AQ228" s="1" t="s">
        <v>2471</v>
      </c>
      <c r="AR228" s="1" t="s">
        <v>74</v>
      </c>
      <c r="AS228" s="1" t="s">
        <v>74</v>
      </c>
      <c r="AT228" s="1" t="s">
        <v>74</v>
      </c>
      <c r="AU228" s="1">
        <v>2021.0</v>
      </c>
      <c r="AV228" s="1" t="s">
        <v>74</v>
      </c>
      <c r="AW228" s="1" t="s">
        <v>74</v>
      </c>
      <c r="AX228" s="1" t="s">
        <v>74</v>
      </c>
      <c r="AY228" s="1" t="s">
        <v>74</v>
      </c>
      <c r="AZ228" s="1" t="s">
        <v>74</v>
      </c>
      <c r="BA228" s="1" t="s">
        <v>74</v>
      </c>
      <c r="BB228" s="1">
        <v>9.0</v>
      </c>
      <c r="BC228" s="1">
        <v>11.0</v>
      </c>
      <c r="BD228" s="1" t="s">
        <v>74</v>
      </c>
      <c r="BE228" s="1" t="s">
        <v>74</v>
      </c>
      <c r="BF228" s="1" t="s">
        <v>74</v>
      </c>
      <c r="BG228" s="1" t="s">
        <v>2472</v>
      </c>
      <c r="BH228" s="1" t="s">
        <v>74</v>
      </c>
      <c r="BI228" s="1" t="s">
        <v>74</v>
      </c>
      <c r="BJ228" s="1" t="s">
        <v>74</v>
      </c>
      <c r="BK228" s="1" t="s">
        <v>74</v>
      </c>
      <c r="BL228" s="1" t="s">
        <v>74</v>
      </c>
      <c r="BM228" s="1" t="s">
        <v>74</v>
      </c>
      <c r="BN228" s="1" t="s">
        <v>74</v>
      </c>
      <c r="BO228" s="1" t="s">
        <v>74</v>
      </c>
      <c r="BP228" s="1" t="s">
        <v>74</v>
      </c>
      <c r="BQ228" s="1" t="s">
        <v>74</v>
      </c>
      <c r="BR228" s="1" t="s">
        <v>74</v>
      </c>
      <c r="BS228" s="1" t="s">
        <v>2473</v>
      </c>
      <c r="BT228" s="1" t="str">
        <f>HYPERLINK("https%3A%2F%2Fwww.webofscience.com%2Fwos%2Fwoscc%2Ffull-record%2FWOS:000762613700001","View Full Record in Web of Science")</f>
        <v>View Full Record in Web of Science</v>
      </c>
    </row>
    <row r="229" ht="12.75" customHeight="1">
      <c r="A229" s="1" t="s">
        <v>72</v>
      </c>
      <c r="B229" s="1" t="s">
        <v>2474</v>
      </c>
      <c r="C229" s="1" t="s">
        <v>74</v>
      </c>
      <c r="D229" s="1" t="s">
        <v>74</v>
      </c>
      <c r="E229" s="1" t="s">
        <v>74</v>
      </c>
      <c r="F229" s="1" t="s">
        <v>2475</v>
      </c>
      <c r="G229" s="1" t="s">
        <v>74</v>
      </c>
      <c r="H229" s="1" t="s">
        <v>74</v>
      </c>
      <c r="I229" s="1" t="s">
        <v>2476</v>
      </c>
      <c r="J229" s="1" t="s">
        <v>2477</v>
      </c>
      <c r="K229" s="1" t="s">
        <v>74</v>
      </c>
      <c r="L229" s="1" t="s">
        <v>74</v>
      </c>
      <c r="M229" s="1" t="s">
        <v>74</v>
      </c>
      <c r="N229" s="1" t="s">
        <v>74</v>
      </c>
      <c r="O229" s="1" t="s">
        <v>74</v>
      </c>
      <c r="P229" s="1" t="s">
        <v>74</v>
      </c>
      <c r="Q229" s="1" t="s">
        <v>74</v>
      </c>
      <c r="R229" s="1" t="s">
        <v>74</v>
      </c>
      <c r="S229" s="1" t="s">
        <v>74</v>
      </c>
      <c r="T229" s="1" t="s">
        <v>74</v>
      </c>
      <c r="U229" s="1" t="s">
        <v>74</v>
      </c>
      <c r="V229" s="1" t="s">
        <v>2478</v>
      </c>
      <c r="W229" s="1" t="s">
        <v>74</v>
      </c>
      <c r="X229" s="1" t="s">
        <v>74</v>
      </c>
      <c r="Y229" s="1" t="s">
        <v>74</v>
      </c>
      <c r="Z229" s="1" t="s">
        <v>74</v>
      </c>
      <c r="AA229" s="1" t="s">
        <v>2479</v>
      </c>
      <c r="AB229" s="1" t="s">
        <v>2480</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74</v>
      </c>
      <c r="AP229" s="1" t="s">
        <v>2481</v>
      </c>
      <c r="AQ229" s="1" t="s">
        <v>74</v>
      </c>
      <c r="AR229" s="1" t="s">
        <v>74</v>
      </c>
      <c r="AS229" s="1" t="s">
        <v>74</v>
      </c>
      <c r="AT229" s="1" t="s">
        <v>83</v>
      </c>
      <c r="AU229" s="1">
        <v>2020.0</v>
      </c>
      <c r="AV229" s="1">
        <v>9.0</v>
      </c>
      <c r="AW229" s="1">
        <v>12.0</v>
      </c>
      <c r="AX229" s="1" t="s">
        <v>74</v>
      </c>
      <c r="AY229" s="1" t="s">
        <v>74</v>
      </c>
      <c r="AZ229" s="1" t="s">
        <v>74</v>
      </c>
      <c r="BA229" s="1" t="s">
        <v>74</v>
      </c>
      <c r="BB229" s="1" t="s">
        <v>74</v>
      </c>
      <c r="BC229" s="1" t="s">
        <v>74</v>
      </c>
      <c r="BD229" s="1">
        <v>1272.0</v>
      </c>
      <c r="BE229" s="1" t="s">
        <v>2482</v>
      </c>
      <c r="BF229" s="2" t="str">
        <f>HYPERLINK("http://dx.doi.org/10.3390/antiox9121272","http://dx.doi.org/10.3390/antiox9121272")</f>
        <v>http://dx.doi.org/10.3390/antiox9121272</v>
      </c>
      <c r="BG229" s="1" t="s">
        <v>74</v>
      </c>
      <c r="BH229" s="1" t="s">
        <v>74</v>
      </c>
      <c r="BI229" s="1" t="s">
        <v>74</v>
      </c>
      <c r="BJ229" s="1" t="s">
        <v>74</v>
      </c>
      <c r="BK229" s="1" t="s">
        <v>74</v>
      </c>
      <c r="BL229" s="1" t="s">
        <v>74</v>
      </c>
      <c r="BM229" s="1" t="s">
        <v>74</v>
      </c>
      <c r="BN229" s="1">
        <v>3.332759E7</v>
      </c>
      <c r="BO229" s="1" t="s">
        <v>74</v>
      </c>
      <c r="BP229" s="1" t="s">
        <v>74</v>
      </c>
      <c r="BQ229" s="1" t="s">
        <v>74</v>
      </c>
      <c r="BR229" s="1" t="s">
        <v>74</v>
      </c>
      <c r="BS229" s="1" t="s">
        <v>2483</v>
      </c>
      <c r="BT229" s="1" t="str">
        <f>HYPERLINK("https%3A%2F%2Fwww.webofscience.com%2Fwos%2Fwoscc%2Ffull-record%2FWOS:000602249500001","View Full Record in Web of Science")</f>
        <v>View Full Record in Web of Science</v>
      </c>
    </row>
    <row r="230" ht="12.75" customHeight="1">
      <c r="A230" s="1" t="s">
        <v>72</v>
      </c>
      <c r="B230" s="1" t="s">
        <v>2484</v>
      </c>
      <c r="C230" s="1" t="s">
        <v>74</v>
      </c>
      <c r="D230" s="1" t="s">
        <v>74</v>
      </c>
      <c r="E230" s="1" t="s">
        <v>74</v>
      </c>
      <c r="F230" s="1" t="s">
        <v>2485</v>
      </c>
      <c r="G230" s="1" t="s">
        <v>74</v>
      </c>
      <c r="H230" s="1" t="s">
        <v>74</v>
      </c>
      <c r="I230" s="1" t="s">
        <v>2486</v>
      </c>
      <c r="J230" s="1" t="s">
        <v>2487</v>
      </c>
      <c r="K230" s="1" t="s">
        <v>74</v>
      </c>
      <c r="L230" s="1" t="s">
        <v>74</v>
      </c>
      <c r="M230" s="1" t="s">
        <v>74</v>
      </c>
      <c r="N230" s="1" t="s">
        <v>74</v>
      </c>
      <c r="O230" s="1" t="s">
        <v>74</v>
      </c>
      <c r="P230" s="1" t="s">
        <v>74</v>
      </c>
      <c r="Q230" s="1" t="s">
        <v>74</v>
      </c>
      <c r="R230" s="1" t="s">
        <v>74</v>
      </c>
      <c r="S230" s="1" t="s">
        <v>74</v>
      </c>
      <c r="T230" s="1" t="s">
        <v>74</v>
      </c>
      <c r="U230" s="1" t="s">
        <v>74</v>
      </c>
      <c r="V230" s="1" t="s">
        <v>2488</v>
      </c>
      <c r="W230" s="1" t="s">
        <v>74</v>
      </c>
      <c r="X230" s="1" t="s">
        <v>74</v>
      </c>
      <c r="Y230" s="1" t="s">
        <v>74</v>
      </c>
      <c r="Z230" s="1" t="s">
        <v>74</v>
      </c>
      <c r="AA230" s="1" t="s">
        <v>2489</v>
      </c>
      <c r="AB230" s="1" t="s">
        <v>2490</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74</v>
      </c>
      <c r="AP230" s="1" t="s">
        <v>2491</v>
      </c>
      <c r="AQ230" s="1" t="s">
        <v>74</v>
      </c>
      <c r="AR230" s="1" t="s">
        <v>74</v>
      </c>
      <c r="AS230" s="1" t="s">
        <v>74</v>
      </c>
      <c r="AT230" s="1" t="s">
        <v>2492</v>
      </c>
      <c r="AU230" s="1">
        <v>2020.0</v>
      </c>
      <c r="AV230" s="1">
        <v>11.0</v>
      </c>
      <c r="AW230" s="1" t="s">
        <v>74</v>
      </c>
      <c r="AX230" s="1" t="s">
        <v>74</v>
      </c>
      <c r="AY230" s="1" t="s">
        <v>74</v>
      </c>
      <c r="AZ230" s="1" t="s">
        <v>74</v>
      </c>
      <c r="BA230" s="1" t="s">
        <v>74</v>
      </c>
      <c r="BB230" s="1" t="s">
        <v>74</v>
      </c>
      <c r="BC230" s="1" t="s">
        <v>74</v>
      </c>
      <c r="BD230" s="1">
        <v>145.0</v>
      </c>
      <c r="BE230" s="1" t="s">
        <v>2493</v>
      </c>
      <c r="BF230" s="2" t="str">
        <f>HYPERLINK("http://dx.doi.org/10.3389/fphar.2020.00145","http://dx.doi.org/10.3389/fphar.2020.00145")</f>
        <v>http://dx.doi.org/10.3389/fphar.2020.00145</v>
      </c>
      <c r="BG230" s="1" t="s">
        <v>74</v>
      </c>
      <c r="BH230" s="1" t="s">
        <v>74</v>
      </c>
      <c r="BI230" s="1" t="s">
        <v>74</v>
      </c>
      <c r="BJ230" s="1" t="s">
        <v>74</v>
      </c>
      <c r="BK230" s="1" t="s">
        <v>74</v>
      </c>
      <c r="BL230" s="1" t="s">
        <v>74</v>
      </c>
      <c r="BM230" s="1" t="s">
        <v>74</v>
      </c>
      <c r="BN230" s="1">
        <v>3.2226378E7</v>
      </c>
      <c r="BO230" s="1" t="s">
        <v>74</v>
      </c>
      <c r="BP230" s="1" t="s">
        <v>74</v>
      </c>
      <c r="BQ230" s="1" t="s">
        <v>74</v>
      </c>
      <c r="BR230" s="1" t="s">
        <v>74</v>
      </c>
      <c r="BS230" s="1" t="s">
        <v>2494</v>
      </c>
      <c r="BT230" s="1" t="str">
        <f>HYPERLINK("https%3A%2F%2Fwww.webofscience.com%2Fwos%2Fwoscc%2Ffull-record%2FWOS:000525582900001","View Full Record in Web of Science")</f>
        <v>View Full Record in Web of Science</v>
      </c>
    </row>
    <row r="231" ht="12.75" customHeight="1">
      <c r="A231" s="1" t="s">
        <v>72</v>
      </c>
      <c r="B231" s="1" t="s">
        <v>2495</v>
      </c>
      <c r="C231" s="1" t="s">
        <v>74</v>
      </c>
      <c r="D231" s="1" t="s">
        <v>74</v>
      </c>
      <c r="E231" s="1" t="s">
        <v>74</v>
      </c>
      <c r="F231" s="1" t="s">
        <v>2496</v>
      </c>
      <c r="G231" s="1" t="s">
        <v>74</v>
      </c>
      <c r="H231" s="1" t="s">
        <v>74</v>
      </c>
      <c r="I231" s="1" t="s">
        <v>2497</v>
      </c>
      <c r="J231" s="1" t="s">
        <v>2458</v>
      </c>
      <c r="K231" s="1" t="s">
        <v>74</v>
      </c>
      <c r="L231" s="1" t="s">
        <v>74</v>
      </c>
      <c r="M231" s="1" t="s">
        <v>74</v>
      </c>
      <c r="N231" s="1" t="s">
        <v>74</v>
      </c>
      <c r="O231" s="1" t="s">
        <v>74</v>
      </c>
      <c r="P231" s="1" t="s">
        <v>74</v>
      </c>
      <c r="Q231" s="1" t="s">
        <v>74</v>
      </c>
      <c r="R231" s="1" t="s">
        <v>74</v>
      </c>
      <c r="S231" s="1" t="s">
        <v>74</v>
      </c>
      <c r="T231" s="1" t="s">
        <v>74</v>
      </c>
      <c r="U231" s="1" t="s">
        <v>74</v>
      </c>
      <c r="V231" s="1" t="s">
        <v>2498</v>
      </c>
      <c r="W231" s="1" t="s">
        <v>74</v>
      </c>
      <c r="X231" s="1" t="s">
        <v>74</v>
      </c>
      <c r="Y231" s="1" t="s">
        <v>74</v>
      </c>
      <c r="Z231" s="1" t="s">
        <v>74</v>
      </c>
      <c r="AA231" s="1" t="s">
        <v>2499</v>
      </c>
      <c r="AB231" s="1" t="s">
        <v>2500</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2462</v>
      </c>
      <c r="AP231" s="1" t="s">
        <v>2463</v>
      </c>
      <c r="AQ231" s="1" t="s">
        <v>74</v>
      </c>
      <c r="AR231" s="1" t="s">
        <v>74</v>
      </c>
      <c r="AS231" s="1" t="s">
        <v>74</v>
      </c>
      <c r="AT231" s="1" t="s">
        <v>74</v>
      </c>
      <c r="AU231" s="1">
        <v>2020.0</v>
      </c>
      <c r="AV231" s="1">
        <v>75.0</v>
      </c>
      <c r="AW231" s="1">
        <v>4.0</v>
      </c>
      <c r="AX231" s="1" t="s">
        <v>74</v>
      </c>
      <c r="AY231" s="1" t="s">
        <v>74</v>
      </c>
      <c r="AZ231" s="1" t="s">
        <v>74</v>
      </c>
      <c r="BA231" s="1" t="s">
        <v>74</v>
      </c>
      <c r="BB231" s="1">
        <v>1219.0</v>
      </c>
      <c r="BC231" s="1">
        <v>1227.0</v>
      </c>
      <c r="BD231" s="1" t="s">
        <v>74</v>
      </c>
      <c r="BE231" s="1" t="s">
        <v>2501</v>
      </c>
      <c r="BF231" s="2" t="str">
        <f>HYPERLINK("http://dx.doi.org/10.3233/JAD-200067","http://dx.doi.org/10.3233/JAD-200067")</f>
        <v>http://dx.doi.org/10.3233/JAD-200067</v>
      </c>
      <c r="BG231" s="1" t="s">
        <v>74</v>
      </c>
      <c r="BH231" s="1" t="s">
        <v>74</v>
      </c>
      <c r="BI231" s="1" t="s">
        <v>74</v>
      </c>
      <c r="BJ231" s="1" t="s">
        <v>74</v>
      </c>
      <c r="BK231" s="1" t="s">
        <v>74</v>
      </c>
      <c r="BL231" s="1" t="s">
        <v>74</v>
      </c>
      <c r="BM231" s="1" t="s">
        <v>74</v>
      </c>
      <c r="BN231" s="1">
        <v>3.2390631E7</v>
      </c>
      <c r="BO231" s="1" t="s">
        <v>74</v>
      </c>
      <c r="BP231" s="1" t="s">
        <v>74</v>
      </c>
      <c r="BQ231" s="1" t="s">
        <v>74</v>
      </c>
      <c r="BR231" s="1" t="s">
        <v>74</v>
      </c>
      <c r="BS231" s="1" t="s">
        <v>2502</v>
      </c>
      <c r="BT231" s="1" t="str">
        <f>HYPERLINK("https%3A%2F%2Fwww.webofscience.com%2Fwos%2Fwoscc%2Ffull-record%2FWOS:000550022100014","View Full Record in Web of Science")</f>
        <v>View Full Record in Web of Science</v>
      </c>
    </row>
    <row r="232" ht="12.75" customHeight="1">
      <c r="A232" s="1" t="s">
        <v>72</v>
      </c>
      <c r="B232" s="1" t="s">
        <v>2503</v>
      </c>
      <c r="C232" s="1" t="s">
        <v>74</v>
      </c>
      <c r="D232" s="1" t="s">
        <v>74</v>
      </c>
      <c r="E232" s="1" t="s">
        <v>74</v>
      </c>
      <c r="F232" s="1" t="s">
        <v>2504</v>
      </c>
      <c r="G232" s="1" t="s">
        <v>74</v>
      </c>
      <c r="H232" s="1" t="s">
        <v>74</v>
      </c>
      <c r="I232" s="1" t="s">
        <v>2505</v>
      </c>
      <c r="J232" s="1" t="s">
        <v>134</v>
      </c>
      <c r="K232" s="1" t="s">
        <v>74</v>
      </c>
      <c r="L232" s="1" t="s">
        <v>74</v>
      </c>
      <c r="M232" s="1" t="s">
        <v>74</v>
      </c>
      <c r="N232" s="1" t="s">
        <v>74</v>
      </c>
      <c r="O232" s="1" t="s">
        <v>74</v>
      </c>
      <c r="P232" s="1" t="s">
        <v>74</v>
      </c>
      <c r="Q232" s="1" t="s">
        <v>74</v>
      </c>
      <c r="R232" s="1" t="s">
        <v>74</v>
      </c>
      <c r="S232" s="1" t="s">
        <v>74</v>
      </c>
      <c r="T232" s="1" t="s">
        <v>74</v>
      </c>
      <c r="U232" s="1" t="s">
        <v>74</v>
      </c>
      <c r="V232" s="1" t="s">
        <v>2506</v>
      </c>
      <c r="W232" s="1" t="s">
        <v>74</v>
      </c>
      <c r="X232" s="1" t="s">
        <v>74</v>
      </c>
      <c r="Y232" s="1" t="s">
        <v>74</v>
      </c>
      <c r="Z232" s="1" t="s">
        <v>74</v>
      </c>
      <c r="AA232" s="1" t="s">
        <v>2507</v>
      </c>
      <c r="AB232" s="1" t="s">
        <v>2508</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138</v>
      </c>
      <c r="AP232" s="1" t="s">
        <v>2509</v>
      </c>
      <c r="AQ232" s="1" t="s">
        <v>74</v>
      </c>
      <c r="AR232" s="1" t="s">
        <v>74</v>
      </c>
      <c r="AS232" s="1" t="s">
        <v>74</v>
      </c>
      <c r="AT232" s="1" t="s">
        <v>2510</v>
      </c>
      <c r="AU232" s="1">
        <v>2020.0</v>
      </c>
      <c r="AV232" s="1">
        <v>23.0</v>
      </c>
      <c r="AW232" s="1">
        <v>1.0</v>
      </c>
      <c r="AX232" s="1" t="s">
        <v>74</v>
      </c>
      <c r="AY232" s="1" t="s">
        <v>74</v>
      </c>
      <c r="AZ232" s="1" t="s">
        <v>74</v>
      </c>
      <c r="BA232" s="1" t="s">
        <v>74</v>
      </c>
      <c r="BB232" s="1" t="s">
        <v>74</v>
      </c>
      <c r="BC232" s="1" t="s">
        <v>74</v>
      </c>
      <c r="BD232" s="1">
        <v>2.340944420898981E15</v>
      </c>
      <c r="BE232" s="1" t="s">
        <v>2511</v>
      </c>
      <c r="BF232" s="2" t="str">
        <f>HYPERLINK("http://dx.doi.org/10.1177/2340944420898981","http://dx.doi.org/10.1177/2340944420898981")</f>
        <v>http://dx.doi.org/10.1177/2340944420898981</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2512</v>
      </c>
      <c r="BT232" s="1" t="str">
        <f>HYPERLINK("https%3A%2F%2Fwww.webofscience.com%2Fwos%2Fwoscc%2Ffull-record%2FWOS:000573229900005","View Full Record in Web of Science")</f>
        <v>View Full Record in Web of Science</v>
      </c>
    </row>
    <row r="233" ht="12.75" customHeight="1">
      <c r="A233" s="1" t="s">
        <v>154</v>
      </c>
      <c r="B233" s="1" t="s">
        <v>2513</v>
      </c>
      <c r="C233" s="1" t="s">
        <v>74</v>
      </c>
      <c r="D233" s="1" t="s">
        <v>74</v>
      </c>
      <c r="E233" s="1" t="s">
        <v>323</v>
      </c>
      <c r="F233" s="1" t="s">
        <v>2514</v>
      </c>
      <c r="G233" s="1" t="s">
        <v>74</v>
      </c>
      <c r="H233" s="1" t="s">
        <v>74</v>
      </c>
      <c r="I233" s="1" t="s">
        <v>2515</v>
      </c>
      <c r="J233" s="1" t="s">
        <v>2516</v>
      </c>
      <c r="K233" s="1" t="s">
        <v>74</v>
      </c>
      <c r="L233" s="1" t="s">
        <v>74</v>
      </c>
      <c r="M233" s="1" t="s">
        <v>74</v>
      </c>
      <c r="N233" s="1" t="s">
        <v>74</v>
      </c>
      <c r="O233" s="1" t="s">
        <v>2517</v>
      </c>
      <c r="P233" s="1" t="s">
        <v>2518</v>
      </c>
      <c r="Q233" s="1" t="s">
        <v>329</v>
      </c>
      <c r="R233" s="1" t="s">
        <v>74</v>
      </c>
      <c r="S233" s="1" t="s">
        <v>74</v>
      </c>
      <c r="T233" s="1" t="s">
        <v>74</v>
      </c>
      <c r="U233" s="1" t="s">
        <v>74</v>
      </c>
      <c r="V233" s="1" t="s">
        <v>2519</v>
      </c>
      <c r="W233" s="1" t="s">
        <v>74</v>
      </c>
      <c r="X233" s="1" t="s">
        <v>74</v>
      </c>
      <c r="Y233" s="1" t="s">
        <v>74</v>
      </c>
      <c r="Z233" s="1" t="s">
        <v>74</v>
      </c>
      <c r="AA233" s="1" t="s">
        <v>2520</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74</v>
      </c>
      <c r="AP233" s="1" t="s">
        <v>74</v>
      </c>
      <c r="AQ233" s="1" t="s">
        <v>2521</v>
      </c>
      <c r="AR233" s="1" t="s">
        <v>74</v>
      </c>
      <c r="AS233" s="1" t="s">
        <v>74</v>
      </c>
      <c r="AT233" s="1" t="s">
        <v>74</v>
      </c>
      <c r="AU233" s="1">
        <v>2020.0</v>
      </c>
      <c r="AV233" s="1" t="s">
        <v>74</v>
      </c>
      <c r="AW233" s="1" t="s">
        <v>74</v>
      </c>
      <c r="AX233" s="1" t="s">
        <v>74</v>
      </c>
      <c r="AY233" s="1" t="s">
        <v>74</v>
      </c>
      <c r="AZ233" s="1" t="s">
        <v>74</v>
      </c>
      <c r="BA233" s="1" t="s">
        <v>74</v>
      </c>
      <c r="BB233" s="1" t="s">
        <v>74</v>
      </c>
      <c r="BC233" s="1" t="s">
        <v>74</v>
      </c>
      <c r="BD233" s="1" t="s">
        <v>74</v>
      </c>
      <c r="BE233" s="1" t="s">
        <v>74</v>
      </c>
      <c r="BF233" s="1" t="s">
        <v>74</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2522</v>
      </c>
      <c r="BT233" s="1" t="str">
        <f>HYPERLINK("https%3A%2F%2Fwww.webofscience.com%2Fwos%2Fwoscc%2Ffull-record%2FWOS:001331796100171","View Full Record in Web of Science")</f>
        <v>View Full Record in Web of Science</v>
      </c>
    </row>
    <row r="234" ht="12.75" customHeight="1">
      <c r="A234" s="1" t="s">
        <v>72</v>
      </c>
      <c r="B234" s="1" t="s">
        <v>2523</v>
      </c>
      <c r="C234" s="1" t="s">
        <v>74</v>
      </c>
      <c r="D234" s="1" t="s">
        <v>74</v>
      </c>
      <c r="E234" s="1" t="s">
        <v>74</v>
      </c>
      <c r="F234" s="1" t="s">
        <v>2524</v>
      </c>
      <c r="G234" s="1" t="s">
        <v>74</v>
      </c>
      <c r="H234" s="1" t="s">
        <v>74</v>
      </c>
      <c r="I234" s="1" t="s">
        <v>2525</v>
      </c>
      <c r="J234" s="1" t="s">
        <v>1581</v>
      </c>
      <c r="K234" s="1" t="s">
        <v>74</v>
      </c>
      <c r="L234" s="1" t="s">
        <v>74</v>
      </c>
      <c r="M234" s="1" t="s">
        <v>74</v>
      </c>
      <c r="N234" s="1" t="s">
        <v>74</v>
      </c>
      <c r="O234" s="1" t="s">
        <v>74</v>
      </c>
      <c r="P234" s="1" t="s">
        <v>74</v>
      </c>
      <c r="Q234" s="1" t="s">
        <v>74</v>
      </c>
      <c r="R234" s="1" t="s">
        <v>74</v>
      </c>
      <c r="S234" s="1" t="s">
        <v>74</v>
      </c>
      <c r="T234" s="1" t="s">
        <v>74</v>
      </c>
      <c r="U234" s="1" t="s">
        <v>74</v>
      </c>
      <c r="V234" s="1" t="s">
        <v>2526</v>
      </c>
      <c r="W234" s="1" t="s">
        <v>74</v>
      </c>
      <c r="X234" s="1" t="s">
        <v>74</v>
      </c>
      <c r="Y234" s="1" t="s">
        <v>74</v>
      </c>
      <c r="Z234" s="1" t="s">
        <v>74</v>
      </c>
      <c r="AA234" s="1" t="s">
        <v>2527</v>
      </c>
      <c r="AB234" s="1" t="s">
        <v>2528</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1585</v>
      </c>
      <c r="AP234" s="1" t="s">
        <v>74</v>
      </c>
      <c r="AQ234" s="1" t="s">
        <v>74</v>
      </c>
      <c r="AR234" s="1" t="s">
        <v>74</v>
      </c>
      <c r="AS234" s="1" t="s">
        <v>74</v>
      </c>
      <c r="AT234" s="1" t="s">
        <v>822</v>
      </c>
      <c r="AU234" s="1">
        <v>2019.0</v>
      </c>
      <c r="AV234" s="1">
        <v>44.0</v>
      </c>
      <c r="AW234" s="1">
        <v>1.0</v>
      </c>
      <c r="AX234" s="1" t="s">
        <v>74</v>
      </c>
      <c r="AY234" s="1" t="s">
        <v>74</v>
      </c>
      <c r="AZ234" s="1" t="s">
        <v>74</v>
      </c>
      <c r="BA234" s="1" t="s">
        <v>74</v>
      </c>
      <c r="BB234" s="1">
        <v>23.0</v>
      </c>
      <c r="BC234" s="1">
        <v>29.0</v>
      </c>
      <c r="BD234" s="1" t="s">
        <v>74</v>
      </c>
      <c r="BE234" s="1" t="s">
        <v>74</v>
      </c>
      <c r="BF234" s="1" t="s">
        <v>74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2529</v>
      </c>
      <c r="BT234" s="1" t="str">
        <f>HYPERLINK("https%3A%2F%2Fwww.webofscience.com%2Fwos%2Fwoscc%2Ffull-record%2FWOS:000456809700004","View Full Record in Web of Science")</f>
        <v>View Full Record in Web of Science</v>
      </c>
    </row>
    <row r="235" ht="12.75" customHeight="1">
      <c r="A235" s="1" t="s">
        <v>72</v>
      </c>
      <c r="B235" s="1" t="s">
        <v>2530</v>
      </c>
      <c r="C235" s="1" t="s">
        <v>74</v>
      </c>
      <c r="D235" s="1" t="s">
        <v>74</v>
      </c>
      <c r="E235" s="1" t="s">
        <v>74</v>
      </c>
      <c r="F235" s="1" t="s">
        <v>2531</v>
      </c>
      <c r="G235" s="1" t="s">
        <v>74</v>
      </c>
      <c r="H235" s="1" t="s">
        <v>74</v>
      </c>
      <c r="I235" s="1" t="s">
        <v>2532</v>
      </c>
      <c r="J235" s="1" t="s">
        <v>2533</v>
      </c>
      <c r="K235" s="1" t="s">
        <v>74</v>
      </c>
      <c r="L235" s="1" t="s">
        <v>74</v>
      </c>
      <c r="M235" s="1" t="s">
        <v>74</v>
      </c>
      <c r="N235" s="1" t="s">
        <v>74</v>
      </c>
      <c r="O235" s="1" t="s">
        <v>74</v>
      </c>
      <c r="P235" s="1" t="s">
        <v>74</v>
      </c>
      <c r="Q235" s="1" t="s">
        <v>74</v>
      </c>
      <c r="R235" s="1" t="s">
        <v>74</v>
      </c>
      <c r="S235" s="1" t="s">
        <v>74</v>
      </c>
      <c r="T235" s="1" t="s">
        <v>74</v>
      </c>
      <c r="U235" s="1" t="s">
        <v>74</v>
      </c>
      <c r="V235" s="1" t="s">
        <v>2534</v>
      </c>
      <c r="W235" s="1" t="s">
        <v>74</v>
      </c>
      <c r="X235" s="1" t="s">
        <v>74</v>
      </c>
      <c r="Y235" s="1" t="s">
        <v>74</v>
      </c>
      <c r="Z235" s="1" t="s">
        <v>74</v>
      </c>
      <c r="AA235" s="1" t="s">
        <v>2535</v>
      </c>
      <c r="AB235" s="1" t="s">
        <v>2131</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2536</v>
      </c>
      <c r="AP235" s="1" t="s">
        <v>2537</v>
      </c>
      <c r="AQ235" s="1" t="s">
        <v>74</v>
      </c>
      <c r="AR235" s="1" t="s">
        <v>74</v>
      </c>
      <c r="AS235" s="1" t="s">
        <v>74</v>
      </c>
      <c r="AT235" s="1" t="s">
        <v>241</v>
      </c>
      <c r="AU235" s="1">
        <v>2018.0</v>
      </c>
      <c r="AV235" s="1">
        <v>73.0</v>
      </c>
      <c r="AW235" s="1">
        <v>3.0</v>
      </c>
      <c r="AX235" s="1" t="s">
        <v>74</v>
      </c>
      <c r="AY235" s="1" t="s">
        <v>74</v>
      </c>
      <c r="AZ235" s="1" t="s">
        <v>74</v>
      </c>
      <c r="BA235" s="1" t="s">
        <v>74</v>
      </c>
      <c r="BB235" s="1">
        <v>235.0</v>
      </c>
      <c r="BC235" s="1">
        <v>240.0</v>
      </c>
      <c r="BD235" s="1" t="s">
        <v>74</v>
      </c>
      <c r="BE235" s="1" t="s">
        <v>2538</v>
      </c>
      <c r="BF235" s="2" t="str">
        <f>HYPERLINK("http://dx.doi.org/10.1007/s11130-018-0683-0","http://dx.doi.org/10.1007/s11130-018-0683-0")</f>
        <v>http://dx.doi.org/10.1007/s11130-018-0683-0</v>
      </c>
      <c r="BG235" s="1" t="s">
        <v>74</v>
      </c>
      <c r="BH235" s="1" t="s">
        <v>74</v>
      </c>
      <c r="BI235" s="1" t="s">
        <v>74</v>
      </c>
      <c r="BJ235" s="1" t="s">
        <v>74</v>
      </c>
      <c r="BK235" s="1" t="s">
        <v>74</v>
      </c>
      <c r="BL235" s="1" t="s">
        <v>74</v>
      </c>
      <c r="BM235" s="1" t="s">
        <v>74</v>
      </c>
      <c r="BN235" s="1">
        <v>3.0039194E7</v>
      </c>
      <c r="BO235" s="1" t="s">
        <v>74</v>
      </c>
      <c r="BP235" s="1" t="s">
        <v>74</v>
      </c>
      <c r="BQ235" s="1" t="s">
        <v>74</v>
      </c>
      <c r="BR235" s="1" t="s">
        <v>74</v>
      </c>
      <c r="BS235" s="1" t="s">
        <v>2539</v>
      </c>
      <c r="BT235" s="1" t="str">
        <f>HYPERLINK("https%3A%2F%2Fwww.webofscience.com%2Fwos%2Fwoscc%2Ffull-record%2FWOS:000441204900012","View Full Record in Web of Science")</f>
        <v>View Full Record in Web of Science</v>
      </c>
    </row>
    <row r="236" ht="12.75" customHeight="1">
      <c r="A236" s="1" t="s">
        <v>72</v>
      </c>
      <c r="B236" s="1" t="s">
        <v>2540</v>
      </c>
      <c r="C236" s="1" t="s">
        <v>74</v>
      </c>
      <c r="D236" s="1" t="s">
        <v>74</v>
      </c>
      <c r="E236" s="1" t="s">
        <v>74</v>
      </c>
      <c r="F236" s="1" t="s">
        <v>2541</v>
      </c>
      <c r="G236" s="1" t="s">
        <v>74</v>
      </c>
      <c r="H236" s="1" t="s">
        <v>74</v>
      </c>
      <c r="I236" s="1" t="s">
        <v>2542</v>
      </c>
      <c r="J236" s="1" t="s">
        <v>392</v>
      </c>
      <c r="K236" s="1" t="s">
        <v>74</v>
      </c>
      <c r="L236" s="1" t="s">
        <v>74</v>
      </c>
      <c r="M236" s="1" t="s">
        <v>74</v>
      </c>
      <c r="N236" s="1" t="s">
        <v>74</v>
      </c>
      <c r="O236" s="1" t="s">
        <v>74</v>
      </c>
      <c r="P236" s="1" t="s">
        <v>74</v>
      </c>
      <c r="Q236" s="1" t="s">
        <v>74</v>
      </c>
      <c r="R236" s="1" t="s">
        <v>74</v>
      </c>
      <c r="S236" s="1" t="s">
        <v>74</v>
      </c>
      <c r="T236" s="1" t="s">
        <v>74</v>
      </c>
      <c r="U236" s="1" t="s">
        <v>74</v>
      </c>
      <c r="V236" s="1" t="s">
        <v>2543</v>
      </c>
      <c r="W236" s="1" t="s">
        <v>74</v>
      </c>
      <c r="X236" s="1" t="s">
        <v>74</v>
      </c>
      <c r="Y236" s="1" t="s">
        <v>74</v>
      </c>
      <c r="Z236" s="1" t="s">
        <v>74</v>
      </c>
      <c r="AA236" s="1" t="s">
        <v>2544</v>
      </c>
      <c r="AB236" s="1" t="s">
        <v>2545</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396</v>
      </c>
      <c r="AP236" s="1" t="s">
        <v>397</v>
      </c>
      <c r="AQ236" s="1" t="s">
        <v>74</v>
      </c>
      <c r="AR236" s="1" t="s">
        <v>74</v>
      </c>
      <c r="AS236" s="1" t="s">
        <v>74</v>
      </c>
      <c r="AT236" s="1" t="s">
        <v>2546</v>
      </c>
      <c r="AU236" s="1">
        <v>2018.0</v>
      </c>
      <c r="AV236" s="1">
        <v>98.0</v>
      </c>
      <c r="AW236" s="1">
        <v>2.0</v>
      </c>
      <c r="AX236" s="1" t="s">
        <v>74</v>
      </c>
      <c r="AY236" s="1" t="s">
        <v>74</v>
      </c>
      <c r="AZ236" s="1" t="s">
        <v>74</v>
      </c>
      <c r="BA236" s="1" t="s">
        <v>74</v>
      </c>
      <c r="BB236" s="1" t="s">
        <v>74</v>
      </c>
      <c r="BC236" s="1" t="s">
        <v>74</v>
      </c>
      <c r="BD236" s="1">
        <v>26017.0</v>
      </c>
      <c r="BE236" s="1" t="s">
        <v>2547</v>
      </c>
      <c r="BF236" s="2" t="str">
        <f>HYPERLINK("http://dx.doi.org/10.1103/PhysRevD.98.026017","http://dx.doi.org/10.1103/PhysRevD.98.026017")</f>
        <v>http://dx.doi.org/10.1103/PhysRevD.98.026017</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2548</v>
      </c>
      <c r="BT236" s="1" t="str">
        <f>HYPERLINK("https%3A%2F%2Fwww.webofscience.com%2Fwos%2Fwoscc%2Ffull-record%2FWOS:000438349500008","View Full Record in Web of Science")</f>
        <v>View Full Record in Web of Science</v>
      </c>
    </row>
    <row r="237" ht="12.75" customHeight="1">
      <c r="A237" s="1" t="s">
        <v>72</v>
      </c>
      <c r="B237" s="1" t="s">
        <v>2549</v>
      </c>
      <c r="C237" s="1" t="s">
        <v>74</v>
      </c>
      <c r="D237" s="1" t="s">
        <v>74</v>
      </c>
      <c r="E237" s="1" t="s">
        <v>74</v>
      </c>
      <c r="F237" s="1" t="s">
        <v>2550</v>
      </c>
      <c r="G237" s="1" t="s">
        <v>74</v>
      </c>
      <c r="H237" s="1" t="s">
        <v>74</v>
      </c>
      <c r="I237" s="1" t="s">
        <v>2551</v>
      </c>
      <c r="J237" s="1" t="s">
        <v>2552</v>
      </c>
      <c r="K237" s="1" t="s">
        <v>74</v>
      </c>
      <c r="L237" s="1" t="s">
        <v>74</v>
      </c>
      <c r="M237" s="1" t="s">
        <v>74</v>
      </c>
      <c r="N237" s="1" t="s">
        <v>74</v>
      </c>
      <c r="O237" s="1" t="s">
        <v>74</v>
      </c>
      <c r="P237" s="1" t="s">
        <v>74</v>
      </c>
      <c r="Q237" s="1" t="s">
        <v>74</v>
      </c>
      <c r="R237" s="1" t="s">
        <v>74</v>
      </c>
      <c r="S237" s="1" t="s">
        <v>74</v>
      </c>
      <c r="T237" s="1" t="s">
        <v>74</v>
      </c>
      <c r="U237" s="1" t="s">
        <v>74</v>
      </c>
      <c r="V237" s="1" t="s">
        <v>2553</v>
      </c>
      <c r="W237" s="1" t="s">
        <v>74</v>
      </c>
      <c r="X237" s="1" t="s">
        <v>74</v>
      </c>
      <c r="Y237" s="1" t="s">
        <v>74</v>
      </c>
      <c r="Z237" s="1" t="s">
        <v>74</v>
      </c>
      <c r="AA237" s="1" t="s">
        <v>74</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2554</v>
      </c>
      <c r="AP237" s="1" t="s">
        <v>74</v>
      </c>
      <c r="AQ237" s="1" t="s">
        <v>74</v>
      </c>
      <c r="AR237" s="1" t="s">
        <v>74</v>
      </c>
      <c r="AS237" s="1" t="s">
        <v>74</v>
      </c>
      <c r="AT237" s="1" t="s">
        <v>241</v>
      </c>
      <c r="AU237" s="1">
        <v>2017.0</v>
      </c>
      <c r="AV237" s="1">
        <v>111.0</v>
      </c>
      <c r="AW237" s="1" t="s">
        <v>74</v>
      </c>
      <c r="AX237" s="1" t="s">
        <v>74</v>
      </c>
      <c r="AY237" s="1" t="s">
        <v>74</v>
      </c>
      <c r="AZ237" s="1" t="s">
        <v>74</v>
      </c>
      <c r="BA237" s="1" t="s">
        <v>74</v>
      </c>
      <c r="BB237" s="1">
        <v>1.0</v>
      </c>
      <c r="BC237" s="1">
        <v>4.0</v>
      </c>
      <c r="BD237" s="1" t="s">
        <v>74</v>
      </c>
      <c r="BE237" s="1" t="s">
        <v>2555</v>
      </c>
      <c r="BF237" s="2" t="str">
        <f>HYPERLINK("http://dx.doi.org/10.1016/j.mineng.2017.05.004","http://dx.doi.org/10.1016/j.mineng.2017.05.004")</f>
        <v>http://dx.doi.org/10.1016/j.mineng.2017.05.004</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2556</v>
      </c>
      <c r="BT237" s="1" t="str">
        <f>HYPERLINK("https%3A%2F%2Fwww.webofscience.com%2Fwos%2Fwoscc%2Ffull-record%2FWOS:000406729800001","View Full Record in Web of Science")</f>
        <v>View Full Record in Web of Science</v>
      </c>
    </row>
    <row r="238" ht="12.75" customHeight="1">
      <c r="A238" s="1" t="s">
        <v>72</v>
      </c>
      <c r="B238" s="1" t="s">
        <v>2557</v>
      </c>
      <c r="C238" s="1" t="s">
        <v>74</v>
      </c>
      <c r="D238" s="1" t="s">
        <v>74</v>
      </c>
      <c r="E238" s="1" t="s">
        <v>74</v>
      </c>
      <c r="F238" s="1" t="s">
        <v>2558</v>
      </c>
      <c r="G238" s="1" t="s">
        <v>74</v>
      </c>
      <c r="H238" s="1" t="s">
        <v>74</v>
      </c>
      <c r="I238" s="1" t="s">
        <v>2559</v>
      </c>
      <c r="J238" s="1" t="s">
        <v>1357</v>
      </c>
      <c r="K238" s="1" t="s">
        <v>74</v>
      </c>
      <c r="L238" s="1" t="s">
        <v>74</v>
      </c>
      <c r="M238" s="1" t="s">
        <v>74</v>
      </c>
      <c r="N238" s="1" t="s">
        <v>74</v>
      </c>
      <c r="O238" s="1" t="s">
        <v>74</v>
      </c>
      <c r="P238" s="1" t="s">
        <v>74</v>
      </c>
      <c r="Q238" s="1" t="s">
        <v>74</v>
      </c>
      <c r="R238" s="1" t="s">
        <v>74</v>
      </c>
      <c r="S238" s="1" t="s">
        <v>74</v>
      </c>
      <c r="T238" s="1" t="s">
        <v>74</v>
      </c>
      <c r="U238" s="1" t="s">
        <v>74</v>
      </c>
      <c r="V238" s="1" t="s">
        <v>2560</v>
      </c>
      <c r="W238" s="1" t="s">
        <v>74</v>
      </c>
      <c r="X238" s="1" t="s">
        <v>74</v>
      </c>
      <c r="Y238" s="1" t="s">
        <v>74</v>
      </c>
      <c r="Z238" s="1" t="s">
        <v>74</v>
      </c>
      <c r="AA238" s="1" t="s">
        <v>684</v>
      </c>
      <c r="AB238" s="1" t="s">
        <v>2561</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1361</v>
      </c>
      <c r="AP238" s="1" t="s">
        <v>1362</v>
      </c>
      <c r="AQ238" s="1" t="s">
        <v>74</v>
      </c>
      <c r="AR238" s="1" t="s">
        <v>74</v>
      </c>
      <c r="AS238" s="1" t="s">
        <v>74</v>
      </c>
      <c r="AT238" s="1" t="s">
        <v>2562</v>
      </c>
      <c r="AU238" s="1">
        <v>2016.0</v>
      </c>
      <c r="AV238" s="1">
        <v>31.0</v>
      </c>
      <c r="AW238" s="1">
        <v>24.0</v>
      </c>
      <c r="AX238" s="1" t="s">
        <v>74</v>
      </c>
      <c r="AY238" s="1" t="s">
        <v>74</v>
      </c>
      <c r="AZ238" s="1" t="s">
        <v>74</v>
      </c>
      <c r="BA238" s="1" t="s">
        <v>74</v>
      </c>
      <c r="BB238" s="1" t="s">
        <v>74</v>
      </c>
      <c r="BC238" s="1" t="s">
        <v>74</v>
      </c>
      <c r="BD238" s="1">
        <v>1650136.0</v>
      </c>
      <c r="BE238" s="1" t="s">
        <v>2563</v>
      </c>
      <c r="BF238" s="2" t="str">
        <f>HYPERLINK("http://dx.doi.org/10.1142/S0217732316501364","http://dx.doi.org/10.1142/S0217732316501364")</f>
        <v>http://dx.doi.org/10.1142/S0217732316501364</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2564</v>
      </c>
      <c r="BT238" s="1" t="str">
        <f>HYPERLINK("https%3A%2F%2Fwww.webofscience.com%2Fwos%2Fwoscc%2Ffull-record%2FWOS:000382847200003","View Full Record in Web of Science")</f>
        <v>View Full Record in Web of Science</v>
      </c>
    </row>
    <row r="239" ht="12.75" customHeight="1">
      <c r="A239" s="1" t="s">
        <v>72</v>
      </c>
      <c r="B239" s="1" t="s">
        <v>2565</v>
      </c>
      <c r="C239" s="1" t="s">
        <v>74</v>
      </c>
      <c r="D239" s="1" t="s">
        <v>74</v>
      </c>
      <c r="E239" s="1" t="s">
        <v>74</v>
      </c>
      <c r="F239" s="1" t="s">
        <v>2566</v>
      </c>
      <c r="G239" s="1" t="s">
        <v>74</v>
      </c>
      <c r="H239" s="1" t="s">
        <v>74</v>
      </c>
      <c r="I239" s="1" t="s">
        <v>2567</v>
      </c>
      <c r="J239" s="1" t="s">
        <v>2568</v>
      </c>
      <c r="K239" s="1" t="s">
        <v>74</v>
      </c>
      <c r="L239" s="1" t="s">
        <v>74</v>
      </c>
      <c r="M239" s="1" t="s">
        <v>74</v>
      </c>
      <c r="N239" s="1" t="s">
        <v>74</v>
      </c>
      <c r="O239" s="1" t="s">
        <v>74</v>
      </c>
      <c r="P239" s="1" t="s">
        <v>74</v>
      </c>
      <c r="Q239" s="1" t="s">
        <v>74</v>
      </c>
      <c r="R239" s="1" t="s">
        <v>74</v>
      </c>
      <c r="S239" s="1" t="s">
        <v>74</v>
      </c>
      <c r="T239" s="1" t="s">
        <v>74</v>
      </c>
      <c r="U239" s="1" t="s">
        <v>74</v>
      </c>
      <c r="V239" s="1" t="s">
        <v>2569</v>
      </c>
      <c r="W239" s="1" t="s">
        <v>74</v>
      </c>
      <c r="X239" s="1" t="s">
        <v>74</v>
      </c>
      <c r="Y239" s="1" t="s">
        <v>74</v>
      </c>
      <c r="Z239" s="1" t="s">
        <v>74</v>
      </c>
      <c r="AA239" s="1" t="s">
        <v>2570</v>
      </c>
      <c r="AB239" s="1" t="s">
        <v>2571</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74</v>
      </c>
      <c r="AP239" s="1" t="s">
        <v>2572</v>
      </c>
      <c r="AQ239" s="1" t="s">
        <v>74</v>
      </c>
      <c r="AR239" s="1" t="s">
        <v>74</v>
      </c>
      <c r="AS239" s="1" t="s">
        <v>74</v>
      </c>
      <c r="AT239" s="1" t="s">
        <v>2573</v>
      </c>
      <c r="AU239" s="1">
        <v>2016.0</v>
      </c>
      <c r="AV239" s="1">
        <v>16.0</v>
      </c>
      <c r="AW239" s="1" t="s">
        <v>74</v>
      </c>
      <c r="AX239" s="1" t="s">
        <v>74</v>
      </c>
      <c r="AY239" s="1" t="s">
        <v>74</v>
      </c>
      <c r="AZ239" s="1" t="s">
        <v>74</v>
      </c>
      <c r="BA239" s="1" t="s">
        <v>74</v>
      </c>
      <c r="BB239" s="1" t="s">
        <v>74</v>
      </c>
      <c r="BC239" s="1" t="s">
        <v>74</v>
      </c>
      <c r="BD239" s="1">
        <v>437.0</v>
      </c>
      <c r="BE239" s="1" t="s">
        <v>2574</v>
      </c>
      <c r="BF239" s="2" t="str">
        <f>HYPERLINK("http://dx.doi.org/10.1186/s12889-016-3130-x","http://dx.doi.org/10.1186/s12889-016-3130-x")</f>
        <v>http://dx.doi.org/10.1186/s12889-016-3130-x</v>
      </c>
      <c r="BG239" s="1" t="s">
        <v>74</v>
      </c>
      <c r="BH239" s="1" t="s">
        <v>74</v>
      </c>
      <c r="BI239" s="1" t="s">
        <v>74</v>
      </c>
      <c r="BJ239" s="1" t="s">
        <v>74</v>
      </c>
      <c r="BK239" s="1" t="s">
        <v>74</v>
      </c>
      <c r="BL239" s="1" t="s">
        <v>74</v>
      </c>
      <c r="BM239" s="1" t="s">
        <v>74</v>
      </c>
      <c r="BN239" s="1">
        <v>2.7411389E7</v>
      </c>
      <c r="BO239" s="1" t="s">
        <v>74</v>
      </c>
      <c r="BP239" s="1" t="s">
        <v>74</v>
      </c>
      <c r="BQ239" s="1" t="s">
        <v>74</v>
      </c>
      <c r="BR239" s="1" t="s">
        <v>74</v>
      </c>
      <c r="BS239" s="1" t="s">
        <v>2575</v>
      </c>
      <c r="BT239" s="1" t="str">
        <f>HYPERLINK("https%3A%2F%2Fwww.webofscience.com%2Fwos%2Fwoscc%2Ffull-record%2FWOS:000442497500001","View Full Record in Web of Science")</f>
        <v>View Full Record in Web of Science</v>
      </c>
    </row>
    <row r="240" ht="12.75" customHeight="1">
      <c r="A240" s="1" t="s">
        <v>72</v>
      </c>
      <c r="B240" s="1" t="s">
        <v>2576</v>
      </c>
      <c r="C240" s="1" t="s">
        <v>74</v>
      </c>
      <c r="D240" s="1" t="s">
        <v>74</v>
      </c>
      <c r="E240" s="1" t="s">
        <v>74</v>
      </c>
      <c r="F240" s="1" t="s">
        <v>2577</v>
      </c>
      <c r="G240" s="1" t="s">
        <v>74</v>
      </c>
      <c r="H240" s="1" t="s">
        <v>74</v>
      </c>
      <c r="I240" s="1" t="s">
        <v>2578</v>
      </c>
      <c r="J240" s="1" t="s">
        <v>2579</v>
      </c>
      <c r="K240" s="1" t="s">
        <v>74</v>
      </c>
      <c r="L240" s="1" t="s">
        <v>74</v>
      </c>
      <c r="M240" s="1" t="s">
        <v>74</v>
      </c>
      <c r="N240" s="1" t="s">
        <v>74</v>
      </c>
      <c r="O240" s="1" t="s">
        <v>74</v>
      </c>
      <c r="P240" s="1" t="s">
        <v>74</v>
      </c>
      <c r="Q240" s="1" t="s">
        <v>74</v>
      </c>
      <c r="R240" s="1" t="s">
        <v>74</v>
      </c>
      <c r="S240" s="1" t="s">
        <v>74</v>
      </c>
      <c r="T240" s="1" t="s">
        <v>74</v>
      </c>
      <c r="U240" s="1" t="s">
        <v>74</v>
      </c>
      <c r="V240" s="1" t="s">
        <v>2580</v>
      </c>
      <c r="W240" s="1" t="s">
        <v>74</v>
      </c>
      <c r="X240" s="1" t="s">
        <v>74</v>
      </c>
      <c r="Y240" s="1" t="s">
        <v>74</v>
      </c>
      <c r="Z240" s="1" t="s">
        <v>74</v>
      </c>
      <c r="AA240" s="1" t="s">
        <v>2581</v>
      </c>
      <c r="AB240" s="1" t="s">
        <v>2582</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2583</v>
      </c>
      <c r="AP240" s="1" t="s">
        <v>2584</v>
      </c>
      <c r="AQ240" s="1" t="s">
        <v>74</v>
      </c>
      <c r="AR240" s="1" t="s">
        <v>74</v>
      </c>
      <c r="AS240" s="1" t="s">
        <v>74</v>
      </c>
      <c r="AT240" s="1" t="s">
        <v>2585</v>
      </c>
      <c r="AU240" s="1">
        <v>2015.0</v>
      </c>
      <c r="AV240" s="1">
        <v>92.0</v>
      </c>
      <c r="AW240" s="1">
        <v>2.0</v>
      </c>
      <c r="AX240" s="1" t="s">
        <v>74</v>
      </c>
      <c r="AY240" s="1" t="s">
        <v>74</v>
      </c>
      <c r="AZ240" s="1" t="s">
        <v>74</v>
      </c>
      <c r="BA240" s="1" t="s">
        <v>74</v>
      </c>
      <c r="BB240" s="1" t="s">
        <v>74</v>
      </c>
      <c r="BC240" s="1" t="s">
        <v>74</v>
      </c>
      <c r="BD240" s="1">
        <v>23839.0</v>
      </c>
      <c r="BE240" s="1" t="s">
        <v>2586</v>
      </c>
      <c r="BF240" s="2" t="str">
        <f>HYPERLINK("http://dx.doi.org/10.1103/PhysRevA.92.023839","http://dx.doi.org/10.1103/PhysRevA.92.023839")</f>
        <v>http://dx.doi.org/10.1103/PhysRevA.92.023839</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2587</v>
      </c>
      <c r="BT240" s="1" t="str">
        <f>HYPERLINK("https%3A%2F%2Fwww.webofscience.com%2Fwos%2Fwoscc%2Ffull-record%2FWOS:000359857500010","View Full Record in Web of Science")</f>
        <v>View Full Record in Web of Science</v>
      </c>
    </row>
    <row r="241" ht="12.75" customHeight="1">
      <c r="A241" s="1" t="s">
        <v>72</v>
      </c>
      <c r="B241" s="1" t="s">
        <v>523</v>
      </c>
      <c r="C241" s="1" t="s">
        <v>74</v>
      </c>
      <c r="D241" s="1" t="s">
        <v>74</v>
      </c>
      <c r="E241" s="1" t="s">
        <v>74</v>
      </c>
      <c r="F241" s="1" t="s">
        <v>2588</v>
      </c>
      <c r="G241" s="1" t="s">
        <v>74</v>
      </c>
      <c r="H241" s="1" t="s">
        <v>74</v>
      </c>
      <c r="I241" s="1" t="s">
        <v>2589</v>
      </c>
      <c r="J241" s="1" t="s">
        <v>2590</v>
      </c>
      <c r="K241" s="1" t="s">
        <v>74</v>
      </c>
      <c r="L241" s="1" t="s">
        <v>74</v>
      </c>
      <c r="M241" s="1" t="s">
        <v>74</v>
      </c>
      <c r="N241" s="1" t="s">
        <v>74</v>
      </c>
      <c r="O241" s="1" t="s">
        <v>74</v>
      </c>
      <c r="P241" s="1" t="s">
        <v>74</v>
      </c>
      <c r="Q241" s="1" t="s">
        <v>74</v>
      </c>
      <c r="R241" s="1" t="s">
        <v>74</v>
      </c>
      <c r="S241" s="1" t="s">
        <v>74</v>
      </c>
      <c r="T241" s="1" t="s">
        <v>74</v>
      </c>
      <c r="U241" s="1" t="s">
        <v>74</v>
      </c>
      <c r="V241" s="1" t="s">
        <v>2591</v>
      </c>
      <c r="W241" s="1" t="s">
        <v>74</v>
      </c>
      <c r="X241" s="1" t="s">
        <v>74</v>
      </c>
      <c r="Y241" s="1" t="s">
        <v>74</v>
      </c>
      <c r="Z241" s="1" t="s">
        <v>74</v>
      </c>
      <c r="AA241" s="1" t="s">
        <v>74</v>
      </c>
      <c r="AB241" s="1" t="s">
        <v>528</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2592</v>
      </c>
      <c r="AP241" s="1" t="s">
        <v>2593</v>
      </c>
      <c r="AQ241" s="1" t="s">
        <v>74</v>
      </c>
      <c r="AR241" s="1" t="s">
        <v>74</v>
      </c>
      <c r="AS241" s="1" t="s">
        <v>74</v>
      </c>
      <c r="AT241" s="1" t="s">
        <v>2594</v>
      </c>
      <c r="AU241" s="1">
        <v>2014.0</v>
      </c>
      <c r="AV241" s="1">
        <v>71.0</v>
      </c>
      <c r="AW241" s="1" t="s">
        <v>74</v>
      </c>
      <c r="AX241" s="1" t="s">
        <v>74</v>
      </c>
      <c r="AY241" s="1" t="s">
        <v>74</v>
      </c>
      <c r="AZ241" s="1" t="s">
        <v>74</v>
      </c>
      <c r="BA241" s="1" t="s">
        <v>74</v>
      </c>
      <c r="BB241" s="1">
        <v>210.0</v>
      </c>
      <c r="BC241" s="1">
        <v>219.0</v>
      </c>
      <c r="BD241" s="1" t="s">
        <v>74</v>
      </c>
      <c r="BE241" s="1" t="s">
        <v>2595</v>
      </c>
      <c r="BF241" s="2" t="str">
        <f>HYPERLINK("http://dx.doi.org/10.1016/j.compchemeng.2014.08.002","http://dx.doi.org/10.1016/j.compchemeng.2014.08.002")</f>
        <v>http://dx.doi.org/10.1016/j.compchemeng.2014.08.002</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2596</v>
      </c>
      <c r="BT241" s="1" t="str">
        <f>HYPERLINK("https%3A%2F%2Fwww.webofscience.com%2Fwos%2Fwoscc%2Ffull-record%2FWOS:000346070100016","View Full Record in Web of Science")</f>
        <v>View Full Record in Web of Science</v>
      </c>
    </row>
    <row r="242" ht="12.75" customHeight="1">
      <c r="A242" s="1" t="s">
        <v>72</v>
      </c>
      <c r="B242" s="1" t="s">
        <v>2597</v>
      </c>
      <c r="C242" s="1" t="s">
        <v>74</v>
      </c>
      <c r="D242" s="1" t="s">
        <v>74</v>
      </c>
      <c r="E242" s="1" t="s">
        <v>74</v>
      </c>
      <c r="F242" s="1" t="s">
        <v>2598</v>
      </c>
      <c r="G242" s="1" t="s">
        <v>74</v>
      </c>
      <c r="H242" s="1" t="s">
        <v>74</v>
      </c>
      <c r="I242" s="1" t="s">
        <v>2599</v>
      </c>
      <c r="J242" s="1" t="s">
        <v>2600</v>
      </c>
      <c r="K242" s="1" t="s">
        <v>74</v>
      </c>
      <c r="L242" s="1" t="s">
        <v>74</v>
      </c>
      <c r="M242" s="1" t="s">
        <v>74</v>
      </c>
      <c r="N242" s="1" t="s">
        <v>74</v>
      </c>
      <c r="O242" s="1" t="s">
        <v>74</v>
      </c>
      <c r="P242" s="1" t="s">
        <v>74</v>
      </c>
      <c r="Q242" s="1" t="s">
        <v>74</v>
      </c>
      <c r="R242" s="1" t="s">
        <v>74</v>
      </c>
      <c r="S242" s="1" t="s">
        <v>74</v>
      </c>
      <c r="T242" s="1" t="s">
        <v>74</v>
      </c>
      <c r="U242" s="1" t="s">
        <v>74</v>
      </c>
      <c r="V242" s="1" t="s">
        <v>2601</v>
      </c>
      <c r="W242" s="1" t="s">
        <v>74</v>
      </c>
      <c r="X242" s="1" t="s">
        <v>74</v>
      </c>
      <c r="Y242" s="1" t="s">
        <v>74</v>
      </c>
      <c r="Z242" s="1" t="s">
        <v>74</v>
      </c>
      <c r="AA242" s="1" t="s">
        <v>2602</v>
      </c>
      <c r="AB242" s="1" t="s">
        <v>2603</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2604</v>
      </c>
      <c r="AP242" s="1" t="s">
        <v>2605</v>
      </c>
      <c r="AQ242" s="1" t="s">
        <v>74</v>
      </c>
      <c r="AR242" s="1" t="s">
        <v>74</v>
      </c>
      <c r="AS242" s="1" t="s">
        <v>74</v>
      </c>
      <c r="AT242" s="1" t="s">
        <v>151</v>
      </c>
      <c r="AU242" s="1">
        <v>2014.0</v>
      </c>
      <c r="AV242" s="1">
        <v>29.0</v>
      </c>
      <c r="AW242" s="1">
        <v>10.0</v>
      </c>
      <c r="AX242" s="1" t="s">
        <v>74</v>
      </c>
      <c r="AY242" s="1" t="s">
        <v>74</v>
      </c>
      <c r="AZ242" s="1" t="s">
        <v>74</v>
      </c>
      <c r="BA242" s="1" t="s">
        <v>74</v>
      </c>
      <c r="BB242" s="1">
        <v>1179.0</v>
      </c>
      <c r="BC242" s="1">
        <v>1183.0</v>
      </c>
      <c r="BD242" s="1" t="s">
        <v>74</v>
      </c>
      <c r="BE242" s="1" t="s">
        <v>2606</v>
      </c>
      <c r="BF242" s="2" t="str">
        <f>HYPERLINK("http://dx.doi.org/10.1080/10426914.2014.921702","http://dx.doi.org/10.1080/10426914.2014.921702")</f>
        <v>http://dx.doi.org/10.1080/10426914.2014.921702</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2607</v>
      </c>
      <c r="BT242" s="1" t="str">
        <f>HYPERLINK("https%3A%2F%2Fwww.webofscience.com%2Fwos%2Fwoscc%2Ffull-record%2FWOS:000342065100006","View Full Record in Web of Science")</f>
        <v>View Full Record in Web of Science</v>
      </c>
    </row>
    <row r="243" ht="12.75" customHeight="1">
      <c r="A243" s="1" t="s">
        <v>72</v>
      </c>
      <c r="B243" s="1" t="s">
        <v>2608</v>
      </c>
      <c r="C243" s="1" t="s">
        <v>74</v>
      </c>
      <c r="D243" s="1" t="s">
        <v>74</v>
      </c>
      <c r="E243" s="1" t="s">
        <v>74</v>
      </c>
      <c r="F243" s="1" t="s">
        <v>2609</v>
      </c>
      <c r="G243" s="1" t="s">
        <v>74</v>
      </c>
      <c r="H243" s="1" t="s">
        <v>74</v>
      </c>
      <c r="I243" s="1" t="s">
        <v>2610</v>
      </c>
      <c r="J243" s="1" t="s">
        <v>2611</v>
      </c>
      <c r="K243" s="1" t="s">
        <v>74</v>
      </c>
      <c r="L243" s="1" t="s">
        <v>74</v>
      </c>
      <c r="M243" s="1" t="s">
        <v>74</v>
      </c>
      <c r="N243" s="1" t="s">
        <v>74</v>
      </c>
      <c r="O243" s="1" t="s">
        <v>74</v>
      </c>
      <c r="P243" s="1" t="s">
        <v>74</v>
      </c>
      <c r="Q243" s="1" t="s">
        <v>74</v>
      </c>
      <c r="R243" s="1" t="s">
        <v>74</v>
      </c>
      <c r="S243" s="1" t="s">
        <v>74</v>
      </c>
      <c r="T243" s="1" t="s">
        <v>74</v>
      </c>
      <c r="U243" s="1" t="s">
        <v>74</v>
      </c>
      <c r="V243" s="1" t="s">
        <v>2612</v>
      </c>
      <c r="W243" s="1" t="s">
        <v>74</v>
      </c>
      <c r="X243" s="1" t="s">
        <v>74</v>
      </c>
      <c r="Y243" s="1" t="s">
        <v>74</v>
      </c>
      <c r="Z243" s="1" t="s">
        <v>74</v>
      </c>
      <c r="AA243" s="1" t="s">
        <v>2174</v>
      </c>
      <c r="AB243" s="1" t="s">
        <v>2613</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2614</v>
      </c>
      <c r="AP243" s="1" t="s">
        <v>2615</v>
      </c>
      <c r="AQ243" s="1" t="s">
        <v>74</v>
      </c>
      <c r="AR243" s="1" t="s">
        <v>74</v>
      </c>
      <c r="AS243" s="1" t="s">
        <v>74</v>
      </c>
      <c r="AT243" s="1" t="s">
        <v>385</v>
      </c>
      <c r="AU243" s="1">
        <v>2014.0</v>
      </c>
      <c r="AV243" s="1">
        <v>89.0</v>
      </c>
      <c r="AW243" s="1">
        <v>6.0</v>
      </c>
      <c r="AX243" s="1" t="s">
        <v>74</v>
      </c>
      <c r="AY243" s="1" t="s">
        <v>74</v>
      </c>
      <c r="AZ243" s="1" t="s">
        <v>1350</v>
      </c>
      <c r="BA243" s="1" t="s">
        <v>74</v>
      </c>
      <c r="BB243" s="1">
        <v>899.0</v>
      </c>
      <c r="BC243" s="1">
        <v>908.0</v>
      </c>
      <c r="BD243" s="1" t="s">
        <v>74</v>
      </c>
      <c r="BE243" s="1" t="s">
        <v>2616</v>
      </c>
      <c r="BF243" s="2" t="str">
        <f>HYPERLINK("http://dx.doi.org/10.1002/jctb.4330","http://dx.doi.org/10.1002/jctb.4330")</f>
        <v>http://dx.doi.org/10.1002/jctb.4330</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2617</v>
      </c>
      <c r="BT243" s="1" t="str">
        <f>HYPERLINK("https%3A%2F%2Fwww.webofscience.com%2Fwos%2Fwoscc%2Ffull-record%2FWOS:000336508000017","View Full Record in Web of Science")</f>
        <v>View Full Record in Web of Science</v>
      </c>
    </row>
    <row r="244" ht="12.75" customHeight="1">
      <c r="A244" s="1" t="s">
        <v>72</v>
      </c>
      <c r="B244" s="1" t="s">
        <v>2618</v>
      </c>
      <c r="C244" s="1" t="s">
        <v>74</v>
      </c>
      <c r="D244" s="1" t="s">
        <v>74</v>
      </c>
      <c r="E244" s="1" t="s">
        <v>74</v>
      </c>
      <c r="F244" s="1" t="s">
        <v>2619</v>
      </c>
      <c r="G244" s="1" t="s">
        <v>74</v>
      </c>
      <c r="H244" s="1" t="s">
        <v>74</v>
      </c>
      <c r="I244" s="1" t="s">
        <v>2620</v>
      </c>
      <c r="J244" s="1" t="s">
        <v>2621</v>
      </c>
      <c r="K244" s="1" t="s">
        <v>74</v>
      </c>
      <c r="L244" s="1" t="s">
        <v>74</v>
      </c>
      <c r="M244" s="1" t="s">
        <v>74</v>
      </c>
      <c r="N244" s="1" t="s">
        <v>74</v>
      </c>
      <c r="O244" s="1" t="s">
        <v>74</v>
      </c>
      <c r="P244" s="1" t="s">
        <v>74</v>
      </c>
      <c r="Q244" s="1" t="s">
        <v>74</v>
      </c>
      <c r="R244" s="1" t="s">
        <v>74</v>
      </c>
      <c r="S244" s="1" t="s">
        <v>74</v>
      </c>
      <c r="T244" s="1" t="s">
        <v>74</v>
      </c>
      <c r="U244" s="1" t="s">
        <v>74</v>
      </c>
      <c r="V244" s="1" t="s">
        <v>2622</v>
      </c>
      <c r="W244" s="1" t="s">
        <v>74</v>
      </c>
      <c r="X244" s="1" t="s">
        <v>74</v>
      </c>
      <c r="Y244" s="1" t="s">
        <v>74</v>
      </c>
      <c r="Z244" s="1" t="s">
        <v>74</v>
      </c>
      <c r="AA244" s="1" t="s">
        <v>2623</v>
      </c>
      <c r="AB244" s="1" t="s">
        <v>2624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2625</v>
      </c>
      <c r="AP244" s="1" t="s">
        <v>2626</v>
      </c>
      <c r="AQ244" s="1" t="s">
        <v>74</v>
      </c>
      <c r="AR244" s="1" t="s">
        <v>74</v>
      </c>
      <c r="AS244" s="1" t="s">
        <v>74</v>
      </c>
      <c r="AT244" s="1" t="s">
        <v>2627</v>
      </c>
      <c r="AU244" s="1">
        <v>2012.0</v>
      </c>
      <c r="AV244" s="1">
        <v>115.0</v>
      </c>
      <c r="AW244" s="1" t="s">
        <v>74</v>
      </c>
      <c r="AX244" s="1" t="s">
        <v>74</v>
      </c>
      <c r="AY244" s="1" t="s">
        <v>74</v>
      </c>
      <c r="AZ244" s="1" t="s">
        <v>74</v>
      </c>
      <c r="BA244" s="1" t="s">
        <v>74</v>
      </c>
      <c r="BB244" s="1">
        <v>73.0</v>
      </c>
      <c r="BC244" s="1">
        <v>84.0</v>
      </c>
      <c r="BD244" s="1" t="s">
        <v>74</v>
      </c>
      <c r="BE244" s="1" t="s">
        <v>2628</v>
      </c>
      <c r="BF244" s="2" t="str">
        <f>HYPERLINK("http://dx.doi.org/10.1016/j.jphotobiol.2012.06.013","http://dx.doi.org/10.1016/j.jphotobiol.2012.06.013")</f>
        <v>http://dx.doi.org/10.1016/j.jphotobiol.2012.06.013</v>
      </c>
      <c r="BG244" s="1" t="s">
        <v>74</v>
      </c>
      <c r="BH244" s="1" t="s">
        <v>74</v>
      </c>
      <c r="BI244" s="1" t="s">
        <v>74</v>
      </c>
      <c r="BJ244" s="1" t="s">
        <v>74</v>
      </c>
      <c r="BK244" s="1" t="s">
        <v>74</v>
      </c>
      <c r="BL244" s="1" t="s">
        <v>74</v>
      </c>
      <c r="BM244" s="1" t="s">
        <v>74</v>
      </c>
      <c r="BN244" s="1">
        <v>2.2883148E7</v>
      </c>
      <c r="BO244" s="1" t="s">
        <v>74</v>
      </c>
      <c r="BP244" s="1" t="s">
        <v>74</v>
      </c>
      <c r="BQ244" s="1" t="s">
        <v>74</v>
      </c>
      <c r="BR244" s="1" t="s">
        <v>74</v>
      </c>
      <c r="BS244" s="1" t="s">
        <v>2629</v>
      </c>
      <c r="BT244" s="1" t="str">
        <f>HYPERLINK("https%3A%2F%2Fwww.webofscience.com%2Fwos%2Fwoscc%2Ffull-record%2FWOS:000308621500011","View Full Record in Web of Science")</f>
        <v>View Full Record in Web of Science</v>
      </c>
    </row>
    <row r="245" ht="12.75" customHeight="1">
      <c r="A245" s="1" t="s">
        <v>72</v>
      </c>
      <c r="B245" s="1" t="s">
        <v>2630</v>
      </c>
      <c r="C245" s="1" t="s">
        <v>74</v>
      </c>
      <c r="D245" s="1" t="s">
        <v>74</v>
      </c>
      <c r="E245" s="1" t="s">
        <v>74</v>
      </c>
      <c r="F245" s="1" t="s">
        <v>2631</v>
      </c>
      <c r="G245" s="1" t="s">
        <v>74</v>
      </c>
      <c r="H245" s="1" t="s">
        <v>74</v>
      </c>
      <c r="I245" s="1" t="s">
        <v>2632</v>
      </c>
      <c r="J245" s="1" t="s">
        <v>2633</v>
      </c>
      <c r="K245" s="1" t="s">
        <v>74</v>
      </c>
      <c r="L245" s="1" t="s">
        <v>74</v>
      </c>
      <c r="M245" s="1" t="s">
        <v>74</v>
      </c>
      <c r="N245" s="1" t="s">
        <v>74</v>
      </c>
      <c r="O245" s="1" t="s">
        <v>74</v>
      </c>
      <c r="P245" s="1" t="s">
        <v>74</v>
      </c>
      <c r="Q245" s="1" t="s">
        <v>74</v>
      </c>
      <c r="R245" s="1" t="s">
        <v>74</v>
      </c>
      <c r="S245" s="1" t="s">
        <v>74</v>
      </c>
      <c r="T245" s="1" t="s">
        <v>74</v>
      </c>
      <c r="U245" s="1" t="s">
        <v>74</v>
      </c>
      <c r="V245" s="1" t="s">
        <v>2634</v>
      </c>
      <c r="W245" s="1" t="s">
        <v>74</v>
      </c>
      <c r="X245" s="1" t="s">
        <v>74</v>
      </c>
      <c r="Y245" s="1" t="s">
        <v>74</v>
      </c>
      <c r="Z245" s="1" t="s">
        <v>74</v>
      </c>
      <c r="AA245" s="1" t="s">
        <v>585</v>
      </c>
      <c r="AB245" s="1" t="s">
        <v>2635</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2636</v>
      </c>
      <c r="AP245" s="1" t="s">
        <v>74</v>
      </c>
      <c r="AQ245" s="1" t="s">
        <v>74</v>
      </c>
      <c r="AR245" s="1" t="s">
        <v>74</v>
      </c>
      <c r="AS245" s="1" t="s">
        <v>74</v>
      </c>
      <c r="AT245" s="1" t="s">
        <v>385</v>
      </c>
      <c r="AU245" s="1">
        <v>2008.0</v>
      </c>
      <c r="AV245" s="1">
        <v>64.0</v>
      </c>
      <c r="AW245" s="1" t="s">
        <v>74</v>
      </c>
      <c r="AX245" s="1">
        <v>6.0</v>
      </c>
      <c r="AY245" s="1" t="s">
        <v>74</v>
      </c>
      <c r="AZ245" s="1" t="s">
        <v>74</v>
      </c>
      <c r="BA245" s="1" t="s">
        <v>74</v>
      </c>
      <c r="BB245" s="1" t="s">
        <v>2637</v>
      </c>
      <c r="BC245" s="1" t="s">
        <v>2638</v>
      </c>
      <c r="BD245" s="1" t="s">
        <v>74</v>
      </c>
      <c r="BE245" s="1" t="s">
        <v>2639</v>
      </c>
      <c r="BF245" s="2" t="str">
        <f>HYPERLINK("http://dx.doi.org/10.1107/S1600536808007745","http://dx.doi.org/10.1107/S1600536808007745")</f>
        <v>http://dx.doi.org/10.1107/S1600536808007745</v>
      </c>
      <c r="BG245" s="1" t="s">
        <v>74</v>
      </c>
      <c r="BH245" s="1" t="s">
        <v>74</v>
      </c>
      <c r="BI245" s="1" t="s">
        <v>74</v>
      </c>
      <c r="BJ245" s="1" t="s">
        <v>74</v>
      </c>
      <c r="BK245" s="1" t="s">
        <v>74</v>
      </c>
      <c r="BL245" s="1" t="s">
        <v>74</v>
      </c>
      <c r="BM245" s="1" t="s">
        <v>74</v>
      </c>
      <c r="BN245" s="1">
        <v>2.1202468E7</v>
      </c>
      <c r="BO245" s="1" t="s">
        <v>74</v>
      </c>
      <c r="BP245" s="1" t="s">
        <v>74</v>
      </c>
      <c r="BQ245" s="1" t="s">
        <v>74</v>
      </c>
      <c r="BR245" s="1" t="s">
        <v>74</v>
      </c>
      <c r="BS245" s="1" t="s">
        <v>2640</v>
      </c>
      <c r="BT245" s="1" t="str">
        <f>HYPERLINK("https%3A%2F%2Fwww.webofscience.com%2Fwos%2Fwoscc%2Ffull-record%2FWOS:000256441200038","View Full Record in Web of Science")</f>
        <v>View Full Record in Web of Science</v>
      </c>
    </row>
    <row r="246" ht="12.75" customHeight="1">
      <c r="A246" s="1" t="s">
        <v>72</v>
      </c>
      <c r="B246" s="1" t="s">
        <v>2641</v>
      </c>
      <c r="C246" s="1" t="s">
        <v>74</v>
      </c>
      <c r="D246" s="1" t="s">
        <v>74</v>
      </c>
      <c r="E246" s="1" t="s">
        <v>74</v>
      </c>
      <c r="F246" s="1" t="s">
        <v>2642</v>
      </c>
      <c r="G246" s="1" t="s">
        <v>74</v>
      </c>
      <c r="H246" s="1" t="s">
        <v>74</v>
      </c>
      <c r="I246" s="1" t="s">
        <v>2643</v>
      </c>
      <c r="J246" s="1" t="s">
        <v>2644</v>
      </c>
      <c r="K246" s="1" t="s">
        <v>74</v>
      </c>
      <c r="L246" s="1" t="s">
        <v>74</v>
      </c>
      <c r="M246" s="1" t="s">
        <v>74</v>
      </c>
      <c r="N246" s="1" t="s">
        <v>74</v>
      </c>
      <c r="O246" s="1" t="s">
        <v>74</v>
      </c>
      <c r="P246" s="1" t="s">
        <v>74</v>
      </c>
      <c r="Q246" s="1" t="s">
        <v>74</v>
      </c>
      <c r="R246" s="1" t="s">
        <v>74</v>
      </c>
      <c r="S246" s="1" t="s">
        <v>74</v>
      </c>
      <c r="T246" s="1" t="s">
        <v>74</v>
      </c>
      <c r="U246" s="1" t="s">
        <v>74</v>
      </c>
      <c r="V246" s="1" t="s">
        <v>2645</v>
      </c>
      <c r="W246" s="1" t="s">
        <v>74</v>
      </c>
      <c r="X246" s="1" t="s">
        <v>74</v>
      </c>
      <c r="Y246" s="1" t="s">
        <v>74</v>
      </c>
      <c r="Z246" s="1" t="s">
        <v>74</v>
      </c>
      <c r="AA246" s="1" t="s">
        <v>2646</v>
      </c>
      <c r="AB246" s="1" t="s">
        <v>2647</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2648</v>
      </c>
      <c r="AP246" s="1" t="s">
        <v>74</v>
      </c>
      <c r="AQ246" s="1" t="s">
        <v>74</v>
      </c>
      <c r="AR246" s="1" t="s">
        <v>74</v>
      </c>
      <c r="AS246" s="1" t="s">
        <v>74</v>
      </c>
      <c r="AT246" s="1" t="s">
        <v>2649</v>
      </c>
      <c r="AU246" s="1">
        <v>2007.0</v>
      </c>
      <c r="AV246" s="1">
        <v>26.0</v>
      </c>
      <c r="AW246" s="1">
        <v>12.0</v>
      </c>
      <c r="AX246" s="1" t="s">
        <v>74</v>
      </c>
      <c r="AY246" s="1" t="s">
        <v>74</v>
      </c>
      <c r="AZ246" s="1" t="s">
        <v>74</v>
      </c>
      <c r="BA246" s="1" t="s">
        <v>74</v>
      </c>
      <c r="BB246" s="1">
        <v>2621.0</v>
      </c>
      <c r="BC246" s="1">
        <v>2628.0</v>
      </c>
      <c r="BD246" s="1" t="s">
        <v>74</v>
      </c>
      <c r="BE246" s="1" t="s">
        <v>2650</v>
      </c>
      <c r="BF246" s="2" t="str">
        <f>HYPERLINK("http://dx.doi.org/10.1016/j.poly.2006.12.044","http://dx.doi.org/10.1016/j.poly.2006.12.044")</f>
        <v>http://dx.doi.org/10.1016/j.poly.2006.12.044</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2651</v>
      </c>
      <c r="BT246" s="1" t="str">
        <f>HYPERLINK("https%3A%2F%2Fwww.webofscience.com%2Fwos%2Fwoscc%2Ffull-record%2FWOS:000248633900032","View Full Record in Web of Science")</f>
        <v>View Full Record in Web of Science</v>
      </c>
    </row>
    <row r="247" ht="12.75" customHeight="1">
      <c r="A247" s="1" t="s">
        <v>72</v>
      </c>
      <c r="B247" s="1" t="s">
        <v>2652</v>
      </c>
      <c r="C247" s="1" t="s">
        <v>74</v>
      </c>
      <c r="D247" s="1" t="s">
        <v>74</v>
      </c>
      <c r="E247" s="1" t="s">
        <v>74</v>
      </c>
      <c r="F247" s="1" t="s">
        <v>2653</v>
      </c>
      <c r="G247" s="1" t="s">
        <v>74</v>
      </c>
      <c r="H247" s="1" t="s">
        <v>74</v>
      </c>
      <c r="I247" s="1" t="s">
        <v>2654</v>
      </c>
      <c r="J247" s="1" t="s">
        <v>2655</v>
      </c>
      <c r="K247" s="1" t="s">
        <v>74</v>
      </c>
      <c r="L247" s="1" t="s">
        <v>74</v>
      </c>
      <c r="M247" s="1" t="s">
        <v>74</v>
      </c>
      <c r="N247" s="1" t="s">
        <v>74</v>
      </c>
      <c r="O247" s="1" t="s">
        <v>2656</v>
      </c>
      <c r="P247" s="1" t="s">
        <v>2657</v>
      </c>
      <c r="Q247" s="1" t="s">
        <v>2658</v>
      </c>
      <c r="R247" s="1" t="s">
        <v>2659</v>
      </c>
      <c r="S247" s="1" t="s">
        <v>74</v>
      </c>
      <c r="T247" s="1" t="s">
        <v>74</v>
      </c>
      <c r="U247" s="1" t="s">
        <v>74</v>
      </c>
      <c r="V247" s="1" t="s">
        <v>2660</v>
      </c>
      <c r="W247" s="1" t="s">
        <v>74</v>
      </c>
      <c r="X247" s="1" t="s">
        <v>74</v>
      </c>
      <c r="Y247" s="1" t="s">
        <v>74</v>
      </c>
      <c r="Z247" s="1" t="s">
        <v>74</v>
      </c>
      <c r="AA247" s="1" t="s">
        <v>2661</v>
      </c>
      <c r="AB247" s="1" t="s">
        <v>2662</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2663</v>
      </c>
      <c r="AP247" s="1" t="s">
        <v>2664</v>
      </c>
      <c r="AQ247" s="1" t="s">
        <v>74</v>
      </c>
      <c r="AR247" s="1" t="s">
        <v>74</v>
      </c>
      <c r="AS247" s="1" t="s">
        <v>74</v>
      </c>
      <c r="AT247" s="1" t="s">
        <v>822</v>
      </c>
      <c r="AU247" s="1">
        <v>2007.0</v>
      </c>
      <c r="AV247" s="1">
        <v>70.0</v>
      </c>
      <c r="AW247" s="1">
        <v>1.0</v>
      </c>
      <c r="AX247" s="1" t="s">
        <v>74</v>
      </c>
      <c r="AY247" s="1" t="s">
        <v>74</v>
      </c>
      <c r="AZ247" s="1" t="s">
        <v>1350</v>
      </c>
      <c r="BA247" s="1" t="s">
        <v>74</v>
      </c>
      <c r="BB247" s="1">
        <v>147.0</v>
      </c>
      <c r="BC247" s="1">
        <v>154.0</v>
      </c>
      <c r="BD247" s="1" t="s">
        <v>74</v>
      </c>
      <c r="BE247" s="1" t="s">
        <v>2665</v>
      </c>
      <c r="BF247" s="2" t="str">
        <f>HYPERLINK("http://dx.doi.org/10.1016/j.bioelechem.2006.03.025","http://dx.doi.org/10.1016/j.bioelechem.2006.03.025")</f>
        <v>http://dx.doi.org/10.1016/j.bioelechem.2006.03.025</v>
      </c>
      <c r="BG247" s="1" t="s">
        <v>74</v>
      </c>
      <c r="BH247" s="1" t="s">
        <v>74</v>
      </c>
      <c r="BI247" s="1" t="s">
        <v>74</v>
      </c>
      <c r="BJ247" s="1" t="s">
        <v>74</v>
      </c>
      <c r="BK247" s="1" t="s">
        <v>74</v>
      </c>
      <c r="BL247" s="1" t="s">
        <v>74</v>
      </c>
      <c r="BM247" s="1" t="s">
        <v>74</v>
      </c>
      <c r="BN247" s="1">
        <v>1.6723282E7</v>
      </c>
      <c r="BO247" s="1" t="s">
        <v>74</v>
      </c>
      <c r="BP247" s="1" t="s">
        <v>74</v>
      </c>
      <c r="BQ247" s="1" t="s">
        <v>74</v>
      </c>
      <c r="BR247" s="1" t="s">
        <v>74</v>
      </c>
      <c r="BS247" s="1" t="s">
        <v>2666</v>
      </c>
      <c r="BT247" s="1" t="str">
        <f>HYPERLINK("https%3A%2F%2Fwww.webofscience.com%2Fwos%2Fwoscc%2Ffull-record%2FWOS:000243708600026","View Full Record in Web of Science")</f>
        <v>View Full Record in Web of Science</v>
      </c>
    </row>
    <row r="248" ht="12.75" customHeight="1">
      <c r="A248" s="1" t="s">
        <v>72</v>
      </c>
      <c r="B248" s="1" t="s">
        <v>2667</v>
      </c>
      <c r="C248" s="1" t="s">
        <v>74</v>
      </c>
      <c r="D248" s="1" t="s">
        <v>74</v>
      </c>
      <c r="E248" s="1" t="s">
        <v>74</v>
      </c>
      <c r="F248" s="1" t="s">
        <v>2667</v>
      </c>
      <c r="G248" s="1" t="s">
        <v>74</v>
      </c>
      <c r="H248" s="1" t="s">
        <v>74</v>
      </c>
      <c r="I248" s="1" t="s">
        <v>2668</v>
      </c>
      <c r="J248" s="1" t="s">
        <v>2669</v>
      </c>
      <c r="K248" s="1" t="s">
        <v>74</v>
      </c>
      <c r="L248" s="1" t="s">
        <v>74</v>
      </c>
      <c r="M248" s="1" t="s">
        <v>74</v>
      </c>
      <c r="N248" s="1" t="s">
        <v>74</v>
      </c>
      <c r="O248" s="1" t="s">
        <v>74</v>
      </c>
      <c r="P248" s="1" t="s">
        <v>74</v>
      </c>
      <c r="Q248" s="1" t="s">
        <v>74</v>
      </c>
      <c r="R248" s="1" t="s">
        <v>74</v>
      </c>
      <c r="S248" s="1" t="s">
        <v>74</v>
      </c>
      <c r="T248" s="1" t="s">
        <v>74</v>
      </c>
      <c r="U248" s="1" t="s">
        <v>74</v>
      </c>
      <c r="V248" s="1" t="s">
        <v>2670</v>
      </c>
      <c r="W248" s="1" t="s">
        <v>74</v>
      </c>
      <c r="X248" s="1" t="s">
        <v>74</v>
      </c>
      <c r="Y248" s="1" t="s">
        <v>74</v>
      </c>
      <c r="Z248" s="1" t="s">
        <v>74</v>
      </c>
      <c r="AA248" s="1" t="s">
        <v>2671</v>
      </c>
      <c r="AB248" s="1" t="s">
        <v>2672</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2673</v>
      </c>
      <c r="AP248" s="1" t="s">
        <v>2674</v>
      </c>
      <c r="AQ248" s="1" t="s">
        <v>74</v>
      </c>
      <c r="AR248" s="1" t="s">
        <v>74</v>
      </c>
      <c r="AS248" s="1" t="s">
        <v>74</v>
      </c>
      <c r="AT248" s="1" t="s">
        <v>822</v>
      </c>
      <c r="AU248" s="1">
        <v>2006.0</v>
      </c>
      <c r="AV248" s="1">
        <v>20.0</v>
      </c>
      <c r="AW248" s="1">
        <v>1.0</v>
      </c>
      <c r="AX248" s="1" t="s">
        <v>74</v>
      </c>
      <c r="AY248" s="1" t="s">
        <v>74</v>
      </c>
      <c r="AZ248" s="1" t="s">
        <v>74</v>
      </c>
      <c r="BA248" s="1" t="s">
        <v>74</v>
      </c>
      <c r="BB248" s="1">
        <v>13.0</v>
      </c>
      <c r="BC248" s="1">
        <v>19.0</v>
      </c>
      <c r="BD248" s="1" t="s">
        <v>74</v>
      </c>
      <c r="BE248" s="1" t="s">
        <v>2675</v>
      </c>
      <c r="BF248" s="2" t="str">
        <f>HYPERLINK("http://dx.doi.org/10.1080/14786410410001723164","http://dx.doi.org/10.1080/14786410410001723164")</f>
        <v>http://dx.doi.org/10.1080/14786410410001723164</v>
      </c>
      <c r="BG248" s="1" t="s">
        <v>74</v>
      </c>
      <c r="BH248" s="1" t="s">
        <v>74</v>
      </c>
      <c r="BI248" s="1" t="s">
        <v>74</v>
      </c>
      <c r="BJ248" s="1" t="s">
        <v>74</v>
      </c>
      <c r="BK248" s="1" t="s">
        <v>74</v>
      </c>
      <c r="BL248" s="1" t="s">
        <v>74</v>
      </c>
      <c r="BM248" s="1" t="s">
        <v>74</v>
      </c>
      <c r="BN248" s="1">
        <v>1.6286302E7</v>
      </c>
      <c r="BO248" s="1" t="s">
        <v>74</v>
      </c>
      <c r="BP248" s="1" t="s">
        <v>74</v>
      </c>
      <c r="BQ248" s="1" t="s">
        <v>74</v>
      </c>
      <c r="BR248" s="1" t="s">
        <v>74</v>
      </c>
      <c r="BS248" s="1" t="s">
        <v>2676</v>
      </c>
      <c r="BT248" s="1" t="str">
        <f>HYPERLINK("https%3A%2F%2Fwww.webofscience.com%2Fwos%2Fwoscc%2Ffull-record%2FWOS:000234922900003","View Full Record in Web of Science")</f>
        <v>View Full Record in Web of Science</v>
      </c>
    </row>
    <row r="249" ht="12.75" customHeight="1">
      <c r="A249" s="1" t="s">
        <v>72</v>
      </c>
      <c r="B249" s="1" t="s">
        <v>2677</v>
      </c>
      <c r="C249" s="1" t="s">
        <v>74</v>
      </c>
      <c r="D249" s="1" t="s">
        <v>74</v>
      </c>
      <c r="E249" s="1" t="s">
        <v>74</v>
      </c>
      <c r="F249" s="1" t="s">
        <v>2677</v>
      </c>
      <c r="G249" s="1" t="s">
        <v>74</v>
      </c>
      <c r="H249" s="1" t="s">
        <v>74</v>
      </c>
      <c r="I249" s="1" t="s">
        <v>2678</v>
      </c>
      <c r="J249" s="1" t="s">
        <v>2679</v>
      </c>
      <c r="K249" s="1" t="s">
        <v>74</v>
      </c>
      <c r="L249" s="1" t="s">
        <v>74</v>
      </c>
      <c r="M249" s="1" t="s">
        <v>74</v>
      </c>
      <c r="N249" s="1" t="s">
        <v>74</v>
      </c>
      <c r="O249" s="1" t="s">
        <v>74</v>
      </c>
      <c r="P249" s="1" t="s">
        <v>74</v>
      </c>
      <c r="Q249" s="1" t="s">
        <v>74</v>
      </c>
      <c r="R249" s="1" t="s">
        <v>74</v>
      </c>
      <c r="S249" s="1" t="s">
        <v>74</v>
      </c>
      <c r="T249" s="1" t="s">
        <v>74</v>
      </c>
      <c r="U249" s="1" t="s">
        <v>74</v>
      </c>
      <c r="V249" s="1" t="s">
        <v>74</v>
      </c>
      <c r="W249" s="1" t="s">
        <v>74</v>
      </c>
      <c r="X249" s="1" t="s">
        <v>74</v>
      </c>
      <c r="Y249" s="1" t="s">
        <v>74</v>
      </c>
      <c r="Z249" s="1" t="s">
        <v>74</v>
      </c>
      <c r="AA249" s="1" t="s">
        <v>238</v>
      </c>
      <c r="AB249" s="1" t="s">
        <v>2680</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2681</v>
      </c>
      <c r="AP249" s="1" t="s">
        <v>74</v>
      </c>
      <c r="AQ249" s="1" t="s">
        <v>74</v>
      </c>
      <c r="AR249" s="1" t="s">
        <v>74</v>
      </c>
      <c r="AS249" s="1" t="s">
        <v>74</v>
      </c>
      <c r="AT249" s="1" t="s">
        <v>1082</v>
      </c>
      <c r="AU249" s="1">
        <v>2003.0</v>
      </c>
      <c r="AV249" s="1">
        <v>98.0</v>
      </c>
      <c r="AW249" s="1">
        <v>7.0</v>
      </c>
      <c r="AX249" s="1" t="s">
        <v>74</v>
      </c>
      <c r="AY249" s="1" t="s">
        <v>74</v>
      </c>
      <c r="AZ249" s="1" t="s">
        <v>74</v>
      </c>
      <c r="BA249" s="1" t="s">
        <v>74</v>
      </c>
      <c r="BB249" s="1">
        <v>1497.0</v>
      </c>
      <c r="BC249" s="1">
        <v>1500.0</v>
      </c>
      <c r="BD249" s="1" t="s">
        <v>74</v>
      </c>
      <c r="BE249" s="1" t="s">
        <v>2682</v>
      </c>
      <c r="BF249" s="2" t="str">
        <f>HYPERLINK("http://dx.doi.org/10.2113/98.7.1497","http://dx.doi.org/10.2113/98.7.1497")</f>
        <v>http://dx.doi.org/10.2113/98.7.1497</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2683</v>
      </c>
      <c r="BT249" s="1" t="str">
        <f>HYPERLINK("https%3A%2F%2Fwww.webofscience.com%2Fwos%2Fwoscc%2Ffull-record%2FWOS:000187003900014","View Full Record in Web of Science")</f>
        <v>View Full Record in Web of Science</v>
      </c>
    </row>
    <row r="250" ht="12.75" customHeight="1">
      <c r="A250" s="1" t="s">
        <v>72</v>
      </c>
      <c r="B250" s="1" t="s">
        <v>2684</v>
      </c>
      <c r="C250" s="1" t="s">
        <v>74</v>
      </c>
      <c r="D250" s="1" t="s">
        <v>74</v>
      </c>
      <c r="E250" s="1" t="s">
        <v>74</v>
      </c>
      <c r="F250" s="1" t="s">
        <v>2684</v>
      </c>
      <c r="G250" s="1" t="s">
        <v>74</v>
      </c>
      <c r="H250" s="1" t="s">
        <v>74</v>
      </c>
      <c r="I250" s="1" t="s">
        <v>2685</v>
      </c>
      <c r="J250" s="1" t="s">
        <v>948</v>
      </c>
      <c r="K250" s="1" t="s">
        <v>74</v>
      </c>
      <c r="L250" s="1" t="s">
        <v>74</v>
      </c>
      <c r="M250" s="1" t="s">
        <v>74</v>
      </c>
      <c r="N250" s="1" t="s">
        <v>74</v>
      </c>
      <c r="O250" s="1" t="s">
        <v>74</v>
      </c>
      <c r="P250" s="1" t="s">
        <v>74</v>
      </c>
      <c r="Q250" s="1" t="s">
        <v>74</v>
      </c>
      <c r="R250" s="1" t="s">
        <v>74</v>
      </c>
      <c r="S250" s="1" t="s">
        <v>74</v>
      </c>
      <c r="T250" s="1" t="s">
        <v>74</v>
      </c>
      <c r="U250" s="1" t="s">
        <v>74</v>
      </c>
      <c r="V250" s="1" t="s">
        <v>2686</v>
      </c>
      <c r="W250" s="1" t="s">
        <v>74</v>
      </c>
      <c r="X250" s="1" t="s">
        <v>74</v>
      </c>
      <c r="Y250" s="1" t="s">
        <v>74</v>
      </c>
      <c r="Z250" s="1" t="s">
        <v>74</v>
      </c>
      <c r="AA250" s="1" t="s">
        <v>74</v>
      </c>
      <c r="AB250" s="1" t="s">
        <v>1275</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2687</v>
      </c>
      <c r="AP250" s="1" t="s">
        <v>74</v>
      </c>
      <c r="AQ250" s="1" t="s">
        <v>74</v>
      </c>
      <c r="AR250" s="1" t="s">
        <v>74</v>
      </c>
      <c r="AS250" s="1" t="s">
        <v>74</v>
      </c>
      <c r="AT250" s="1" t="s">
        <v>241</v>
      </c>
      <c r="AU250" s="1">
        <v>2003.0</v>
      </c>
      <c r="AV250" s="1">
        <v>48.0</v>
      </c>
      <c r="AW250" s="1">
        <v>3.0</v>
      </c>
      <c r="AX250" s="1" t="s">
        <v>74</v>
      </c>
      <c r="AY250" s="1" t="s">
        <v>74</v>
      </c>
      <c r="AZ250" s="1" t="s">
        <v>74</v>
      </c>
      <c r="BA250" s="1" t="s">
        <v>74</v>
      </c>
      <c r="BB250" s="1">
        <v>27.0</v>
      </c>
      <c r="BC250" s="1">
        <v>29.0</v>
      </c>
      <c r="BD250" s="1" t="s">
        <v>74</v>
      </c>
      <c r="BE250" s="1" t="s">
        <v>74</v>
      </c>
      <c r="BF250" s="1" t="s">
        <v>74</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2688</v>
      </c>
      <c r="BT250" s="1" t="str">
        <f>HYPERLINK("https%3A%2F%2Fwww.webofscience.com%2Fwos%2Fwoscc%2Ffull-record%2FWOS:000185071000005","View Full Record in Web of Science")</f>
        <v>View Full Record in Web of Science</v>
      </c>
    </row>
    <row r="251" ht="12.75" customHeight="1">
      <c r="A251" s="1" t="s">
        <v>72</v>
      </c>
      <c r="B251" s="1" t="s">
        <v>2689</v>
      </c>
      <c r="C251" s="1" t="s">
        <v>74</v>
      </c>
      <c r="D251" s="1" t="s">
        <v>74</v>
      </c>
      <c r="E251" s="1" t="s">
        <v>74</v>
      </c>
      <c r="F251" s="1" t="s">
        <v>2689</v>
      </c>
      <c r="G251" s="1" t="s">
        <v>74</v>
      </c>
      <c r="H251" s="1" t="s">
        <v>74</v>
      </c>
      <c r="I251" s="1" t="s">
        <v>2690</v>
      </c>
      <c r="J251" s="1" t="s">
        <v>2691</v>
      </c>
      <c r="K251" s="1" t="s">
        <v>74</v>
      </c>
      <c r="L251" s="1" t="s">
        <v>74</v>
      </c>
      <c r="M251" s="1" t="s">
        <v>74</v>
      </c>
      <c r="N251" s="1" t="s">
        <v>74</v>
      </c>
      <c r="O251" s="1" t="s">
        <v>74</v>
      </c>
      <c r="P251" s="1" t="s">
        <v>74</v>
      </c>
      <c r="Q251" s="1" t="s">
        <v>74</v>
      </c>
      <c r="R251" s="1" t="s">
        <v>74</v>
      </c>
      <c r="S251" s="1" t="s">
        <v>74</v>
      </c>
      <c r="T251" s="1" t="s">
        <v>74</v>
      </c>
      <c r="U251" s="1" t="s">
        <v>74</v>
      </c>
      <c r="V251" s="1" t="s">
        <v>2692</v>
      </c>
      <c r="W251" s="1" t="s">
        <v>74</v>
      </c>
      <c r="X251" s="1" t="s">
        <v>74</v>
      </c>
      <c r="Y251" s="1" t="s">
        <v>74</v>
      </c>
      <c r="Z251" s="1" t="s">
        <v>74</v>
      </c>
      <c r="AA251" s="1" t="s">
        <v>2693</v>
      </c>
      <c r="AB251" s="1" t="s">
        <v>2694</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2695</v>
      </c>
      <c r="AP251" s="1" t="s">
        <v>74</v>
      </c>
      <c r="AQ251" s="1" t="s">
        <v>74</v>
      </c>
      <c r="AR251" s="1" t="s">
        <v>74</v>
      </c>
      <c r="AS251" s="1" t="s">
        <v>74</v>
      </c>
      <c r="AT251" s="1" t="s">
        <v>74</v>
      </c>
      <c r="AU251" s="1">
        <v>2003.0</v>
      </c>
      <c r="AV251" s="1">
        <v>37.0</v>
      </c>
      <c r="AW251" s="1">
        <v>3.0</v>
      </c>
      <c r="AX251" s="1" t="s">
        <v>74</v>
      </c>
      <c r="AY251" s="1" t="s">
        <v>74</v>
      </c>
      <c r="AZ251" s="1" t="s">
        <v>74</v>
      </c>
      <c r="BA251" s="1" t="s">
        <v>74</v>
      </c>
      <c r="BB251" s="1">
        <v>225.0</v>
      </c>
      <c r="BC251" s="1">
        <v>230.0</v>
      </c>
      <c r="BD251" s="1" t="s">
        <v>74</v>
      </c>
      <c r="BE251" s="1" t="s">
        <v>2696</v>
      </c>
      <c r="BF251" s="2" t="str">
        <f>HYPERLINK("http://dx.doi.org/10.1080/1071576031000081587","http://dx.doi.org/10.1080/1071576031000081587")</f>
        <v>http://dx.doi.org/10.1080/1071576031000081587</v>
      </c>
      <c r="BG251" s="1" t="s">
        <v>74</v>
      </c>
      <c r="BH251" s="1" t="s">
        <v>74</v>
      </c>
      <c r="BI251" s="1" t="s">
        <v>74</v>
      </c>
      <c r="BJ251" s="1" t="s">
        <v>74</v>
      </c>
      <c r="BK251" s="1" t="s">
        <v>74</v>
      </c>
      <c r="BL251" s="1" t="s">
        <v>74</v>
      </c>
      <c r="BM251" s="1" t="s">
        <v>74</v>
      </c>
      <c r="BN251" s="1">
        <v>1.2688417E7</v>
      </c>
      <c r="BO251" s="1" t="s">
        <v>74</v>
      </c>
      <c r="BP251" s="1" t="s">
        <v>74</v>
      </c>
      <c r="BQ251" s="1" t="s">
        <v>74</v>
      </c>
      <c r="BR251" s="1" t="s">
        <v>74</v>
      </c>
      <c r="BS251" s="1" t="s">
        <v>2697</v>
      </c>
      <c r="BT251" s="1" t="str">
        <f>HYPERLINK("https%3A%2F%2Fwww.webofscience.com%2Fwos%2Fwoscc%2Ffull-record%2FWOS:000180702700003","View Full Record in Web of Science")</f>
        <v>View Full Record in Web of Science</v>
      </c>
    </row>
    <row r="252" ht="12.75" customHeight="1">
      <c r="A252" s="1" t="s">
        <v>72</v>
      </c>
      <c r="B252" s="1" t="s">
        <v>2698</v>
      </c>
      <c r="C252" s="1" t="s">
        <v>74</v>
      </c>
      <c r="D252" s="1" t="s">
        <v>74</v>
      </c>
      <c r="E252" s="1" t="s">
        <v>74</v>
      </c>
      <c r="F252" s="1" t="s">
        <v>2698</v>
      </c>
      <c r="G252" s="1" t="s">
        <v>74</v>
      </c>
      <c r="H252" s="1" t="s">
        <v>74</v>
      </c>
      <c r="I252" s="1" t="s">
        <v>2699</v>
      </c>
      <c r="J252" s="1" t="s">
        <v>2700</v>
      </c>
      <c r="K252" s="1" t="s">
        <v>74</v>
      </c>
      <c r="L252" s="1" t="s">
        <v>74</v>
      </c>
      <c r="M252" s="1" t="s">
        <v>74</v>
      </c>
      <c r="N252" s="1" t="s">
        <v>74</v>
      </c>
      <c r="O252" s="1" t="s">
        <v>74</v>
      </c>
      <c r="P252" s="1" t="s">
        <v>74</v>
      </c>
      <c r="Q252" s="1" t="s">
        <v>74</v>
      </c>
      <c r="R252" s="1" t="s">
        <v>74</v>
      </c>
      <c r="S252" s="1" t="s">
        <v>74</v>
      </c>
      <c r="T252" s="1" t="s">
        <v>74</v>
      </c>
      <c r="U252" s="1" t="s">
        <v>74</v>
      </c>
      <c r="V252" s="1" t="s">
        <v>2701</v>
      </c>
      <c r="W252" s="1" t="s">
        <v>74</v>
      </c>
      <c r="X252" s="1" t="s">
        <v>74</v>
      </c>
      <c r="Y252" s="1" t="s">
        <v>74</v>
      </c>
      <c r="Z252" s="1" t="s">
        <v>74</v>
      </c>
      <c r="AA252" s="1" t="s">
        <v>2702</v>
      </c>
      <c r="AB252" s="1" t="s">
        <v>2703</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2704</v>
      </c>
      <c r="AP252" s="1" t="s">
        <v>74</v>
      </c>
      <c r="AQ252" s="1" t="s">
        <v>74</v>
      </c>
      <c r="AR252" s="1" t="s">
        <v>74</v>
      </c>
      <c r="AS252" s="1" t="s">
        <v>74</v>
      </c>
      <c r="AT252" s="1" t="s">
        <v>74</v>
      </c>
      <c r="AU252" s="1">
        <v>2003.0</v>
      </c>
      <c r="AV252" s="1">
        <v>13.0</v>
      </c>
      <c r="AW252" s="1">
        <v>4.0</v>
      </c>
      <c r="AX252" s="1" t="s">
        <v>74</v>
      </c>
      <c r="AY252" s="1" t="s">
        <v>74</v>
      </c>
      <c r="AZ252" s="1" t="s">
        <v>74</v>
      </c>
      <c r="BA252" s="1" t="s">
        <v>74</v>
      </c>
      <c r="BB252" s="1">
        <v>844.0</v>
      </c>
      <c r="BC252" s="1">
        <v>851.0</v>
      </c>
      <c r="BD252" s="1" t="s">
        <v>74</v>
      </c>
      <c r="BE252" s="1" t="s">
        <v>2705</v>
      </c>
      <c r="BF252" s="2" t="str">
        <f>HYPERLINK("http://dx.doi.org/10.1039/b212474b","http://dx.doi.org/10.1039/b212474b")</f>
        <v>http://dx.doi.org/10.1039/b212474b</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2706</v>
      </c>
      <c r="BT252" s="1" t="str">
        <f>HYPERLINK("https%3A%2F%2Fwww.webofscience.com%2Fwos%2Fwoscc%2Ffull-record%2FWOS:000181670900041","View Full Record in Web of Science")</f>
        <v>View Full Record in Web of Science</v>
      </c>
    </row>
    <row r="253" ht="12.75" customHeight="1">
      <c r="A253" s="1" t="s">
        <v>72</v>
      </c>
      <c r="B253" s="1" t="s">
        <v>2707</v>
      </c>
      <c r="C253" s="1" t="s">
        <v>74</v>
      </c>
      <c r="D253" s="1" t="s">
        <v>74</v>
      </c>
      <c r="E253" s="1" t="s">
        <v>74</v>
      </c>
      <c r="F253" s="1" t="s">
        <v>2707</v>
      </c>
      <c r="G253" s="1" t="s">
        <v>74</v>
      </c>
      <c r="H253" s="1" t="s">
        <v>74</v>
      </c>
      <c r="I253" s="1" t="s">
        <v>2708</v>
      </c>
      <c r="J253" s="1" t="s">
        <v>2709</v>
      </c>
      <c r="K253" s="1" t="s">
        <v>74</v>
      </c>
      <c r="L253" s="1" t="s">
        <v>74</v>
      </c>
      <c r="M253" s="1" t="s">
        <v>74</v>
      </c>
      <c r="N253" s="1" t="s">
        <v>74</v>
      </c>
      <c r="O253" s="1" t="s">
        <v>74</v>
      </c>
      <c r="P253" s="1" t="s">
        <v>74</v>
      </c>
      <c r="Q253" s="1" t="s">
        <v>74</v>
      </c>
      <c r="R253" s="1" t="s">
        <v>74</v>
      </c>
      <c r="S253" s="1" t="s">
        <v>74</v>
      </c>
      <c r="T253" s="1" t="s">
        <v>74</v>
      </c>
      <c r="U253" s="1" t="s">
        <v>74</v>
      </c>
      <c r="V253" s="1" t="s">
        <v>2710</v>
      </c>
      <c r="W253" s="1" t="s">
        <v>74</v>
      </c>
      <c r="X253" s="1" t="s">
        <v>74</v>
      </c>
      <c r="Y253" s="1" t="s">
        <v>74</v>
      </c>
      <c r="Z253" s="1" t="s">
        <v>74</v>
      </c>
      <c r="AA253" s="1" t="s">
        <v>2711</v>
      </c>
      <c r="AB253" s="1" t="s">
        <v>74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2712</v>
      </c>
      <c r="AP253" s="1" t="s">
        <v>74</v>
      </c>
      <c r="AQ253" s="1" t="s">
        <v>74</v>
      </c>
      <c r="AR253" s="1" t="s">
        <v>74</v>
      </c>
      <c r="AS253" s="1" t="s">
        <v>74</v>
      </c>
      <c r="AT253" s="1" t="s">
        <v>2713</v>
      </c>
      <c r="AU253" s="1">
        <v>1998.0</v>
      </c>
      <c r="AV253" s="1">
        <v>267.0</v>
      </c>
      <c r="AW253" s="1">
        <v>1.0</v>
      </c>
      <c r="AX253" s="1" t="s">
        <v>74</v>
      </c>
      <c r="AY253" s="1" t="s">
        <v>74</v>
      </c>
      <c r="AZ253" s="1" t="s">
        <v>74</v>
      </c>
      <c r="BA253" s="1" t="s">
        <v>74</v>
      </c>
      <c r="BB253" s="1">
        <v>151.0</v>
      </c>
      <c r="BC253" s="1">
        <v>158.0</v>
      </c>
      <c r="BD253" s="1" t="s">
        <v>74</v>
      </c>
      <c r="BE253" s="1" t="s">
        <v>2714</v>
      </c>
      <c r="BF253" s="2" t="str">
        <f>HYPERLINK("http://dx.doi.org/10.1016/S0020-1693(97)05571-0","http://dx.doi.org/10.1016/S0020-1693(97)05571-0")</f>
        <v>http://dx.doi.org/10.1016/S0020-1693(97)05571-0</v>
      </c>
      <c r="BG253" s="1" t="s">
        <v>74</v>
      </c>
      <c r="BH253" s="1" t="s">
        <v>74</v>
      </c>
      <c r="BI253" s="1" t="s">
        <v>74</v>
      </c>
      <c r="BJ253" s="1" t="s">
        <v>74</v>
      </c>
      <c r="BK253" s="1" t="s">
        <v>74</v>
      </c>
      <c r="BL253" s="1" t="s">
        <v>74</v>
      </c>
      <c r="BM253" s="1" t="s">
        <v>74</v>
      </c>
      <c r="BN253" s="1" t="s">
        <v>74</v>
      </c>
      <c r="BO253" s="1" t="s">
        <v>74</v>
      </c>
      <c r="BP253" s="1" t="s">
        <v>74</v>
      </c>
      <c r="BQ253" s="1" t="s">
        <v>74</v>
      </c>
      <c r="BR253" s="1" t="s">
        <v>74</v>
      </c>
      <c r="BS253" s="1" t="s">
        <v>2715</v>
      </c>
      <c r="BT253" s="1" t="str">
        <f>HYPERLINK("https%3A%2F%2Fwww.webofscience.com%2Fwos%2Fwoscc%2Ffull-record%2FWOS:A1998YJ83100023","View Full Record in Web of Science")</f>
        <v>View Full Record in Web of Science</v>
      </c>
    </row>
    <row r="254" ht="12.75" customHeight="1">
      <c r="A254" s="1" t="s">
        <v>72</v>
      </c>
      <c r="B254" s="1" t="s">
        <v>2716</v>
      </c>
      <c r="C254" s="1" t="s">
        <v>74</v>
      </c>
      <c r="D254" s="1" t="s">
        <v>74</v>
      </c>
      <c r="E254" s="1" t="s">
        <v>74</v>
      </c>
      <c r="F254" s="1" t="s">
        <v>2717</v>
      </c>
      <c r="G254" s="1" t="s">
        <v>74</v>
      </c>
      <c r="H254" s="1" t="s">
        <v>74</v>
      </c>
      <c r="I254" s="1" t="s">
        <v>2718</v>
      </c>
      <c r="J254" s="1" t="s">
        <v>2719</v>
      </c>
      <c r="K254" s="1" t="s">
        <v>74</v>
      </c>
      <c r="L254" s="1" t="s">
        <v>74</v>
      </c>
      <c r="M254" s="1" t="s">
        <v>74</v>
      </c>
      <c r="N254" s="1" t="s">
        <v>74</v>
      </c>
      <c r="O254" s="1" t="s">
        <v>74</v>
      </c>
      <c r="P254" s="1" t="s">
        <v>74</v>
      </c>
      <c r="Q254" s="1" t="s">
        <v>74</v>
      </c>
      <c r="R254" s="1" t="s">
        <v>74</v>
      </c>
      <c r="S254" s="1" t="s">
        <v>74</v>
      </c>
      <c r="T254" s="1" t="s">
        <v>74</v>
      </c>
      <c r="U254" s="1" t="s">
        <v>74</v>
      </c>
      <c r="V254" s="1" t="s">
        <v>2720</v>
      </c>
      <c r="W254" s="1" t="s">
        <v>74</v>
      </c>
      <c r="X254" s="1" t="s">
        <v>74</v>
      </c>
      <c r="Y254" s="1" t="s">
        <v>74</v>
      </c>
      <c r="Z254" s="1" t="s">
        <v>74</v>
      </c>
      <c r="AA254" s="1" t="s">
        <v>2721</v>
      </c>
      <c r="AB254" s="1" t="s">
        <v>74</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2722</v>
      </c>
      <c r="AP254" s="1" t="s">
        <v>2723</v>
      </c>
      <c r="AQ254" s="1" t="s">
        <v>74</v>
      </c>
      <c r="AR254" s="1" t="s">
        <v>74</v>
      </c>
      <c r="AS254" s="1" t="s">
        <v>74</v>
      </c>
      <c r="AT254" s="1" t="s">
        <v>1082</v>
      </c>
      <c r="AU254" s="1">
        <v>2024.0</v>
      </c>
      <c r="AV254" s="1">
        <v>191.0</v>
      </c>
      <c r="AW254" s="1" t="s">
        <v>74</v>
      </c>
      <c r="AX254" s="1" t="s">
        <v>74</v>
      </c>
      <c r="AY254" s="1" t="s">
        <v>74</v>
      </c>
      <c r="AZ254" s="1" t="s">
        <v>74</v>
      </c>
      <c r="BA254" s="1" t="s">
        <v>74</v>
      </c>
      <c r="BB254" s="1" t="s">
        <v>74</v>
      </c>
      <c r="BC254" s="1" t="s">
        <v>74</v>
      </c>
      <c r="BD254" s="1">
        <v>103634.0</v>
      </c>
      <c r="BE254" s="1" t="s">
        <v>2724</v>
      </c>
      <c r="BF254" s="2" t="str">
        <f>HYPERLINK("http://dx.doi.org/10.1016/j.matpur.2024.103634","http://dx.doi.org/10.1016/j.matpur.2024.103634")</f>
        <v>http://dx.doi.org/10.1016/j.matpur.2024.103634</v>
      </c>
      <c r="BG254" s="1" t="s">
        <v>74</v>
      </c>
      <c r="BH254" s="1" t="s">
        <v>2725</v>
      </c>
      <c r="BI254" s="1" t="s">
        <v>74</v>
      </c>
      <c r="BJ254" s="1" t="s">
        <v>74</v>
      </c>
      <c r="BK254" s="1" t="s">
        <v>74</v>
      </c>
      <c r="BL254" s="1" t="s">
        <v>74</v>
      </c>
      <c r="BM254" s="1" t="s">
        <v>74</v>
      </c>
      <c r="BN254" s="1" t="s">
        <v>74</v>
      </c>
      <c r="BO254" s="1" t="s">
        <v>74</v>
      </c>
      <c r="BP254" s="1" t="s">
        <v>74</v>
      </c>
      <c r="BQ254" s="1" t="s">
        <v>74</v>
      </c>
      <c r="BR254" s="1" t="s">
        <v>74</v>
      </c>
      <c r="BS254" s="1" t="s">
        <v>2726</v>
      </c>
      <c r="BT254" s="1" t="str">
        <f>HYPERLINK("https%3A%2F%2Fwww.webofscience.com%2Fwos%2Fwoscc%2Ffull-record%2FWOS:001359414900001","View Full Record in Web of Science")</f>
        <v>View Full Record in Web of Science</v>
      </c>
    </row>
    <row r="255" ht="12.75" customHeight="1">
      <c r="A255" s="1" t="s">
        <v>72</v>
      </c>
      <c r="B255" s="1" t="s">
        <v>2727</v>
      </c>
      <c r="C255" s="1" t="s">
        <v>74</v>
      </c>
      <c r="D255" s="1" t="s">
        <v>74</v>
      </c>
      <c r="E255" s="1" t="s">
        <v>74</v>
      </c>
      <c r="F255" s="1" t="s">
        <v>2728</v>
      </c>
      <c r="G255" s="1" t="s">
        <v>74</v>
      </c>
      <c r="H255" s="1" t="s">
        <v>74</v>
      </c>
      <c r="I255" s="1" t="s">
        <v>2729</v>
      </c>
      <c r="J255" s="1" t="s">
        <v>2730</v>
      </c>
      <c r="K255" s="1" t="s">
        <v>74</v>
      </c>
      <c r="L255" s="1" t="s">
        <v>74</v>
      </c>
      <c r="M255" s="1" t="s">
        <v>74</v>
      </c>
      <c r="N255" s="1" t="s">
        <v>74</v>
      </c>
      <c r="O255" s="1" t="s">
        <v>74</v>
      </c>
      <c r="P255" s="1" t="s">
        <v>74</v>
      </c>
      <c r="Q255" s="1" t="s">
        <v>74</v>
      </c>
      <c r="R255" s="1" t="s">
        <v>74</v>
      </c>
      <c r="S255" s="1" t="s">
        <v>74</v>
      </c>
      <c r="T255" s="1" t="s">
        <v>74</v>
      </c>
      <c r="U255" s="1" t="s">
        <v>74</v>
      </c>
      <c r="V255" s="1" t="s">
        <v>2731</v>
      </c>
      <c r="W255" s="1" t="s">
        <v>74</v>
      </c>
      <c r="X255" s="1" t="s">
        <v>74</v>
      </c>
      <c r="Y255" s="1" t="s">
        <v>74</v>
      </c>
      <c r="Z255" s="1" t="s">
        <v>74</v>
      </c>
      <c r="AA255" s="1" t="s">
        <v>2732</v>
      </c>
      <c r="AB255" s="1" t="s">
        <v>2733</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74</v>
      </c>
      <c r="AP255" s="1" t="s">
        <v>2734</v>
      </c>
      <c r="AQ255" s="1" t="s">
        <v>74</v>
      </c>
      <c r="AR255" s="1" t="s">
        <v>74</v>
      </c>
      <c r="AS255" s="1" t="s">
        <v>74</v>
      </c>
      <c r="AT255" s="1" t="s">
        <v>151</v>
      </c>
      <c r="AU255" s="1">
        <v>2024.0</v>
      </c>
      <c r="AV255" s="1">
        <v>12.0</v>
      </c>
      <c r="AW255" s="1">
        <v>5.0</v>
      </c>
      <c r="AX255" s="1" t="s">
        <v>74</v>
      </c>
      <c r="AY255" s="1" t="s">
        <v>74</v>
      </c>
      <c r="AZ255" s="1" t="s">
        <v>74</v>
      </c>
      <c r="BA255" s="1" t="s">
        <v>74</v>
      </c>
      <c r="BB255" s="1" t="s">
        <v>74</v>
      </c>
      <c r="BC255" s="1" t="s">
        <v>74</v>
      </c>
      <c r="BD255" s="1">
        <v>52.0</v>
      </c>
      <c r="BE255" s="1" t="s">
        <v>2735</v>
      </c>
      <c r="BF255" s="2" t="str">
        <f>HYPERLINK("http://dx.doi.org/10.3390/galaxies12050052","http://dx.doi.org/10.3390/galaxies12050052")</f>
        <v>http://dx.doi.org/10.3390/galaxies12050052</v>
      </c>
      <c r="BG255" s="1" t="s">
        <v>74</v>
      </c>
      <c r="BH255" s="1" t="s">
        <v>74</v>
      </c>
      <c r="BI255" s="1" t="s">
        <v>74</v>
      </c>
      <c r="BJ255" s="1" t="s">
        <v>74</v>
      </c>
      <c r="BK255" s="1" t="s">
        <v>74</v>
      </c>
      <c r="BL255" s="1" t="s">
        <v>74</v>
      </c>
      <c r="BM255" s="1" t="s">
        <v>74</v>
      </c>
      <c r="BN255" s="1" t="s">
        <v>74</v>
      </c>
      <c r="BO255" s="1" t="s">
        <v>74</v>
      </c>
      <c r="BP255" s="1" t="s">
        <v>74</v>
      </c>
      <c r="BQ255" s="1" t="s">
        <v>74</v>
      </c>
      <c r="BR255" s="1" t="s">
        <v>74</v>
      </c>
      <c r="BS255" s="1" t="s">
        <v>2736</v>
      </c>
      <c r="BT255" s="1" t="str">
        <f>HYPERLINK("https%3A%2F%2Fwww.webofscience.com%2Fwos%2Fwoscc%2Ffull-record%2FWOS:001340915500001","View Full Record in Web of Science")</f>
        <v>View Full Record in Web of Science</v>
      </c>
    </row>
    <row r="256" ht="12.75" customHeight="1">
      <c r="A256" s="1" t="s">
        <v>72</v>
      </c>
      <c r="B256" s="1" t="s">
        <v>2737</v>
      </c>
      <c r="C256" s="1" t="s">
        <v>74</v>
      </c>
      <c r="D256" s="1" t="s">
        <v>74</v>
      </c>
      <c r="E256" s="1" t="s">
        <v>74</v>
      </c>
      <c r="F256" s="1" t="s">
        <v>2738</v>
      </c>
      <c r="G256" s="1" t="s">
        <v>74</v>
      </c>
      <c r="H256" s="1" t="s">
        <v>74</v>
      </c>
      <c r="I256" s="1" t="s">
        <v>2739</v>
      </c>
      <c r="J256" s="1" t="s">
        <v>2740</v>
      </c>
      <c r="K256" s="1" t="s">
        <v>74</v>
      </c>
      <c r="L256" s="1" t="s">
        <v>74</v>
      </c>
      <c r="M256" s="1" t="s">
        <v>74</v>
      </c>
      <c r="N256" s="1" t="s">
        <v>74</v>
      </c>
      <c r="O256" s="1" t="s">
        <v>74</v>
      </c>
      <c r="P256" s="1" t="s">
        <v>74</v>
      </c>
      <c r="Q256" s="1" t="s">
        <v>74</v>
      </c>
      <c r="R256" s="1" t="s">
        <v>74</v>
      </c>
      <c r="S256" s="1" t="s">
        <v>74</v>
      </c>
      <c r="T256" s="1" t="s">
        <v>74</v>
      </c>
      <c r="U256" s="1" t="s">
        <v>74</v>
      </c>
      <c r="V256" s="1" t="s">
        <v>2741</v>
      </c>
      <c r="W256" s="1" t="s">
        <v>74</v>
      </c>
      <c r="X256" s="1" t="s">
        <v>74</v>
      </c>
      <c r="Y256" s="1" t="s">
        <v>74</v>
      </c>
      <c r="Z256" s="1" t="s">
        <v>74</v>
      </c>
      <c r="AA256" s="1" t="s">
        <v>2742</v>
      </c>
      <c r="AB256" s="1" t="s">
        <v>2743</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74</v>
      </c>
      <c r="AP256" s="1" t="s">
        <v>2744</v>
      </c>
      <c r="AQ256" s="1" t="s">
        <v>74</v>
      </c>
      <c r="AR256" s="1" t="s">
        <v>74</v>
      </c>
      <c r="AS256" s="1" t="s">
        <v>74</v>
      </c>
      <c r="AT256" s="1" t="s">
        <v>151</v>
      </c>
      <c r="AU256" s="1">
        <v>2024.0</v>
      </c>
      <c r="AV256" s="1">
        <v>13.0</v>
      </c>
      <c r="AW256" s="1">
        <v>20.0</v>
      </c>
      <c r="AX256" s="1" t="s">
        <v>74</v>
      </c>
      <c r="AY256" s="1" t="s">
        <v>74</v>
      </c>
      <c r="AZ256" s="1" t="s">
        <v>74</v>
      </c>
      <c r="BA256" s="1" t="s">
        <v>74</v>
      </c>
      <c r="BB256" s="1" t="s">
        <v>74</v>
      </c>
      <c r="BC256" s="1" t="s">
        <v>74</v>
      </c>
      <c r="BD256" s="1">
        <v>3242.0</v>
      </c>
      <c r="BE256" s="1" t="s">
        <v>2745</v>
      </c>
      <c r="BF256" s="2" t="str">
        <f>HYPERLINK("http://dx.doi.org/10.3390/foods13203242","http://dx.doi.org/10.3390/foods13203242")</f>
        <v>http://dx.doi.org/10.3390/foods13203242</v>
      </c>
      <c r="BG256" s="1" t="s">
        <v>74</v>
      </c>
      <c r="BH256" s="1" t="s">
        <v>74</v>
      </c>
      <c r="BI256" s="1" t="s">
        <v>74</v>
      </c>
      <c r="BJ256" s="1" t="s">
        <v>74</v>
      </c>
      <c r="BK256" s="1" t="s">
        <v>74</v>
      </c>
      <c r="BL256" s="1" t="s">
        <v>74</v>
      </c>
      <c r="BM256" s="1" t="s">
        <v>74</v>
      </c>
      <c r="BN256" s="1">
        <v>3.9456304E7</v>
      </c>
      <c r="BO256" s="1" t="s">
        <v>74</v>
      </c>
      <c r="BP256" s="1" t="s">
        <v>74</v>
      </c>
      <c r="BQ256" s="1" t="s">
        <v>74</v>
      </c>
      <c r="BR256" s="1" t="s">
        <v>74</v>
      </c>
      <c r="BS256" s="1" t="s">
        <v>2746</v>
      </c>
      <c r="BT256" s="1" t="str">
        <f>HYPERLINK("https%3A%2F%2Fwww.webofscience.com%2Fwos%2Fwoscc%2Ffull-record%2FWOS:001341372800001","View Full Record in Web of Science")</f>
        <v>View Full Record in Web of Science</v>
      </c>
    </row>
    <row r="257" ht="12.75" customHeight="1">
      <c r="A257" s="1" t="s">
        <v>72</v>
      </c>
      <c r="B257" s="1" t="s">
        <v>2747</v>
      </c>
      <c r="C257" s="1" t="s">
        <v>74</v>
      </c>
      <c r="D257" s="1" t="s">
        <v>74</v>
      </c>
      <c r="E257" s="1" t="s">
        <v>74</v>
      </c>
      <c r="F257" s="1" t="s">
        <v>2748</v>
      </c>
      <c r="G257" s="1" t="s">
        <v>74</v>
      </c>
      <c r="H257" s="1" t="s">
        <v>74</v>
      </c>
      <c r="I257" s="1" t="s">
        <v>2749</v>
      </c>
      <c r="J257" s="1" t="s">
        <v>2487</v>
      </c>
      <c r="K257" s="1" t="s">
        <v>74</v>
      </c>
      <c r="L257" s="1" t="s">
        <v>74</v>
      </c>
      <c r="M257" s="1" t="s">
        <v>74</v>
      </c>
      <c r="N257" s="1" t="s">
        <v>74</v>
      </c>
      <c r="O257" s="1" t="s">
        <v>74</v>
      </c>
      <c r="P257" s="1" t="s">
        <v>74</v>
      </c>
      <c r="Q257" s="1" t="s">
        <v>74</v>
      </c>
      <c r="R257" s="1" t="s">
        <v>74</v>
      </c>
      <c r="S257" s="1" t="s">
        <v>74</v>
      </c>
      <c r="T257" s="1" t="s">
        <v>74</v>
      </c>
      <c r="U257" s="1" t="s">
        <v>74</v>
      </c>
      <c r="V257" s="1" t="s">
        <v>74</v>
      </c>
      <c r="W257" s="1" t="s">
        <v>74</v>
      </c>
      <c r="X257" s="1" t="s">
        <v>74</v>
      </c>
      <c r="Y257" s="1" t="s">
        <v>74</v>
      </c>
      <c r="Z257" s="1" t="s">
        <v>74</v>
      </c>
      <c r="AA257" s="1" t="s">
        <v>74</v>
      </c>
      <c r="AB257" s="1" t="s">
        <v>74</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74</v>
      </c>
      <c r="AP257" s="1" t="s">
        <v>2491</v>
      </c>
      <c r="AQ257" s="1" t="s">
        <v>74</v>
      </c>
      <c r="AR257" s="1" t="s">
        <v>74</v>
      </c>
      <c r="AS257" s="1" t="s">
        <v>74</v>
      </c>
      <c r="AT257" s="1" t="s">
        <v>2585</v>
      </c>
      <c r="AU257" s="1">
        <v>2024.0</v>
      </c>
      <c r="AV257" s="1">
        <v>15.0</v>
      </c>
      <c r="AW257" s="1" t="s">
        <v>74</v>
      </c>
      <c r="AX257" s="1" t="s">
        <v>74</v>
      </c>
      <c r="AY257" s="1" t="s">
        <v>74</v>
      </c>
      <c r="AZ257" s="1" t="s">
        <v>74</v>
      </c>
      <c r="BA257" s="1" t="s">
        <v>74</v>
      </c>
      <c r="BB257" s="1" t="s">
        <v>74</v>
      </c>
      <c r="BC257" s="1" t="s">
        <v>74</v>
      </c>
      <c r="BD257" s="1">
        <v>1471049.0</v>
      </c>
      <c r="BE257" s="1" t="s">
        <v>2750</v>
      </c>
      <c r="BF257" s="2" t="str">
        <f>HYPERLINK("http://dx.doi.org/10.3389/fphar.2024.1471049","http://dx.doi.org/10.3389/fphar.2024.1471049")</f>
        <v>http://dx.doi.org/10.3389/fphar.2024.1471049</v>
      </c>
      <c r="BG257" s="1" t="s">
        <v>74</v>
      </c>
      <c r="BH257" s="1" t="s">
        <v>74</v>
      </c>
      <c r="BI257" s="1" t="s">
        <v>74</v>
      </c>
      <c r="BJ257" s="1" t="s">
        <v>74</v>
      </c>
      <c r="BK257" s="1" t="s">
        <v>74</v>
      </c>
      <c r="BL257" s="1" t="s">
        <v>74</v>
      </c>
      <c r="BM257" s="1" t="s">
        <v>74</v>
      </c>
      <c r="BN257" s="1">
        <v>3.9228523E7</v>
      </c>
      <c r="BO257" s="1" t="s">
        <v>74</v>
      </c>
      <c r="BP257" s="1" t="s">
        <v>74</v>
      </c>
      <c r="BQ257" s="1" t="s">
        <v>74</v>
      </c>
      <c r="BR257" s="1" t="s">
        <v>74</v>
      </c>
      <c r="BS257" s="1" t="s">
        <v>2751</v>
      </c>
      <c r="BT257" s="1" t="str">
        <f>HYPERLINK("https%3A%2F%2Fwww.webofscience.com%2Fwos%2Fwoscc%2Ffull-record%2FWOS:001304076200001","View Full Record in Web of Science")</f>
        <v>View Full Record in Web of Science</v>
      </c>
    </row>
    <row r="258" ht="12.75" customHeight="1">
      <c r="A258" s="1" t="s">
        <v>72</v>
      </c>
      <c r="B258" s="1" t="s">
        <v>2752</v>
      </c>
      <c r="C258" s="1" t="s">
        <v>74</v>
      </c>
      <c r="D258" s="1" t="s">
        <v>74</v>
      </c>
      <c r="E258" s="1" t="s">
        <v>74</v>
      </c>
      <c r="F258" s="1" t="s">
        <v>2753</v>
      </c>
      <c r="G258" s="1" t="s">
        <v>74</v>
      </c>
      <c r="H258" s="1" t="s">
        <v>74</v>
      </c>
      <c r="I258" s="1" t="s">
        <v>2754</v>
      </c>
      <c r="J258" s="1" t="s">
        <v>2755</v>
      </c>
      <c r="K258" s="1" t="s">
        <v>74</v>
      </c>
      <c r="L258" s="1" t="s">
        <v>74</v>
      </c>
      <c r="M258" s="1" t="s">
        <v>74</v>
      </c>
      <c r="N258" s="1" t="s">
        <v>74</v>
      </c>
      <c r="O258" s="1" t="s">
        <v>74</v>
      </c>
      <c r="P258" s="1" t="s">
        <v>74</v>
      </c>
      <c r="Q258" s="1" t="s">
        <v>74</v>
      </c>
      <c r="R258" s="1" t="s">
        <v>74</v>
      </c>
      <c r="S258" s="1" t="s">
        <v>74</v>
      </c>
      <c r="T258" s="1" t="s">
        <v>74</v>
      </c>
      <c r="U258" s="1" t="s">
        <v>74</v>
      </c>
      <c r="V258" s="1" t="s">
        <v>2756</v>
      </c>
      <c r="W258" s="1" t="s">
        <v>74</v>
      </c>
      <c r="X258" s="1" t="s">
        <v>74</v>
      </c>
      <c r="Y258" s="1" t="s">
        <v>74</v>
      </c>
      <c r="Z258" s="1" t="s">
        <v>74</v>
      </c>
      <c r="AA258" s="1" t="s">
        <v>2757</v>
      </c>
      <c r="AB258" s="1" t="s">
        <v>2758</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2759</v>
      </c>
      <c r="AP258" s="1" t="s">
        <v>74</v>
      </c>
      <c r="AQ258" s="1" t="s">
        <v>74</v>
      </c>
      <c r="AR258" s="1" t="s">
        <v>74</v>
      </c>
      <c r="AS258" s="1" t="s">
        <v>74</v>
      </c>
      <c r="AT258" s="1" t="s">
        <v>83</v>
      </c>
      <c r="AU258" s="1">
        <v>2022.0</v>
      </c>
      <c r="AV258" s="1">
        <v>3.0</v>
      </c>
      <c r="AW258" s="1" t="s">
        <v>74</v>
      </c>
      <c r="AX258" s="1" t="s">
        <v>74</v>
      </c>
      <c r="AY258" s="1" t="s">
        <v>74</v>
      </c>
      <c r="AZ258" s="1" t="s">
        <v>74</v>
      </c>
      <c r="BA258" s="1" t="s">
        <v>74</v>
      </c>
      <c r="BB258" s="1" t="s">
        <v>74</v>
      </c>
      <c r="BC258" s="1" t="s">
        <v>74</v>
      </c>
      <c r="BD258" s="1">
        <v>100068.0</v>
      </c>
      <c r="BE258" s="1" t="s">
        <v>2760</v>
      </c>
      <c r="BF258" s="2" t="str">
        <f>HYPERLINK("http://dx.doi.org/10.1016/j.fsirep.2022.100068","http://dx.doi.org/10.1016/j.fsirep.2022.100068")</f>
        <v>http://dx.doi.org/10.1016/j.fsirep.2022.100068</v>
      </c>
      <c r="BG258" s="1" t="s">
        <v>74</v>
      </c>
      <c r="BH258" s="1" t="s">
        <v>74</v>
      </c>
      <c r="BI258" s="1" t="s">
        <v>74</v>
      </c>
      <c r="BJ258" s="1" t="s">
        <v>74</v>
      </c>
      <c r="BK258" s="1" t="s">
        <v>74</v>
      </c>
      <c r="BL258" s="1" t="s">
        <v>74</v>
      </c>
      <c r="BM258" s="1" t="s">
        <v>74</v>
      </c>
      <c r="BN258" s="1">
        <v>3.6569039E7</v>
      </c>
      <c r="BO258" s="1" t="s">
        <v>74</v>
      </c>
      <c r="BP258" s="1" t="s">
        <v>74</v>
      </c>
      <c r="BQ258" s="1" t="s">
        <v>74</v>
      </c>
      <c r="BR258" s="1" t="s">
        <v>74</v>
      </c>
      <c r="BS258" s="1" t="s">
        <v>2761</v>
      </c>
      <c r="BT258" s="1" t="str">
        <f>HYPERLINK("https%3A%2F%2Fwww.webofscience.com%2Fwos%2Fwoscc%2Ffull-record%2FWOS:001007680100036","View Full Record in Web of Science")</f>
        <v>View Full Record in Web of Science</v>
      </c>
    </row>
    <row r="259" ht="12.75" customHeight="1">
      <c r="A259" s="1" t="s">
        <v>72</v>
      </c>
      <c r="B259" s="1" t="s">
        <v>2762</v>
      </c>
      <c r="C259" s="1" t="s">
        <v>74</v>
      </c>
      <c r="D259" s="1" t="s">
        <v>74</v>
      </c>
      <c r="E259" s="1" t="s">
        <v>74</v>
      </c>
      <c r="F259" s="1" t="s">
        <v>2763</v>
      </c>
      <c r="G259" s="1" t="s">
        <v>74</v>
      </c>
      <c r="H259" s="1" t="s">
        <v>74</v>
      </c>
      <c r="I259" s="1" t="s">
        <v>2764</v>
      </c>
      <c r="J259" s="1" t="s">
        <v>2765</v>
      </c>
      <c r="K259" s="1" t="s">
        <v>74</v>
      </c>
      <c r="L259" s="1" t="s">
        <v>74</v>
      </c>
      <c r="M259" s="1" t="s">
        <v>74</v>
      </c>
      <c r="N259" s="1" t="s">
        <v>74</v>
      </c>
      <c r="O259" s="1" t="s">
        <v>74</v>
      </c>
      <c r="P259" s="1" t="s">
        <v>74</v>
      </c>
      <c r="Q259" s="1" t="s">
        <v>74</v>
      </c>
      <c r="R259" s="1" t="s">
        <v>74</v>
      </c>
      <c r="S259" s="1" t="s">
        <v>74</v>
      </c>
      <c r="T259" s="1" t="s">
        <v>74</v>
      </c>
      <c r="U259" s="1" t="s">
        <v>74</v>
      </c>
      <c r="V259" s="1" t="s">
        <v>2766</v>
      </c>
      <c r="W259" s="1" t="s">
        <v>74</v>
      </c>
      <c r="X259" s="1" t="s">
        <v>74</v>
      </c>
      <c r="Y259" s="1" t="s">
        <v>74</v>
      </c>
      <c r="Z259" s="1" t="s">
        <v>74</v>
      </c>
      <c r="AA259" s="1" t="s">
        <v>2767</v>
      </c>
      <c r="AB259" s="1" t="s">
        <v>2768</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2769</v>
      </c>
      <c r="AP259" s="1" t="s">
        <v>2770</v>
      </c>
      <c r="AQ259" s="1" t="s">
        <v>74</v>
      </c>
      <c r="AR259" s="1" t="s">
        <v>74</v>
      </c>
      <c r="AS259" s="1" t="s">
        <v>74</v>
      </c>
      <c r="AT259" s="1" t="s">
        <v>2771</v>
      </c>
      <c r="AU259" s="1">
        <v>2022.0</v>
      </c>
      <c r="AV259" s="1">
        <v>33.0</v>
      </c>
      <c r="AW259" s="1">
        <v>2.0</v>
      </c>
      <c r="AX259" s="1" t="s">
        <v>74</v>
      </c>
      <c r="AY259" s="1" t="s">
        <v>74</v>
      </c>
      <c r="AZ259" s="1" t="s">
        <v>74</v>
      </c>
      <c r="BA259" s="1" t="s">
        <v>74</v>
      </c>
      <c r="BB259" s="1">
        <v>31.0</v>
      </c>
      <c r="BC259" s="1">
        <v>35.0</v>
      </c>
      <c r="BD259" s="1" t="s">
        <v>74</v>
      </c>
      <c r="BE259" s="1" t="s">
        <v>2772</v>
      </c>
      <c r="BF259" s="2" t="str">
        <f>HYPERLINK("http://dx.doi.org/10.31527/analesafa.2022.33.2.31","http://dx.doi.org/10.31527/analesafa.2022.33.2.31")</f>
        <v>http://dx.doi.org/10.31527/analesafa.2022.33.2.31</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2773</v>
      </c>
      <c r="BT259" s="1" t="str">
        <f>HYPERLINK("https%3A%2F%2Fwww.webofscience.com%2Fwos%2Fwoscc%2Ffull-record%2FWOS:000828816500001","View Full Record in Web of Science")</f>
        <v>View Full Record in Web of Science</v>
      </c>
    </row>
    <row r="260" ht="12.75" customHeight="1">
      <c r="A260" s="1" t="s">
        <v>72</v>
      </c>
      <c r="B260" s="1" t="s">
        <v>2774</v>
      </c>
      <c r="C260" s="1" t="s">
        <v>74</v>
      </c>
      <c r="D260" s="1" t="s">
        <v>74</v>
      </c>
      <c r="E260" s="1" t="s">
        <v>74</v>
      </c>
      <c r="F260" s="1" t="s">
        <v>2775</v>
      </c>
      <c r="G260" s="1" t="s">
        <v>74</v>
      </c>
      <c r="H260" s="1" t="s">
        <v>74</v>
      </c>
      <c r="I260" s="1" t="s">
        <v>2776</v>
      </c>
      <c r="J260" s="1" t="s">
        <v>2777</v>
      </c>
      <c r="K260" s="1" t="s">
        <v>74</v>
      </c>
      <c r="L260" s="1" t="s">
        <v>74</v>
      </c>
      <c r="M260" s="1" t="s">
        <v>74</v>
      </c>
      <c r="N260" s="1" t="s">
        <v>74</v>
      </c>
      <c r="O260" s="1" t="s">
        <v>74</v>
      </c>
      <c r="P260" s="1" t="s">
        <v>74</v>
      </c>
      <c r="Q260" s="1" t="s">
        <v>74</v>
      </c>
      <c r="R260" s="1" t="s">
        <v>74</v>
      </c>
      <c r="S260" s="1" t="s">
        <v>74</v>
      </c>
      <c r="T260" s="1" t="s">
        <v>74</v>
      </c>
      <c r="U260" s="1" t="s">
        <v>74</v>
      </c>
      <c r="V260" s="1" t="s">
        <v>2778</v>
      </c>
      <c r="W260" s="1" t="s">
        <v>74</v>
      </c>
      <c r="X260" s="1" t="s">
        <v>74</v>
      </c>
      <c r="Y260" s="1" t="s">
        <v>74</v>
      </c>
      <c r="Z260" s="1" t="s">
        <v>74</v>
      </c>
      <c r="AA260" s="1" t="s">
        <v>2779</v>
      </c>
      <c r="AB260" s="1" t="s">
        <v>2780</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2781</v>
      </c>
      <c r="AP260" s="1" t="s">
        <v>2782</v>
      </c>
      <c r="AQ260" s="1" t="s">
        <v>74</v>
      </c>
      <c r="AR260" s="1" t="s">
        <v>74</v>
      </c>
      <c r="AS260" s="1" t="s">
        <v>74</v>
      </c>
      <c r="AT260" s="1" t="s">
        <v>241</v>
      </c>
      <c r="AU260" s="1">
        <v>2022.0</v>
      </c>
      <c r="AV260" s="1">
        <v>212.0</v>
      </c>
      <c r="AW260" s="1" t="s">
        <v>74</v>
      </c>
      <c r="AX260" s="1" t="s">
        <v>2783</v>
      </c>
      <c r="AY260" s="1" t="s">
        <v>74</v>
      </c>
      <c r="AZ260" s="1" t="s">
        <v>74</v>
      </c>
      <c r="BA260" s="1" t="s">
        <v>74</v>
      </c>
      <c r="BB260" s="1" t="s">
        <v>74</v>
      </c>
      <c r="BC260" s="1" t="s">
        <v>74</v>
      </c>
      <c r="BD260" s="1">
        <v>113553.0</v>
      </c>
      <c r="BE260" s="1" t="s">
        <v>2784</v>
      </c>
      <c r="BF260" s="2" t="str">
        <f>HYPERLINK("http://dx.doi.org/10.1016/j.envres.2022.113553","http://dx.doi.org/10.1016/j.envres.2022.113553")</f>
        <v>http://dx.doi.org/10.1016/j.envres.2022.113553</v>
      </c>
      <c r="BG260" s="1" t="s">
        <v>74</v>
      </c>
      <c r="BH260" s="1" t="s">
        <v>732</v>
      </c>
      <c r="BI260" s="1" t="s">
        <v>74</v>
      </c>
      <c r="BJ260" s="1" t="s">
        <v>74</v>
      </c>
      <c r="BK260" s="1" t="s">
        <v>74</v>
      </c>
      <c r="BL260" s="1" t="s">
        <v>74</v>
      </c>
      <c r="BM260" s="1" t="s">
        <v>74</v>
      </c>
      <c r="BN260" s="1">
        <v>3.566173E7</v>
      </c>
      <c r="BO260" s="1" t="s">
        <v>74</v>
      </c>
      <c r="BP260" s="1" t="s">
        <v>74</v>
      </c>
      <c r="BQ260" s="1" t="s">
        <v>74</v>
      </c>
      <c r="BR260" s="1" t="s">
        <v>74</v>
      </c>
      <c r="BS260" s="1" t="s">
        <v>2785</v>
      </c>
      <c r="BT260" s="1" t="str">
        <f>HYPERLINK("https%3A%2F%2Fwww.webofscience.com%2Fwos%2Fwoscc%2Ffull-record%2FWOS:000810306800001","View Full Record in Web of Science")</f>
        <v>View Full Record in Web of Science</v>
      </c>
    </row>
    <row r="261" ht="12.75" customHeight="1">
      <c r="A261" s="1" t="s">
        <v>72</v>
      </c>
      <c r="B261" s="1" t="s">
        <v>2786</v>
      </c>
      <c r="C261" s="1" t="s">
        <v>74</v>
      </c>
      <c r="D261" s="1" t="s">
        <v>74</v>
      </c>
      <c r="E261" s="1" t="s">
        <v>74</v>
      </c>
      <c r="F261" s="1" t="s">
        <v>2787</v>
      </c>
      <c r="G261" s="1" t="s">
        <v>74</v>
      </c>
      <c r="H261" s="1" t="s">
        <v>74</v>
      </c>
      <c r="I261" s="1" t="s">
        <v>2788</v>
      </c>
      <c r="J261" s="1" t="s">
        <v>2789</v>
      </c>
      <c r="K261" s="1" t="s">
        <v>74</v>
      </c>
      <c r="L261" s="1" t="s">
        <v>74</v>
      </c>
      <c r="M261" s="1" t="s">
        <v>74</v>
      </c>
      <c r="N261" s="1" t="s">
        <v>74</v>
      </c>
      <c r="O261" s="1" t="s">
        <v>74</v>
      </c>
      <c r="P261" s="1" t="s">
        <v>74</v>
      </c>
      <c r="Q261" s="1" t="s">
        <v>74</v>
      </c>
      <c r="R261" s="1" t="s">
        <v>74</v>
      </c>
      <c r="S261" s="1" t="s">
        <v>74</v>
      </c>
      <c r="T261" s="1" t="s">
        <v>74</v>
      </c>
      <c r="U261" s="1" t="s">
        <v>74</v>
      </c>
      <c r="V261" s="1" t="s">
        <v>2790</v>
      </c>
      <c r="W261" s="1" t="s">
        <v>74</v>
      </c>
      <c r="X261" s="1" t="s">
        <v>74</v>
      </c>
      <c r="Y261" s="1" t="s">
        <v>74</v>
      </c>
      <c r="Z261" s="1" t="s">
        <v>74</v>
      </c>
      <c r="AA261" s="1" t="s">
        <v>2791</v>
      </c>
      <c r="AB261" s="1" t="s">
        <v>2792</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2793</v>
      </c>
      <c r="AP261" s="1" t="s">
        <v>2794</v>
      </c>
      <c r="AQ261" s="1" t="s">
        <v>74</v>
      </c>
      <c r="AR261" s="1" t="s">
        <v>74</v>
      </c>
      <c r="AS261" s="1" t="s">
        <v>74</v>
      </c>
      <c r="AT261" s="1" t="s">
        <v>1082</v>
      </c>
      <c r="AU261" s="1">
        <v>2023.0</v>
      </c>
      <c r="AV261" s="1">
        <v>60.0</v>
      </c>
      <c r="AW261" s="1">
        <v>6.0</v>
      </c>
      <c r="AX261" s="1" t="s">
        <v>74</v>
      </c>
      <c r="AY261" s="1" t="s">
        <v>74</v>
      </c>
      <c r="AZ261" s="1" t="s">
        <v>74</v>
      </c>
      <c r="BA261" s="1" t="s">
        <v>74</v>
      </c>
      <c r="BB261" s="1">
        <v>740.0</v>
      </c>
      <c r="BC261" s="1">
        <v>780.0</v>
      </c>
      <c r="BD261" s="1">
        <v>2.24278221101119E14</v>
      </c>
      <c r="BE261" s="1" t="s">
        <v>2795</v>
      </c>
      <c r="BF261" s="2" t="str">
        <f>HYPERLINK("http://dx.doi.org/10.1177/00224278221101119","http://dx.doi.org/10.1177/00224278221101119")</f>
        <v>http://dx.doi.org/10.1177/00224278221101119</v>
      </c>
      <c r="BG261" s="1" t="s">
        <v>74</v>
      </c>
      <c r="BH261" s="1" t="s">
        <v>2796</v>
      </c>
      <c r="BI261" s="1" t="s">
        <v>74</v>
      </c>
      <c r="BJ261" s="1" t="s">
        <v>74</v>
      </c>
      <c r="BK261" s="1" t="s">
        <v>74</v>
      </c>
      <c r="BL261" s="1" t="s">
        <v>74</v>
      </c>
      <c r="BM261" s="1" t="s">
        <v>74</v>
      </c>
      <c r="BN261" s="1" t="s">
        <v>74</v>
      </c>
      <c r="BO261" s="1" t="s">
        <v>74</v>
      </c>
      <c r="BP261" s="1" t="s">
        <v>74</v>
      </c>
      <c r="BQ261" s="1" t="s">
        <v>74</v>
      </c>
      <c r="BR261" s="1" t="s">
        <v>74</v>
      </c>
      <c r="BS261" s="1" t="s">
        <v>2797</v>
      </c>
      <c r="BT261" s="1" t="str">
        <f>HYPERLINK("https%3A%2F%2Fwww.webofscience.com%2Fwos%2Fwoscc%2Ffull-record%2FWOS:000800272700001","View Full Record in Web of Science")</f>
        <v>View Full Record in Web of Science</v>
      </c>
    </row>
    <row r="262" ht="12.75" customHeight="1">
      <c r="A262" s="1" t="s">
        <v>72</v>
      </c>
      <c r="B262" s="1" t="s">
        <v>2798</v>
      </c>
      <c r="C262" s="1" t="s">
        <v>74</v>
      </c>
      <c r="D262" s="1" t="s">
        <v>74</v>
      </c>
      <c r="E262" s="1" t="s">
        <v>74</v>
      </c>
      <c r="F262" s="1" t="s">
        <v>2799</v>
      </c>
      <c r="G262" s="1" t="s">
        <v>74</v>
      </c>
      <c r="H262" s="1" t="s">
        <v>74</v>
      </c>
      <c r="I262" s="1" t="s">
        <v>2800</v>
      </c>
      <c r="J262" s="1" t="s">
        <v>2611</v>
      </c>
      <c r="K262" s="1" t="s">
        <v>74</v>
      </c>
      <c r="L262" s="1" t="s">
        <v>74</v>
      </c>
      <c r="M262" s="1" t="s">
        <v>74</v>
      </c>
      <c r="N262" s="1" t="s">
        <v>74</v>
      </c>
      <c r="O262" s="1" t="s">
        <v>74</v>
      </c>
      <c r="P262" s="1" t="s">
        <v>74</v>
      </c>
      <c r="Q262" s="1" t="s">
        <v>74</v>
      </c>
      <c r="R262" s="1" t="s">
        <v>74</v>
      </c>
      <c r="S262" s="1" t="s">
        <v>74</v>
      </c>
      <c r="T262" s="1" t="s">
        <v>74</v>
      </c>
      <c r="U262" s="1" t="s">
        <v>74</v>
      </c>
      <c r="V262" s="1" t="s">
        <v>2801</v>
      </c>
      <c r="W262" s="1" t="s">
        <v>74</v>
      </c>
      <c r="X262" s="1" t="s">
        <v>74</v>
      </c>
      <c r="Y262" s="1" t="s">
        <v>74</v>
      </c>
      <c r="Z262" s="1" t="s">
        <v>74</v>
      </c>
      <c r="AA262" s="1" t="s">
        <v>2802</v>
      </c>
      <c r="AB262" s="1" t="s">
        <v>2803</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2614</v>
      </c>
      <c r="AP262" s="1" t="s">
        <v>2615</v>
      </c>
      <c r="AQ262" s="1" t="s">
        <v>74</v>
      </c>
      <c r="AR262" s="1" t="s">
        <v>74</v>
      </c>
      <c r="AS262" s="1" t="s">
        <v>74</v>
      </c>
      <c r="AT262" s="1" t="s">
        <v>94</v>
      </c>
      <c r="AU262" s="1">
        <v>2022.0</v>
      </c>
      <c r="AV262" s="1">
        <v>97.0</v>
      </c>
      <c r="AW262" s="1">
        <v>5.0</v>
      </c>
      <c r="AX262" s="1" t="s">
        <v>74</v>
      </c>
      <c r="AY262" s="1" t="s">
        <v>74</v>
      </c>
      <c r="AZ262" s="1" t="s">
        <v>74</v>
      </c>
      <c r="BA262" s="1" t="s">
        <v>74</v>
      </c>
      <c r="BB262" s="1">
        <v>1224.0</v>
      </c>
      <c r="BC262" s="1">
        <v>1233.0</v>
      </c>
      <c r="BD262" s="1" t="s">
        <v>74</v>
      </c>
      <c r="BE262" s="1" t="s">
        <v>2804</v>
      </c>
      <c r="BF262" s="2" t="str">
        <f>HYPERLINK("http://dx.doi.org/10.1002/jctb.7013","http://dx.doi.org/10.1002/jctb.7013")</f>
        <v>http://dx.doi.org/10.1002/jctb.7013</v>
      </c>
      <c r="BG262" s="1" t="s">
        <v>74</v>
      </c>
      <c r="BH262" s="1" t="s">
        <v>2805</v>
      </c>
      <c r="BI262" s="1" t="s">
        <v>74</v>
      </c>
      <c r="BJ262" s="1" t="s">
        <v>74</v>
      </c>
      <c r="BK262" s="1" t="s">
        <v>74</v>
      </c>
      <c r="BL262" s="1" t="s">
        <v>74</v>
      </c>
      <c r="BM262" s="1" t="s">
        <v>74</v>
      </c>
      <c r="BN262" s="1" t="s">
        <v>74</v>
      </c>
      <c r="BO262" s="1" t="s">
        <v>74</v>
      </c>
      <c r="BP262" s="1" t="s">
        <v>74</v>
      </c>
      <c r="BQ262" s="1" t="s">
        <v>74</v>
      </c>
      <c r="BR262" s="1" t="s">
        <v>74</v>
      </c>
      <c r="BS262" s="1" t="s">
        <v>2806</v>
      </c>
      <c r="BT262" s="1" t="str">
        <f>HYPERLINK("https%3A%2F%2Fwww.webofscience.com%2Fwos%2Fwoscc%2Ffull-record%2FWOS:000738074400001","View Full Record in Web of Science")</f>
        <v>View Full Record in Web of Science</v>
      </c>
    </row>
    <row r="263" ht="12.75" customHeight="1">
      <c r="A263" s="1" t="s">
        <v>72</v>
      </c>
      <c r="B263" s="1" t="s">
        <v>2807</v>
      </c>
      <c r="C263" s="1" t="s">
        <v>74</v>
      </c>
      <c r="D263" s="1" t="s">
        <v>74</v>
      </c>
      <c r="E263" s="1" t="s">
        <v>74</v>
      </c>
      <c r="F263" s="1" t="s">
        <v>2808</v>
      </c>
      <c r="G263" s="1" t="s">
        <v>74</v>
      </c>
      <c r="H263" s="1" t="s">
        <v>74</v>
      </c>
      <c r="I263" s="1" t="s">
        <v>2809</v>
      </c>
      <c r="J263" s="1" t="s">
        <v>2810</v>
      </c>
      <c r="K263" s="1" t="s">
        <v>74</v>
      </c>
      <c r="L263" s="1" t="s">
        <v>74</v>
      </c>
      <c r="M263" s="1" t="s">
        <v>74</v>
      </c>
      <c r="N263" s="1" t="s">
        <v>74</v>
      </c>
      <c r="O263" s="1" t="s">
        <v>74</v>
      </c>
      <c r="P263" s="1" t="s">
        <v>74</v>
      </c>
      <c r="Q263" s="1" t="s">
        <v>74</v>
      </c>
      <c r="R263" s="1" t="s">
        <v>74</v>
      </c>
      <c r="S263" s="1" t="s">
        <v>74</v>
      </c>
      <c r="T263" s="1" t="s">
        <v>74</v>
      </c>
      <c r="U263" s="1" t="s">
        <v>74</v>
      </c>
      <c r="V263" s="1" t="s">
        <v>2811</v>
      </c>
      <c r="W263" s="1" t="s">
        <v>74</v>
      </c>
      <c r="X263" s="1" t="s">
        <v>74</v>
      </c>
      <c r="Y263" s="1" t="s">
        <v>74</v>
      </c>
      <c r="Z263" s="1" t="s">
        <v>74</v>
      </c>
      <c r="AA263" s="1" t="s">
        <v>2812</v>
      </c>
      <c r="AB263" s="1" t="s">
        <v>2813</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2814</v>
      </c>
      <c r="AP263" s="1" t="s">
        <v>2815</v>
      </c>
      <c r="AQ263" s="1" t="s">
        <v>74</v>
      </c>
      <c r="AR263" s="1" t="s">
        <v>74</v>
      </c>
      <c r="AS263" s="1" t="s">
        <v>74</v>
      </c>
      <c r="AT263" s="1" t="s">
        <v>176</v>
      </c>
      <c r="AU263" s="1">
        <v>2022.0</v>
      </c>
      <c r="AV263" s="1">
        <v>94.0</v>
      </c>
      <c r="AW263" s="1">
        <v>3.0</v>
      </c>
      <c r="AX263" s="1" t="s">
        <v>74</v>
      </c>
      <c r="AY263" s="1" t="s">
        <v>74</v>
      </c>
      <c r="AZ263" s="1" t="s">
        <v>74</v>
      </c>
      <c r="BA263" s="1" t="s">
        <v>74</v>
      </c>
      <c r="BB263" s="1">
        <v>1167.0</v>
      </c>
      <c r="BC263" s="1">
        <v>1174.0</v>
      </c>
      <c r="BD263" s="1" t="s">
        <v>74</v>
      </c>
      <c r="BE263" s="1" t="s">
        <v>2816</v>
      </c>
      <c r="BF263" s="2" t="str">
        <f>HYPERLINK("http://dx.doi.org/10.1002/jmv.27446","http://dx.doi.org/10.1002/jmv.27446")</f>
        <v>http://dx.doi.org/10.1002/jmv.27446</v>
      </c>
      <c r="BG263" s="1" t="s">
        <v>74</v>
      </c>
      <c r="BH263" s="1" t="s">
        <v>2817</v>
      </c>
      <c r="BI263" s="1" t="s">
        <v>74</v>
      </c>
      <c r="BJ263" s="1" t="s">
        <v>74</v>
      </c>
      <c r="BK263" s="1" t="s">
        <v>74</v>
      </c>
      <c r="BL263" s="1" t="s">
        <v>74</v>
      </c>
      <c r="BM263" s="1" t="s">
        <v>74</v>
      </c>
      <c r="BN263" s="1">
        <v>3.4755352E7</v>
      </c>
      <c r="BO263" s="1" t="s">
        <v>74</v>
      </c>
      <c r="BP263" s="1" t="s">
        <v>74</v>
      </c>
      <c r="BQ263" s="1" t="s">
        <v>74</v>
      </c>
      <c r="BR263" s="1" t="s">
        <v>74</v>
      </c>
      <c r="BS263" s="1" t="s">
        <v>2818</v>
      </c>
      <c r="BT263" s="1" t="str">
        <f>HYPERLINK("https%3A%2F%2Fwww.webofscience.com%2Fwos%2Fwoscc%2Ffull-record%2FWOS:000718364200001","View Full Record in Web of Science")</f>
        <v>View Full Record in Web of Science</v>
      </c>
    </row>
    <row r="264" ht="12.75" customHeight="1">
      <c r="A264" s="1" t="s">
        <v>72</v>
      </c>
      <c r="B264" s="1" t="s">
        <v>2819</v>
      </c>
      <c r="C264" s="1" t="s">
        <v>74</v>
      </c>
      <c r="D264" s="1" t="s">
        <v>74</v>
      </c>
      <c r="E264" s="1" t="s">
        <v>74</v>
      </c>
      <c r="F264" s="1" t="s">
        <v>2820</v>
      </c>
      <c r="G264" s="1" t="s">
        <v>74</v>
      </c>
      <c r="H264" s="1" t="s">
        <v>74</v>
      </c>
      <c r="I264" s="1" t="s">
        <v>2821</v>
      </c>
      <c r="J264" s="1" t="s">
        <v>2822</v>
      </c>
      <c r="K264" s="1" t="s">
        <v>74</v>
      </c>
      <c r="L264" s="1" t="s">
        <v>74</v>
      </c>
      <c r="M264" s="1" t="s">
        <v>74</v>
      </c>
      <c r="N264" s="1" t="s">
        <v>74</v>
      </c>
      <c r="O264" s="1" t="s">
        <v>74</v>
      </c>
      <c r="P264" s="1" t="s">
        <v>74</v>
      </c>
      <c r="Q264" s="1" t="s">
        <v>74</v>
      </c>
      <c r="R264" s="1" t="s">
        <v>74</v>
      </c>
      <c r="S264" s="1" t="s">
        <v>74</v>
      </c>
      <c r="T264" s="1" t="s">
        <v>74</v>
      </c>
      <c r="U264" s="1" t="s">
        <v>74</v>
      </c>
      <c r="V264" s="1" t="s">
        <v>2823</v>
      </c>
      <c r="W264" s="1" t="s">
        <v>74</v>
      </c>
      <c r="X264" s="1" t="s">
        <v>74</v>
      </c>
      <c r="Y264" s="1" t="s">
        <v>74</v>
      </c>
      <c r="Z264" s="1" t="s">
        <v>74</v>
      </c>
      <c r="AA264" s="1" t="s">
        <v>2824</v>
      </c>
      <c r="AB264" s="1" t="s">
        <v>2825</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2826</v>
      </c>
      <c r="AP264" s="1" t="s">
        <v>2827</v>
      </c>
      <c r="AQ264" s="1" t="s">
        <v>74</v>
      </c>
      <c r="AR264" s="1" t="s">
        <v>74</v>
      </c>
      <c r="AS264" s="1" t="s">
        <v>74</v>
      </c>
      <c r="AT264" s="1" t="s">
        <v>974</v>
      </c>
      <c r="AU264" s="1">
        <v>2021.0</v>
      </c>
      <c r="AV264" s="1">
        <v>85.0</v>
      </c>
      <c r="AW264" s="1">
        <v>4.0</v>
      </c>
      <c r="AX264" s="1" t="s">
        <v>74</v>
      </c>
      <c r="AY264" s="1" t="s">
        <v>74</v>
      </c>
      <c r="AZ264" s="1" t="s">
        <v>74</v>
      </c>
      <c r="BA264" s="1" t="s">
        <v>74</v>
      </c>
      <c r="BB264" s="1">
        <v>291.0</v>
      </c>
      <c r="BC264" s="1">
        <v>295.0</v>
      </c>
      <c r="BD264" s="1" t="s">
        <v>74</v>
      </c>
      <c r="BE264" s="1" t="s">
        <v>2828</v>
      </c>
      <c r="BF264" s="2" t="str">
        <f>HYPERLINK("http://dx.doi.org/10.1515/mammalia-2020-0108","http://dx.doi.org/10.1515/mammalia-2020-0108")</f>
        <v>http://dx.doi.org/10.1515/mammalia-2020-0108</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2829</v>
      </c>
      <c r="BT264" s="1" t="str">
        <f>HYPERLINK("https%3A%2F%2Fwww.webofscience.com%2Fwos%2Fwoscc%2Ffull-record%2FWOS:000672515500001","View Full Record in Web of Science")</f>
        <v>View Full Record in Web of Science</v>
      </c>
    </row>
    <row r="265" ht="12.75" customHeight="1">
      <c r="A265" s="1" t="s">
        <v>72</v>
      </c>
      <c r="B265" s="1" t="s">
        <v>2830</v>
      </c>
      <c r="C265" s="1" t="s">
        <v>74</v>
      </c>
      <c r="D265" s="1" t="s">
        <v>74</v>
      </c>
      <c r="E265" s="1" t="s">
        <v>74</v>
      </c>
      <c r="F265" s="1" t="s">
        <v>2831</v>
      </c>
      <c r="G265" s="1" t="s">
        <v>74</v>
      </c>
      <c r="H265" s="1" t="s">
        <v>74</v>
      </c>
      <c r="I265" s="1" t="s">
        <v>2832</v>
      </c>
      <c r="J265" s="1" t="s">
        <v>2833</v>
      </c>
      <c r="K265" s="1" t="s">
        <v>74</v>
      </c>
      <c r="L265" s="1" t="s">
        <v>74</v>
      </c>
      <c r="M265" s="1" t="s">
        <v>74</v>
      </c>
      <c r="N265" s="1" t="s">
        <v>74</v>
      </c>
      <c r="O265" s="1" t="s">
        <v>74</v>
      </c>
      <c r="P265" s="1" t="s">
        <v>74</v>
      </c>
      <c r="Q265" s="1" t="s">
        <v>74</v>
      </c>
      <c r="R265" s="1" t="s">
        <v>74</v>
      </c>
      <c r="S265" s="1" t="s">
        <v>74</v>
      </c>
      <c r="T265" s="1" t="s">
        <v>74</v>
      </c>
      <c r="U265" s="1" t="s">
        <v>74</v>
      </c>
      <c r="V265" s="1" t="s">
        <v>2834</v>
      </c>
      <c r="W265" s="1" t="s">
        <v>74</v>
      </c>
      <c r="X265" s="1" t="s">
        <v>74</v>
      </c>
      <c r="Y265" s="1" t="s">
        <v>74</v>
      </c>
      <c r="Z265" s="1" t="s">
        <v>74</v>
      </c>
      <c r="AA265" s="1" t="s">
        <v>2835</v>
      </c>
      <c r="AB265" s="1" t="s">
        <v>2836</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2837</v>
      </c>
      <c r="AP265" s="1" t="s">
        <v>74</v>
      </c>
      <c r="AQ265" s="1" t="s">
        <v>74</v>
      </c>
      <c r="AR265" s="1" t="s">
        <v>74</v>
      </c>
      <c r="AS265" s="1" t="s">
        <v>74</v>
      </c>
      <c r="AT265" s="1" t="s">
        <v>2838</v>
      </c>
      <c r="AU265" s="1">
        <v>2021.0</v>
      </c>
      <c r="AV265" s="1">
        <v>40.0</v>
      </c>
      <c r="AW265" s="1">
        <v>1.0</v>
      </c>
      <c r="AX265" s="1" t="s">
        <v>74</v>
      </c>
      <c r="AY265" s="1" t="s">
        <v>74</v>
      </c>
      <c r="AZ265" s="1" t="s">
        <v>74</v>
      </c>
      <c r="BA265" s="1" t="s">
        <v>74</v>
      </c>
      <c r="BB265" s="1" t="s">
        <v>74</v>
      </c>
      <c r="BC265" s="1" t="s">
        <v>74</v>
      </c>
      <c r="BD265" s="1">
        <v>2.0</v>
      </c>
      <c r="BE265" s="1" t="s">
        <v>2839</v>
      </c>
      <c r="BF265" s="2" t="str">
        <f>HYPERLINK("http://dx.doi.org/10.1186/s40101-021-00252-2","http://dx.doi.org/10.1186/s40101-021-00252-2")</f>
        <v>http://dx.doi.org/10.1186/s40101-021-00252-2</v>
      </c>
      <c r="BG265" s="1" t="s">
        <v>74</v>
      </c>
      <c r="BH265" s="1" t="s">
        <v>74</v>
      </c>
      <c r="BI265" s="1" t="s">
        <v>74</v>
      </c>
      <c r="BJ265" s="1" t="s">
        <v>74</v>
      </c>
      <c r="BK265" s="1" t="s">
        <v>74</v>
      </c>
      <c r="BL265" s="1" t="s">
        <v>74</v>
      </c>
      <c r="BM265" s="1" t="s">
        <v>74</v>
      </c>
      <c r="BN265" s="1">
        <v>3.3468239E7</v>
      </c>
      <c r="BO265" s="1" t="s">
        <v>74</v>
      </c>
      <c r="BP265" s="1" t="s">
        <v>74</v>
      </c>
      <c r="BQ265" s="1" t="s">
        <v>74</v>
      </c>
      <c r="BR265" s="1" t="s">
        <v>74</v>
      </c>
      <c r="BS265" s="1" t="s">
        <v>2840</v>
      </c>
      <c r="BT265" s="1" t="str">
        <f>HYPERLINK("https%3A%2F%2Fwww.webofscience.com%2Fwos%2Fwoscc%2Ffull-record%2FWOS:000608988700001","View Full Record in Web of Science")</f>
        <v>View Full Record in Web of Science</v>
      </c>
    </row>
    <row r="266" ht="12.75" customHeight="1">
      <c r="A266" s="1" t="s">
        <v>72</v>
      </c>
      <c r="B266" s="1" t="s">
        <v>2841</v>
      </c>
      <c r="C266" s="1" t="s">
        <v>74</v>
      </c>
      <c r="D266" s="1" t="s">
        <v>74</v>
      </c>
      <c r="E266" s="1" t="s">
        <v>74</v>
      </c>
      <c r="F266" s="1" t="s">
        <v>2842</v>
      </c>
      <c r="G266" s="1" t="s">
        <v>74</v>
      </c>
      <c r="H266" s="1" t="s">
        <v>74</v>
      </c>
      <c r="I266" s="1" t="s">
        <v>2843</v>
      </c>
      <c r="J266" s="1" t="s">
        <v>1108</v>
      </c>
      <c r="K266" s="1" t="s">
        <v>74</v>
      </c>
      <c r="L266" s="1" t="s">
        <v>74</v>
      </c>
      <c r="M266" s="1" t="s">
        <v>74</v>
      </c>
      <c r="N266" s="1" t="s">
        <v>74</v>
      </c>
      <c r="O266" s="1" t="s">
        <v>74</v>
      </c>
      <c r="P266" s="1" t="s">
        <v>74</v>
      </c>
      <c r="Q266" s="1" t="s">
        <v>74</v>
      </c>
      <c r="R266" s="1" t="s">
        <v>74</v>
      </c>
      <c r="S266" s="1" t="s">
        <v>74</v>
      </c>
      <c r="T266" s="1" t="s">
        <v>74</v>
      </c>
      <c r="U266" s="1" t="s">
        <v>74</v>
      </c>
      <c r="V266" s="1" t="s">
        <v>2844</v>
      </c>
      <c r="W266" s="1" t="s">
        <v>74</v>
      </c>
      <c r="X266" s="1" t="s">
        <v>74</v>
      </c>
      <c r="Y266" s="1" t="s">
        <v>74</v>
      </c>
      <c r="Z266" s="1" t="s">
        <v>74</v>
      </c>
      <c r="AA266" s="1" t="s">
        <v>2845</v>
      </c>
      <c r="AB266" s="1" t="s">
        <v>2846</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74</v>
      </c>
      <c r="AP266" s="1" t="s">
        <v>1112</v>
      </c>
      <c r="AQ266" s="1" t="s">
        <v>74</v>
      </c>
      <c r="AR266" s="1" t="s">
        <v>74</v>
      </c>
      <c r="AS266" s="1" t="s">
        <v>74</v>
      </c>
      <c r="AT266" s="1" t="s">
        <v>822</v>
      </c>
      <c r="AU266" s="1">
        <v>2021.0</v>
      </c>
      <c r="AV266" s="1">
        <v>11.0</v>
      </c>
      <c r="AW266" s="1">
        <v>1.0</v>
      </c>
      <c r="AX266" s="1" t="s">
        <v>74</v>
      </c>
      <c r="AY266" s="1" t="s">
        <v>74</v>
      </c>
      <c r="AZ266" s="1" t="s">
        <v>74</v>
      </c>
      <c r="BA266" s="1" t="s">
        <v>74</v>
      </c>
      <c r="BB266" s="1" t="s">
        <v>74</v>
      </c>
      <c r="BC266" s="1" t="s">
        <v>74</v>
      </c>
      <c r="BD266" s="1">
        <v>24.0</v>
      </c>
      <c r="BE266" s="1" t="s">
        <v>2847</v>
      </c>
      <c r="BF266" s="2" t="str">
        <f>HYPERLINK("http://dx.doi.org/10.3390/met11010024","http://dx.doi.org/10.3390/met11010024")</f>
        <v>http://dx.doi.org/10.3390/met11010024</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2848</v>
      </c>
      <c r="BT266" s="1" t="str">
        <f>HYPERLINK("https%3A%2F%2Fwww.webofscience.com%2Fwos%2Fwoscc%2Ffull-record%2FWOS:000610514400001","View Full Record in Web of Science")</f>
        <v>View Full Record in Web of Science</v>
      </c>
    </row>
    <row r="267" ht="12.75" customHeight="1">
      <c r="A267" s="1" t="s">
        <v>72</v>
      </c>
      <c r="B267" s="1" t="s">
        <v>2849</v>
      </c>
      <c r="C267" s="1" t="s">
        <v>74</v>
      </c>
      <c r="D267" s="1" t="s">
        <v>74</v>
      </c>
      <c r="E267" s="1" t="s">
        <v>74</v>
      </c>
      <c r="F267" s="1" t="s">
        <v>2850</v>
      </c>
      <c r="G267" s="1" t="s">
        <v>74</v>
      </c>
      <c r="H267" s="1" t="s">
        <v>74</v>
      </c>
      <c r="I267" s="1" t="s">
        <v>2851</v>
      </c>
      <c r="J267" s="1" t="s">
        <v>2852</v>
      </c>
      <c r="K267" s="1" t="s">
        <v>74</v>
      </c>
      <c r="L267" s="1" t="s">
        <v>74</v>
      </c>
      <c r="M267" s="1" t="s">
        <v>74</v>
      </c>
      <c r="N267" s="1" t="s">
        <v>74</v>
      </c>
      <c r="O267" s="1" t="s">
        <v>74</v>
      </c>
      <c r="P267" s="1" t="s">
        <v>74</v>
      </c>
      <c r="Q267" s="1" t="s">
        <v>74</v>
      </c>
      <c r="R267" s="1" t="s">
        <v>74</v>
      </c>
      <c r="S267" s="1" t="s">
        <v>74</v>
      </c>
      <c r="T267" s="1" t="s">
        <v>74</v>
      </c>
      <c r="U267" s="1" t="s">
        <v>74</v>
      </c>
      <c r="V267" s="1" t="s">
        <v>2853</v>
      </c>
      <c r="W267" s="1" t="s">
        <v>74</v>
      </c>
      <c r="X267" s="1" t="s">
        <v>74</v>
      </c>
      <c r="Y267" s="1" t="s">
        <v>74</v>
      </c>
      <c r="Z267" s="1" t="s">
        <v>74</v>
      </c>
      <c r="AA267" s="1" t="s">
        <v>2854</v>
      </c>
      <c r="AB267" s="1" t="s">
        <v>2855</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2856</v>
      </c>
      <c r="AP267" s="1" t="s">
        <v>2857</v>
      </c>
      <c r="AQ267" s="1" t="s">
        <v>74</v>
      </c>
      <c r="AR267" s="1" t="s">
        <v>74</v>
      </c>
      <c r="AS267" s="1" t="s">
        <v>74</v>
      </c>
      <c r="AT267" s="1" t="s">
        <v>1082</v>
      </c>
      <c r="AU267" s="1">
        <v>2020.0</v>
      </c>
      <c r="AV267" s="1">
        <v>52.0</v>
      </c>
      <c r="AW267" s="1" t="s">
        <v>74</v>
      </c>
      <c r="AX267" s="1" t="s">
        <v>74</v>
      </c>
      <c r="AY267" s="1" t="s">
        <v>74</v>
      </c>
      <c r="AZ267" s="1" t="s">
        <v>74</v>
      </c>
      <c r="BA267" s="1" t="s">
        <v>74</v>
      </c>
      <c r="BB267" s="1">
        <v>187.0</v>
      </c>
      <c r="BC267" s="1">
        <v>206.0</v>
      </c>
      <c r="BD267" s="1" t="s">
        <v>74</v>
      </c>
      <c r="BE267" s="1" t="s">
        <v>2858</v>
      </c>
      <c r="BF267" s="2" t="str">
        <f>HYPERLINK("http://dx.doi.org/10.1017/ytm.2020.3","http://dx.doi.org/10.1017/ytm.2020.3")</f>
        <v>http://dx.doi.org/10.1017/ytm.2020.3</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2859</v>
      </c>
      <c r="BT267" s="1" t="str">
        <f>HYPERLINK("https%3A%2F%2Fwww.webofscience.com%2Fwos%2Fwoscc%2Ffull-record%2FWOS:000601300500010","View Full Record in Web of Science")</f>
        <v>View Full Record in Web of Science</v>
      </c>
    </row>
    <row r="268" ht="12.75" customHeight="1">
      <c r="A268" s="1" t="s">
        <v>72</v>
      </c>
      <c r="B268" s="1" t="s">
        <v>2860</v>
      </c>
      <c r="C268" s="1" t="s">
        <v>74</v>
      </c>
      <c r="D268" s="1" t="s">
        <v>74</v>
      </c>
      <c r="E268" s="1" t="s">
        <v>74</v>
      </c>
      <c r="F268" s="1" t="s">
        <v>2861</v>
      </c>
      <c r="G268" s="1" t="s">
        <v>74</v>
      </c>
      <c r="H268" s="1" t="s">
        <v>74</v>
      </c>
      <c r="I268" s="1" t="s">
        <v>2862</v>
      </c>
      <c r="J268" s="1" t="s">
        <v>2863</v>
      </c>
      <c r="K268" s="1" t="s">
        <v>74</v>
      </c>
      <c r="L268" s="1" t="s">
        <v>74</v>
      </c>
      <c r="M268" s="1" t="s">
        <v>74</v>
      </c>
      <c r="N268" s="1" t="s">
        <v>74</v>
      </c>
      <c r="O268" s="1" t="s">
        <v>74</v>
      </c>
      <c r="P268" s="1" t="s">
        <v>74</v>
      </c>
      <c r="Q268" s="1" t="s">
        <v>74</v>
      </c>
      <c r="R268" s="1" t="s">
        <v>74</v>
      </c>
      <c r="S268" s="1" t="s">
        <v>74</v>
      </c>
      <c r="T268" s="1" t="s">
        <v>74</v>
      </c>
      <c r="U268" s="1" t="s">
        <v>74</v>
      </c>
      <c r="V268" s="1" t="s">
        <v>2864</v>
      </c>
      <c r="W268" s="1" t="s">
        <v>74</v>
      </c>
      <c r="X268" s="1" t="s">
        <v>74</v>
      </c>
      <c r="Y268" s="1" t="s">
        <v>74</v>
      </c>
      <c r="Z268" s="1" t="s">
        <v>74</v>
      </c>
      <c r="AA268" s="1" t="s">
        <v>2865</v>
      </c>
      <c r="AB268" s="1" t="s">
        <v>2866</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2867</v>
      </c>
      <c r="AP268" s="1" t="s">
        <v>2868</v>
      </c>
      <c r="AQ268" s="1" t="s">
        <v>74</v>
      </c>
      <c r="AR268" s="1" t="s">
        <v>74</v>
      </c>
      <c r="AS268" s="1" t="s">
        <v>74</v>
      </c>
      <c r="AT268" s="1" t="s">
        <v>2869</v>
      </c>
      <c r="AU268" s="1">
        <v>2020.0</v>
      </c>
      <c r="AV268" s="1">
        <v>85.0</v>
      </c>
      <c r="AW268" s="1">
        <v>14.0</v>
      </c>
      <c r="AX268" s="1" t="s">
        <v>74</v>
      </c>
      <c r="AY268" s="1" t="s">
        <v>74</v>
      </c>
      <c r="AZ268" s="1" t="s">
        <v>74</v>
      </c>
      <c r="BA268" s="1" t="s">
        <v>74</v>
      </c>
      <c r="BB268" s="1">
        <v>9213.0</v>
      </c>
      <c r="BC268" s="1">
        <v>9218.0</v>
      </c>
      <c r="BD268" s="1" t="s">
        <v>74</v>
      </c>
      <c r="BE268" s="1" t="s">
        <v>2870</v>
      </c>
      <c r="BF268" s="2" t="str">
        <f>HYPERLINK("http://dx.doi.org/10.1021/acs.joc.0c01212","http://dx.doi.org/10.1021/acs.joc.0c01212")</f>
        <v>http://dx.doi.org/10.1021/acs.joc.0c01212</v>
      </c>
      <c r="BG268" s="1" t="s">
        <v>74</v>
      </c>
      <c r="BH268" s="1" t="s">
        <v>74</v>
      </c>
      <c r="BI268" s="1" t="s">
        <v>74</v>
      </c>
      <c r="BJ268" s="1" t="s">
        <v>74</v>
      </c>
      <c r="BK268" s="1" t="s">
        <v>74</v>
      </c>
      <c r="BL268" s="1" t="s">
        <v>74</v>
      </c>
      <c r="BM268" s="1" t="s">
        <v>74</v>
      </c>
      <c r="BN268" s="1">
        <v>3.2558568E7</v>
      </c>
      <c r="BO268" s="1" t="s">
        <v>74</v>
      </c>
      <c r="BP268" s="1" t="s">
        <v>74</v>
      </c>
      <c r="BQ268" s="1" t="s">
        <v>74</v>
      </c>
      <c r="BR268" s="1" t="s">
        <v>74</v>
      </c>
      <c r="BS268" s="1" t="s">
        <v>2871</v>
      </c>
      <c r="BT268" s="1" t="str">
        <f>HYPERLINK("https%3A%2F%2Fwww.webofscience.com%2Fwos%2Fwoscc%2Ffull-record%2FWOS:000551550500040","View Full Record in Web of Science")</f>
        <v>View Full Record in Web of Science</v>
      </c>
    </row>
    <row r="269" ht="12.75" customHeight="1">
      <c r="A269" s="1" t="s">
        <v>72</v>
      </c>
      <c r="B269" s="1" t="s">
        <v>2872</v>
      </c>
      <c r="C269" s="1" t="s">
        <v>74</v>
      </c>
      <c r="D269" s="1" t="s">
        <v>74</v>
      </c>
      <c r="E269" s="1" t="s">
        <v>74</v>
      </c>
      <c r="F269" s="1" t="s">
        <v>2873</v>
      </c>
      <c r="G269" s="1" t="s">
        <v>74</v>
      </c>
      <c r="H269" s="1" t="s">
        <v>74</v>
      </c>
      <c r="I269" s="1" t="s">
        <v>2874</v>
      </c>
      <c r="J269" s="1" t="s">
        <v>2875</v>
      </c>
      <c r="K269" s="1" t="s">
        <v>74</v>
      </c>
      <c r="L269" s="1" t="s">
        <v>74</v>
      </c>
      <c r="M269" s="1" t="s">
        <v>74</v>
      </c>
      <c r="N269" s="1" t="s">
        <v>74</v>
      </c>
      <c r="O269" s="1" t="s">
        <v>74</v>
      </c>
      <c r="P269" s="1" t="s">
        <v>74</v>
      </c>
      <c r="Q269" s="1" t="s">
        <v>74</v>
      </c>
      <c r="R269" s="1" t="s">
        <v>74</v>
      </c>
      <c r="S269" s="1" t="s">
        <v>74</v>
      </c>
      <c r="T269" s="1" t="s">
        <v>74</v>
      </c>
      <c r="U269" s="1" t="s">
        <v>74</v>
      </c>
      <c r="V269" s="1" t="s">
        <v>2876</v>
      </c>
      <c r="W269" s="1" t="s">
        <v>74</v>
      </c>
      <c r="X269" s="1" t="s">
        <v>74</v>
      </c>
      <c r="Y269" s="1" t="s">
        <v>74</v>
      </c>
      <c r="Z269" s="1" t="s">
        <v>74</v>
      </c>
      <c r="AA269" s="1" t="s">
        <v>2877</v>
      </c>
      <c r="AB269" s="1" t="s">
        <v>2878</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2879</v>
      </c>
      <c r="AP269" s="1" t="s">
        <v>2880</v>
      </c>
      <c r="AQ269" s="1" t="s">
        <v>74</v>
      </c>
      <c r="AR269" s="1" t="s">
        <v>74</v>
      </c>
      <c r="AS269" s="1" t="s">
        <v>74</v>
      </c>
      <c r="AT269" s="1" t="s">
        <v>2881</v>
      </c>
      <c r="AU269" s="1">
        <v>2020.0</v>
      </c>
      <c r="AV269" s="1">
        <v>55.0</v>
      </c>
      <c r="AW269" s="1">
        <v>7.0</v>
      </c>
      <c r="AX269" s="1" t="s">
        <v>74</v>
      </c>
      <c r="AY269" s="1" t="s">
        <v>74</v>
      </c>
      <c r="AZ269" s="1" t="s">
        <v>74</v>
      </c>
      <c r="BA269" s="1" t="s">
        <v>74</v>
      </c>
      <c r="BB269" s="1">
        <v>646.0</v>
      </c>
      <c r="BC269" s="1">
        <v>654.0</v>
      </c>
      <c r="BD269" s="1" t="s">
        <v>74</v>
      </c>
      <c r="BE269" s="1" t="s">
        <v>2882</v>
      </c>
      <c r="BF269" s="2" t="str">
        <f>HYPERLINK("http://dx.doi.org/10.1080/03601234.2020.1758497","http://dx.doi.org/10.1080/03601234.2020.1758497")</f>
        <v>http://dx.doi.org/10.1080/03601234.2020.1758497</v>
      </c>
      <c r="BG269" s="1" t="s">
        <v>74</v>
      </c>
      <c r="BH269" s="1" t="s">
        <v>2883</v>
      </c>
      <c r="BI269" s="1" t="s">
        <v>74</v>
      </c>
      <c r="BJ269" s="1" t="s">
        <v>74</v>
      </c>
      <c r="BK269" s="1" t="s">
        <v>74</v>
      </c>
      <c r="BL269" s="1" t="s">
        <v>74</v>
      </c>
      <c r="BM269" s="1" t="s">
        <v>74</v>
      </c>
      <c r="BN269" s="1">
        <v>3.2432942E7</v>
      </c>
      <c r="BO269" s="1" t="s">
        <v>74</v>
      </c>
      <c r="BP269" s="1" t="s">
        <v>74</v>
      </c>
      <c r="BQ269" s="1" t="s">
        <v>74</v>
      </c>
      <c r="BR269" s="1" t="s">
        <v>74</v>
      </c>
      <c r="BS269" s="1" t="s">
        <v>2884</v>
      </c>
      <c r="BT269" s="1" t="str">
        <f>HYPERLINK("https%3A%2F%2Fwww.webofscience.com%2Fwos%2Fwoscc%2Ffull-record%2FWOS:000537888100001","View Full Record in Web of Science")</f>
        <v>View Full Record in Web of Science</v>
      </c>
    </row>
    <row r="270" ht="12.75" customHeight="1">
      <c r="A270" s="1" t="s">
        <v>72</v>
      </c>
      <c r="B270" s="1" t="s">
        <v>2885</v>
      </c>
      <c r="C270" s="1" t="s">
        <v>74</v>
      </c>
      <c r="D270" s="1" t="s">
        <v>74</v>
      </c>
      <c r="E270" s="1" t="s">
        <v>74</v>
      </c>
      <c r="F270" s="1" t="s">
        <v>2886</v>
      </c>
      <c r="G270" s="1" t="s">
        <v>74</v>
      </c>
      <c r="H270" s="1" t="s">
        <v>74</v>
      </c>
      <c r="I270" s="1" t="s">
        <v>2887</v>
      </c>
      <c r="J270" s="1" t="s">
        <v>2888</v>
      </c>
      <c r="K270" s="1" t="s">
        <v>74</v>
      </c>
      <c r="L270" s="1" t="s">
        <v>74</v>
      </c>
      <c r="M270" s="1" t="s">
        <v>74</v>
      </c>
      <c r="N270" s="1" t="s">
        <v>74</v>
      </c>
      <c r="O270" s="1" t="s">
        <v>74</v>
      </c>
      <c r="P270" s="1" t="s">
        <v>74</v>
      </c>
      <c r="Q270" s="1" t="s">
        <v>74</v>
      </c>
      <c r="R270" s="1" t="s">
        <v>74</v>
      </c>
      <c r="S270" s="1" t="s">
        <v>74</v>
      </c>
      <c r="T270" s="1" t="s">
        <v>74</v>
      </c>
      <c r="U270" s="1" t="s">
        <v>74</v>
      </c>
      <c r="V270" s="1" t="s">
        <v>2889</v>
      </c>
      <c r="W270" s="1" t="s">
        <v>74</v>
      </c>
      <c r="X270" s="1" t="s">
        <v>74</v>
      </c>
      <c r="Y270" s="1" t="s">
        <v>74</v>
      </c>
      <c r="Z270" s="1" t="s">
        <v>74</v>
      </c>
      <c r="AA270" s="1" t="s">
        <v>2890</v>
      </c>
      <c r="AB270" s="1" t="s">
        <v>2891</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2892</v>
      </c>
      <c r="AP270" s="1" t="s">
        <v>74</v>
      </c>
      <c r="AQ270" s="1" t="s">
        <v>74</v>
      </c>
      <c r="AR270" s="1" t="s">
        <v>74</v>
      </c>
      <c r="AS270" s="1" t="s">
        <v>74</v>
      </c>
      <c r="AT270" s="1" t="s">
        <v>2893</v>
      </c>
      <c r="AU270" s="1">
        <v>2020.0</v>
      </c>
      <c r="AV270" s="1">
        <v>11.0</v>
      </c>
      <c r="AW270" s="1" t="s">
        <v>74</v>
      </c>
      <c r="AX270" s="1" t="s">
        <v>74</v>
      </c>
      <c r="AY270" s="1" t="s">
        <v>74</v>
      </c>
      <c r="AZ270" s="1" t="s">
        <v>74</v>
      </c>
      <c r="BA270" s="1" t="s">
        <v>74</v>
      </c>
      <c r="BB270" s="1" t="s">
        <v>74</v>
      </c>
      <c r="BC270" s="1" t="s">
        <v>74</v>
      </c>
      <c r="BD270" s="1">
        <v>489.0</v>
      </c>
      <c r="BE270" s="1" t="s">
        <v>2894</v>
      </c>
      <c r="BF270" s="2" t="str">
        <f>HYPERLINK("http://dx.doi.org/10.3389/fmicb.2020.00489","http://dx.doi.org/10.3389/fmicb.2020.00489")</f>
        <v>http://dx.doi.org/10.3389/fmicb.2020.00489</v>
      </c>
      <c r="BG270" s="1" t="s">
        <v>74</v>
      </c>
      <c r="BH270" s="1" t="s">
        <v>74</v>
      </c>
      <c r="BI270" s="1" t="s">
        <v>74</v>
      </c>
      <c r="BJ270" s="1" t="s">
        <v>74</v>
      </c>
      <c r="BK270" s="1" t="s">
        <v>74</v>
      </c>
      <c r="BL270" s="1" t="s">
        <v>74</v>
      </c>
      <c r="BM270" s="1" t="s">
        <v>74</v>
      </c>
      <c r="BN270" s="1">
        <v>3.2296402E7</v>
      </c>
      <c r="BO270" s="1" t="s">
        <v>74</v>
      </c>
      <c r="BP270" s="1" t="s">
        <v>74</v>
      </c>
      <c r="BQ270" s="1" t="s">
        <v>74</v>
      </c>
      <c r="BR270" s="1" t="s">
        <v>74</v>
      </c>
      <c r="BS270" s="1" t="s">
        <v>2895</v>
      </c>
      <c r="BT270" s="1" t="str">
        <f>HYPERLINK("https%3A%2F%2Fwww.webofscience.com%2Fwos%2Fwoscc%2Ffull-record%2FWOS:000526970900001","View Full Record in Web of Science")</f>
        <v>View Full Record in Web of Science</v>
      </c>
    </row>
    <row r="271" ht="12.75" customHeight="1">
      <c r="A271" s="1" t="s">
        <v>72</v>
      </c>
      <c r="B271" s="1" t="s">
        <v>2896</v>
      </c>
      <c r="C271" s="1" t="s">
        <v>74</v>
      </c>
      <c r="D271" s="1" t="s">
        <v>74</v>
      </c>
      <c r="E271" s="1" t="s">
        <v>74</v>
      </c>
      <c r="F271" s="1" t="s">
        <v>2897</v>
      </c>
      <c r="G271" s="1" t="s">
        <v>74</v>
      </c>
      <c r="H271" s="1" t="s">
        <v>74</v>
      </c>
      <c r="I271" s="1" t="s">
        <v>2898</v>
      </c>
      <c r="J271" s="1" t="s">
        <v>1517</v>
      </c>
      <c r="K271" s="1" t="s">
        <v>74</v>
      </c>
      <c r="L271" s="1" t="s">
        <v>74</v>
      </c>
      <c r="M271" s="1" t="s">
        <v>74</v>
      </c>
      <c r="N271" s="1" t="s">
        <v>74</v>
      </c>
      <c r="O271" s="1" t="s">
        <v>74</v>
      </c>
      <c r="P271" s="1" t="s">
        <v>74</v>
      </c>
      <c r="Q271" s="1" t="s">
        <v>74</v>
      </c>
      <c r="R271" s="1" t="s">
        <v>74</v>
      </c>
      <c r="S271" s="1" t="s">
        <v>74</v>
      </c>
      <c r="T271" s="1" t="s">
        <v>74</v>
      </c>
      <c r="U271" s="1" t="s">
        <v>74</v>
      </c>
      <c r="V271" s="1" t="s">
        <v>2899</v>
      </c>
      <c r="W271" s="1" t="s">
        <v>74</v>
      </c>
      <c r="X271" s="1" t="s">
        <v>74</v>
      </c>
      <c r="Y271" s="1" t="s">
        <v>74</v>
      </c>
      <c r="Z271" s="1" t="s">
        <v>74</v>
      </c>
      <c r="AA271" s="1" t="s">
        <v>2900</v>
      </c>
      <c r="AB271" s="1" t="s">
        <v>2901</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1521</v>
      </c>
      <c r="AP271" s="1" t="s">
        <v>1522</v>
      </c>
      <c r="AQ271" s="1" t="s">
        <v>74</v>
      </c>
      <c r="AR271" s="1" t="s">
        <v>74</v>
      </c>
      <c r="AS271" s="1" t="s">
        <v>74</v>
      </c>
      <c r="AT271" s="1" t="s">
        <v>2902</v>
      </c>
      <c r="AU271" s="1">
        <v>2020.0</v>
      </c>
      <c r="AV271" s="1">
        <v>332.0</v>
      </c>
      <c r="AW271" s="1" t="s">
        <v>74</v>
      </c>
      <c r="AX271" s="1" t="s">
        <v>74</v>
      </c>
      <c r="AY271" s="1" t="s">
        <v>74</v>
      </c>
      <c r="AZ271" s="1" t="s">
        <v>74</v>
      </c>
      <c r="BA271" s="1" t="s">
        <v>74</v>
      </c>
      <c r="BB271" s="1" t="s">
        <v>74</v>
      </c>
      <c r="BC271" s="1" t="s">
        <v>74</v>
      </c>
      <c r="BD271" s="1">
        <v>135340.0</v>
      </c>
      <c r="BE271" s="1" t="s">
        <v>2903</v>
      </c>
      <c r="BF271" s="2" t="str">
        <f>HYPERLINK("http://dx.doi.org/10.1016/j.electacta.2019.135340","http://dx.doi.org/10.1016/j.electacta.2019.135340")</f>
        <v>http://dx.doi.org/10.1016/j.electacta.2019.135340</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2904</v>
      </c>
      <c r="BT271" s="1" t="str">
        <f>HYPERLINK("https%3A%2F%2Fwww.webofscience.com%2Fwos%2Fwoscc%2Ffull-record%2FWOS:000506201800001","View Full Record in Web of Science")</f>
        <v>View Full Record in Web of Science</v>
      </c>
    </row>
    <row r="272" ht="12.75" customHeight="1">
      <c r="A272" s="1" t="s">
        <v>72</v>
      </c>
      <c r="B272" s="1" t="s">
        <v>2905</v>
      </c>
      <c r="C272" s="1" t="s">
        <v>74</v>
      </c>
      <c r="D272" s="1" t="s">
        <v>74</v>
      </c>
      <c r="E272" s="1" t="s">
        <v>74</v>
      </c>
      <c r="F272" s="1" t="s">
        <v>2906</v>
      </c>
      <c r="G272" s="1" t="s">
        <v>74</v>
      </c>
      <c r="H272" s="1" t="s">
        <v>74</v>
      </c>
      <c r="I272" s="1" t="s">
        <v>2907</v>
      </c>
      <c r="J272" s="1" t="s">
        <v>2908</v>
      </c>
      <c r="K272" s="1" t="s">
        <v>74</v>
      </c>
      <c r="L272" s="1" t="s">
        <v>74</v>
      </c>
      <c r="M272" s="1" t="s">
        <v>74</v>
      </c>
      <c r="N272" s="1" t="s">
        <v>74</v>
      </c>
      <c r="O272" s="1" t="s">
        <v>74</v>
      </c>
      <c r="P272" s="1" t="s">
        <v>74</v>
      </c>
      <c r="Q272" s="1" t="s">
        <v>74</v>
      </c>
      <c r="R272" s="1" t="s">
        <v>74</v>
      </c>
      <c r="S272" s="1" t="s">
        <v>74</v>
      </c>
      <c r="T272" s="1" t="s">
        <v>74</v>
      </c>
      <c r="U272" s="1" t="s">
        <v>74</v>
      </c>
      <c r="V272" s="1" t="s">
        <v>2909</v>
      </c>
      <c r="W272" s="1" t="s">
        <v>74</v>
      </c>
      <c r="X272" s="1" t="s">
        <v>74</v>
      </c>
      <c r="Y272" s="1" t="s">
        <v>74</v>
      </c>
      <c r="Z272" s="1" t="s">
        <v>74</v>
      </c>
      <c r="AA272" s="1" t="s">
        <v>2910</v>
      </c>
      <c r="AB272" s="1" t="s">
        <v>2911</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2912</v>
      </c>
      <c r="AP272" s="1" t="s">
        <v>2913</v>
      </c>
      <c r="AQ272" s="1" t="s">
        <v>74</v>
      </c>
      <c r="AR272" s="1" t="s">
        <v>74</v>
      </c>
      <c r="AS272" s="1" t="s">
        <v>74</v>
      </c>
      <c r="AT272" s="1" t="s">
        <v>877</v>
      </c>
      <c r="AU272" s="1">
        <v>2019.0</v>
      </c>
      <c r="AV272" s="1">
        <v>34.0</v>
      </c>
      <c r="AW272" s="1">
        <v>5.0</v>
      </c>
      <c r="AX272" s="1" t="s">
        <v>74</v>
      </c>
      <c r="AY272" s="1" t="s">
        <v>74</v>
      </c>
      <c r="AZ272" s="1" t="s">
        <v>74</v>
      </c>
      <c r="BA272" s="1" t="s">
        <v>74</v>
      </c>
      <c r="BB272" s="1">
        <v>707.0</v>
      </c>
      <c r="BC272" s="1">
        <v>723.0</v>
      </c>
      <c r="BD272" s="1" t="s">
        <v>74</v>
      </c>
      <c r="BE272" s="1" t="s">
        <v>2914</v>
      </c>
      <c r="BF272" s="2" t="str">
        <f>HYPERLINK("http://dx.doi.org/10.1002/jae.2711","http://dx.doi.org/10.1002/jae.2711")</f>
        <v>http://dx.doi.org/10.1002/jae.2711</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2915</v>
      </c>
      <c r="BT272" s="1" t="str">
        <f>HYPERLINK("https%3A%2F%2Fwww.webofscience.com%2Fwos%2Fwoscc%2Ffull-record%2FWOS:000478607500006","View Full Record in Web of Science")</f>
        <v>View Full Record in Web of Science</v>
      </c>
    </row>
    <row r="273" ht="12.75" customHeight="1">
      <c r="A273" s="1" t="s">
        <v>72</v>
      </c>
      <c r="B273" s="1" t="s">
        <v>2916</v>
      </c>
      <c r="C273" s="1" t="s">
        <v>74</v>
      </c>
      <c r="D273" s="1" t="s">
        <v>74</v>
      </c>
      <c r="E273" s="1" t="s">
        <v>74</v>
      </c>
      <c r="F273" s="1" t="s">
        <v>2917</v>
      </c>
      <c r="G273" s="1" t="s">
        <v>74</v>
      </c>
      <c r="H273" s="1" t="s">
        <v>74</v>
      </c>
      <c r="I273" s="1" t="s">
        <v>2918</v>
      </c>
      <c r="J273" s="1" t="s">
        <v>1517</v>
      </c>
      <c r="K273" s="1" t="s">
        <v>74</v>
      </c>
      <c r="L273" s="1" t="s">
        <v>74</v>
      </c>
      <c r="M273" s="1" t="s">
        <v>74</v>
      </c>
      <c r="N273" s="1" t="s">
        <v>74</v>
      </c>
      <c r="O273" s="1" t="s">
        <v>74</v>
      </c>
      <c r="P273" s="1" t="s">
        <v>74</v>
      </c>
      <c r="Q273" s="1" t="s">
        <v>74</v>
      </c>
      <c r="R273" s="1" t="s">
        <v>74</v>
      </c>
      <c r="S273" s="1" t="s">
        <v>74</v>
      </c>
      <c r="T273" s="1" t="s">
        <v>74</v>
      </c>
      <c r="U273" s="1" t="s">
        <v>74</v>
      </c>
      <c r="V273" s="1" t="s">
        <v>2919</v>
      </c>
      <c r="W273" s="1" t="s">
        <v>74</v>
      </c>
      <c r="X273" s="1" t="s">
        <v>74</v>
      </c>
      <c r="Y273" s="1" t="s">
        <v>74</v>
      </c>
      <c r="Z273" s="1" t="s">
        <v>74</v>
      </c>
      <c r="AA273" s="1" t="s">
        <v>2920</v>
      </c>
      <c r="AB273" s="1" t="s">
        <v>2921</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1521</v>
      </c>
      <c r="AP273" s="1" t="s">
        <v>1522</v>
      </c>
      <c r="AQ273" s="1" t="s">
        <v>74</v>
      </c>
      <c r="AR273" s="1" t="s">
        <v>74</v>
      </c>
      <c r="AS273" s="1" t="s">
        <v>74</v>
      </c>
      <c r="AT273" s="1" t="s">
        <v>2922</v>
      </c>
      <c r="AU273" s="1">
        <v>2019.0</v>
      </c>
      <c r="AV273" s="1">
        <v>305.0</v>
      </c>
      <c r="AW273" s="1" t="s">
        <v>74</v>
      </c>
      <c r="AX273" s="1" t="s">
        <v>74</v>
      </c>
      <c r="AY273" s="1" t="s">
        <v>74</v>
      </c>
      <c r="AZ273" s="1" t="s">
        <v>74</v>
      </c>
      <c r="BA273" s="1" t="s">
        <v>74</v>
      </c>
      <c r="BB273" s="1">
        <v>416.0</v>
      </c>
      <c r="BC273" s="1">
        <v>422.0</v>
      </c>
      <c r="BD273" s="1" t="s">
        <v>74</v>
      </c>
      <c r="BE273" s="1" t="s">
        <v>2923</v>
      </c>
      <c r="BF273" s="2" t="str">
        <f>HYPERLINK("http://dx.doi.org/10.1016/j.electacta.2019.03.076","http://dx.doi.org/10.1016/j.electacta.2019.03.076")</f>
        <v>http://dx.doi.org/10.1016/j.electacta.2019.03.076</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2924</v>
      </c>
      <c r="BT273" s="1" t="str">
        <f>HYPERLINK("https%3A%2F%2Fwww.webofscience.com%2Fwos%2Fwoscc%2Ffull-record%2FWOS:000462774000045","View Full Record in Web of Science")</f>
        <v>View Full Record in Web of Science</v>
      </c>
    </row>
    <row r="274" ht="12.75" customHeight="1">
      <c r="A274" s="1" t="s">
        <v>72</v>
      </c>
      <c r="B274" s="1" t="s">
        <v>2925</v>
      </c>
      <c r="C274" s="1" t="s">
        <v>74</v>
      </c>
      <c r="D274" s="1" t="s">
        <v>74</v>
      </c>
      <c r="E274" s="1" t="s">
        <v>74</v>
      </c>
      <c r="F274" s="1" t="s">
        <v>2926</v>
      </c>
      <c r="G274" s="1" t="s">
        <v>74</v>
      </c>
      <c r="H274" s="1" t="s">
        <v>74</v>
      </c>
      <c r="I274" s="1" t="s">
        <v>2927</v>
      </c>
      <c r="J274" s="1" t="s">
        <v>618</v>
      </c>
      <c r="K274" s="1" t="s">
        <v>74</v>
      </c>
      <c r="L274" s="1" t="s">
        <v>74</v>
      </c>
      <c r="M274" s="1" t="s">
        <v>74</v>
      </c>
      <c r="N274" s="1" t="s">
        <v>74</v>
      </c>
      <c r="O274" s="1" t="s">
        <v>74</v>
      </c>
      <c r="P274" s="1" t="s">
        <v>74</v>
      </c>
      <c r="Q274" s="1" t="s">
        <v>74</v>
      </c>
      <c r="R274" s="1" t="s">
        <v>74</v>
      </c>
      <c r="S274" s="1" t="s">
        <v>74</v>
      </c>
      <c r="T274" s="1" t="s">
        <v>74</v>
      </c>
      <c r="U274" s="1" t="s">
        <v>74</v>
      </c>
      <c r="V274" s="1" t="s">
        <v>2928</v>
      </c>
      <c r="W274" s="1" t="s">
        <v>74</v>
      </c>
      <c r="X274" s="1" t="s">
        <v>74</v>
      </c>
      <c r="Y274" s="1" t="s">
        <v>74</v>
      </c>
      <c r="Z274" s="1" t="s">
        <v>74</v>
      </c>
      <c r="AA274" s="1" t="s">
        <v>2929</v>
      </c>
      <c r="AB274" s="1" t="s">
        <v>2930</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622</v>
      </c>
      <c r="AP274" s="1" t="s">
        <v>623</v>
      </c>
      <c r="AQ274" s="1" t="s">
        <v>74</v>
      </c>
      <c r="AR274" s="1" t="s">
        <v>74</v>
      </c>
      <c r="AS274" s="1" t="s">
        <v>74</v>
      </c>
      <c r="AT274" s="1" t="s">
        <v>176</v>
      </c>
      <c r="AU274" s="1">
        <v>2019.0</v>
      </c>
      <c r="AV274" s="1">
        <v>66.0</v>
      </c>
      <c r="AW274" s="1">
        <v>3.0</v>
      </c>
      <c r="AX274" s="1" t="s">
        <v>74</v>
      </c>
      <c r="AY274" s="1" t="s">
        <v>74</v>
      </c>
      <c r="AZ274" s="1" t="s">
        <v>74</v>
      </c>
      <c r="BA274" s="1" t="s">
        <v>74</v>
      </c>
      <c r="BB274" s="1">
        <v>2432.0</v>
      </c>
      <c r="BC274" s="1">
        <v>2443.0</v>
      </c>
      <c r="BD274" s="1" t="s">
        <v>74</v>
      </c>
      <c r="BE274" s="1" t="s">
        <v>2931</v>
      </c>
      <c r="BF274" s="2" t="str">
        <f>HYPERLINK("http://dx.doi.org/10.1109/TIE.2018.2844842","http://dx.doi.org/10.1109/TIE.2018.2844842")</f>
        <v>http://dx.doi.org/10.1109/TIE.2018.2844842</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2932</v>
      </c>
      <c r="BT274" s="1" t="str">
        <f>HYPERLINK("https%3A%2F%2Fwww.webofscience.com%2Fwos%2Fwoscc%2Ffull-record%2FWOS:000449114800075","View Full Record in Web of Science")</f>
        <v>View Full Record in Web of Science</v>
      </c>
    </row>
    <row r="275" ht="12.75" customHeight="1">
      <c r="A275" s="1" t="s">
        <v>72</v>
      </c>
      <c r="B275" s="1" t="s">
        <v>2933</v>
      </c>
      <c r="C275" s="1" t="s">
        <v>74</v>
      </c>
      <c r="D275" s="1" t="s">
        <v>74</v>
      </c>
      <c r="E275" s="1" t="s">
        <v>74</v>
      </c>
      <c r="F275" s="1" t="s">
        <v>2934</v>
      </c>
      <c r="G275" s="1" t="s">
        <v>74</v>
      </c>
      <c r="H275" s="1" t="s">
        <v>74</v>
      </c>
      <c r="I275" s="1" t="s">
        <v>2935</v>
      </c>
      <c r="J275" s="1" t="s">
        <v>2936</v>
      </c>
      <c r="K275" s="1" t="s">
        <v>74</v>
      </c>
      <c r="L275" s="1" t="s">
        <v>74</v>
      </c>
      <c r="M275" s="1" t="s">
        <v>74</v>
      </c>
      <c r="N275" s="1" t="s">
        <v>74</v>
      </c>
      <c r="O275" s="1" t="s">
        <v>74</v>
      </c>
      <c r="P275" s="1" t="s">
        <v>74</v>
      </c>
      <c r="Q275" s="1" t="s">
        <v>74</v>
      </c>
      <c r="R275" s="1" t="s">
        <v>74</v>
      </c>
      <c r="S275" s="1" t="s">
        <v>74</v>
      </c>
      <c r="T275" s="1" t="s">
        <v>74</v>
      </c>
      <c r="U275" s="1" t="s">
        <v>74</v>
      </c>
      <c r="V275" s="1" t="s">
        <v>2937</v>
      </c>
      <c r="W275" s="1" t="s">
        <v>74</v>
      </c>
      <c r="X275" s="1" t="s">
        <v>74</v>
      </c>
      <c r="Y275" s="1" t="s">
        <v>74</v>
      </c>
      <c r="Z275" s="1" t="s">
        <v>74</v>
      </c>
      <c r="AA275" s="1" t="s">
        <v>2256</v>
      </c>
      <c r="AB275" s="1" t="s">
        <v>2938</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2939</v>
      </c>
      <c r="AP275" s="1" t="s">
        <v>2940</v>
      </c>
      <c r="AQ275" s="1" t="s">
        <v>74</v>
      </c>
      <c r="AR275" s="1" t="s">
        <v>74</v>
      </c>
      <c r="AS275" s="1" t="s">
        <v>74</v>
      </c>
      <c r="AT275" s="1" t="s">
        <v>600</v>
      </c>
      <c r="AU275" s="1">
        <v>2019.0</v>
      </c>
      <c r="AV275" s="1">
        <v>77.0</v>
      </c>
      <c r="AW275" s="1">
        <v>2.0</v>
      </c>
      <c r="AX275" s="1" t="s">
        <v>74</v>
      </c>
      <c r="AY275" s="1" t="s">
        <v>74</v>
      </c>
      <c r="AZ275" s="1" t="s">
        <v>74</v>
      </c>
      <c r="BA275" s="1" t="s">
        <v>74</v>
      </c>
      <c r="BB275" s="1">
        <v>65.0</v>
      </c>
      <c r="BC275" s="1">
        <v>80.0</v>
      </c>
      <c r="BD275" s="1" t="s">
        <v>74</v>
      </c>
      <c r="BE275" s="1" t="s">
        <v>2941</v>
      </c>
      <c r="BF275" s="2" t="str">
        <f>HYPERLINK("http://dx.doi.org/10.1093/nutrit/nuy047","http://dx.doi.org/10.1093/nutrit/nuy047")</f>
        <v>http://dx.doi.org/10.1093/nutrit/nuy047</v>
      </c>
      <c r="BG275" s="1" t="s">
        <v>74</v>
      </c>
      <c r="BH275" s="1" t="s">
        <v>74</v>
      </c>
      <c r="BI275" s="1" t="s">
        <v>74</v>
      </c>
      <c r="BJ275" s="1" t="s">
        <v>74</v>
      </c>
      <c r="BK275" s="1" t="s">
        <v>74</v>
      </c>
      <c r="BL275" s="1" t="s">
        <v>74</v>
      </c>
      <c r="BM275" s="1" t="s">
        <v>74</v>
      </c>
      <c r="BN275" s="1">
        <v>3.0445479E7</v>
      </c>
      <c r="BO275" s="1" t="s">
        <v>74</v>
      </c>
      <c r="BP275" s="1" t="s">
        <v>74</v>
      </c>
      <c r="BQ275" s="1" t="s">
        <v>74</v>
      </c>
      <c r="BR275" s="1" t="s">
        <v>74</v>
      </c>
      <c r="BS275" s="1" t="s">
        <v>2942</v>
      </c>
      <c r="BT275" s="1" t="str">
        <f>HYPERLINK("https%3A%2F%2Fwww.webofscience.com%2Fwos%2Fwoscc%2Ffull-record%2FWOS:000456024100001","View Full Record in Web of Science")</f>
        <v>View Full Record in Web of Science</v>
      </c>
    </row>
    <row r="276" ht="12.75" customHeight="1">
      <c r="A276" s="1" t="s">
        <v>72</v>
      </c>
      <c r="B276" s="1" t="s">
        <v>2943</v>
      </c>
      <c r="C276" s="1" t="s">
        <v>74</v>
      </c>
      <c r="D276" s="1" t="s">
        <v>74</v>
      </c>
      <c r="E276" s="1" t="s">
        <v>74</v>
      </c>
      <c r="F276" s="1" t="s">
        <v>2944</v>
      </c>
      <c r="G276" s="1" t="s">
        <v>74</v>
      </c>
      <c r="H276" s="1" t="s">
        <v>74</v>
      </c>
      <c r="I276" s="1" t="s">
        <v>2945</v>
      </c>
      <c r="J276" s="1" t="s">
        <v>2946</v>
      </c>
      <c r="K276" s="1" t="s">
        <v>74</v>
      </c>
      <c r="L276" s="1" t="s">
        <v>74</v>
      </c>
      <c r="M276" s="1" t="s">
        <v>74</v>
      </c>
      <c r="N276" s="1" t="s">
        <v>74</v>
      </c>
      <c r="O276" s="1" t="s">
        <v>74</v>
      </c>
      <c r="P276" s="1" t="s">
        <v>74</v>
      </c>
      <c r="Q276" s="1" t="s">
        <v>74</v>
      </c>
      <c r="R276" s="1" t="s">
        <v>74</v>
      </c>
      <c r="S276" s="1" t="s">
        <v>74</v>
      </c>
      <c r="T276" s="1" t="s">
        <v>74</v>
      </c>
      <c r="U276" s="1" t="s">
        <v>74</v>
      </c>
      <c r="V276" s="1" t="s">
        <v>2947</v>
      </c>
      <c r="W276" s="1" t="s">
        <v>74</v>
      </c>
      <c r="X276" s="1" t="s">
        <v>74</v>
      </c>
      <c r="Y276" s="1" t="s">
        <v>74</v>
      </c>
      <c r="Z276" s="1" t="s">
        <v>74</v>
      </c>
      <c r="AA276" s="1" t="s">
        <v>2948</v>
      </c>
      <c r="AB276" s="1" t="s">
        <v>2949</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2950</v>
      </c>
      <c r="AP276" s="1" t="s">
        <v>2951</v>
      </c>
      <c r="AQ276" s="1" t="s">
        <v>74</v>
      </c>
      <c r="AR276" s="1" t="s">
        <v>74</v>
      </c>
      <c r="AS276" s="1" t="s">
        <v>74</v>
      </c>
      <c r="AT276" s="1" t="s">
        <v>600</v>
      </c>
      <c r="AU276" s="1">
        <v>2019.0</v>
      </c>
      <c r="AV276" s="1">
        <v>76.0</v>
      </c>
      <c r="AW276" s="1">
        <v>2.0</v>
      </c>
      <c r="AX276" s="1" t="s">
        <v>74</v>
      </c>
      <c r="AY276" s="1" t="s">
        <v>74</v>
      </c>
      <c r="AZ276" s="1" t="s">
        <v>74</v>
      </c>
      <c r="BA276" s="1" t="s">
        <v>74</v>
      </c>
      <c r="BB276" s="1">
        <v>1041.0</v>
      </c>
      <c r="BC276" s="1">
        <v>1058.0</v>
      </c>
      <c r="BD276" s="1" t="s">
        <v>74</v>
      </c>
      <c r="BE276" s="1" t="s">
        <v>2952</v>
      </c>
      <c r="BF276" s="2" t="str">
        <f>HYPERLINK("http://dx.doi.org/10.1007/s00289-018-2420-0","http://dx.doi.org/10.1007/s00289-018-2420-0")</f>
        <v>http://dx.doi.org/10.1007/s00289-018-2420-0</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2953</v>
      </c>
      <c r="BT276" s="1" t="str">
        <f>HYPERLINK("https%3A%2F%2Fwww.webofscience.com%2Fwos%2Fwoscc%2Ffull-record%2FWOS:000457419700029","View Full Record in Web of Science")</f>
        <v>View Full Record in Web of Science</v>
      </c>
    </row>
    <row r="277" ht="12.75" customHeight="1">
      <c r="A277" s="1" t="s">
        <v>72</v>
      </c>
      <c r="B277" s="1" t="s">
        <v>2954</v>
      </c>
      <c r="C277" s="1" t="s">
        <v>74</v>
      </c>
      <c r="D277" s="1" t="s">
        <v>74</v>
      </c>
      <c r="E277" s="1" t="s">
        <v>74</v>
      </c>
      <c r="F277" s="1" t="s">
        <v>2955</v>
      </c>
      <c r="G277" s="1" t="s">
        <v>74</v>
      </c>
      <c r="H277" s="1" t="s">
        <v>74</v>
      </c>
      <c r="I277" s="1" t="s">
        <v>2956</v>
      </c>
      <c r="J277" s="1" t="s">
        <v>2957</v>
      </c>
      <c r="K277" s="1" t="s">
        <v>74</v>
      </c>
      <c r="L277" s="1" t="s">
        <v>74</v>
      </c>
      <c r="M277" s="1" t="s">
        <v>74</v>
      </c>
      <c r="N277" s="1" t="s">
        <v>74</v>
      </c>
      <c r="O277" s="1" t="s">
        <v>74</v>
      </c>
      <c r="P277" s="1" t="s">
        <v>74</v>
      </c>
      <c r="Q277" s="1" t="s">
        <v>74</v>
      </c>
      <c r="R277" s="1" t="s">
        <v>74</v>
      </c>
      <c r="S277" s="1" t="s">
        <v>74</v>
      </c>
      <c r="T277" s="1" t="s">
        <v>74</v>
      </c>
      <c r="U277" s="1" t="s">
        <v>74</v>
      </c>
      <c r="V277" s="1" t="s">
        <v>2958</v>
      </c>
      <c r="W277" s="1" t="s">
        <v>74</v>
      </c>
      <c r="X277" s="1" t="s">
        <v>74</v>
      </c>
      <c r="Y277" s="1" t="s">
        <v>74</v>
      </c>
      <c r="Z277" s="1" t="s">
        <v>74</v>
      </c>
      <c r="AA277" s="1" t="s">
        <v>2959</v>
      </c>
      <c r="AB277" s="1" t="s">
        <v>2960</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2961</v>
      </c>
      <c r="AP277" s="1" t="s">
        <v>2962</v>
      </c>
      <c r="AQ277" s="1" t="s">
        <v>74</v>
      </c>
      <c r="AR277" s="1" t="s">
        <v>74</v>
      </c>
      <c r="AS277" s="1" t="s">
        <v>74</v>
      </c>
      <c r="AT277" s="1" t="s">
        <v>385</v>
      </c>
      <c r="AU277" s="1">
        <v>2018.0</v>
      </c>
      <c r="AV277" s="1">
        <v>127.0</v>
      </c>
      <c r="AW277" s="1" t="s">
        <v>74</v>
      </c>
      <c r="AX277" s="1" t="s">
        <v>74</v>
      </c>
      <c r="AY277" s="1" t="s">
        <v>74</v>
      </c>
      <c r="AZ277" s="1" t="s">
        <v>74</v>
      </c>
      <c r="BA277" s="1" t="s">
        <v>74</v>
      </c>
      <c r="BB277" s="1">
        <v>67.0</v>
      </c>
      <c r="BC277" s="1">
        <v>73.0</v>
      </c>
      <c r="BD277" s="1" t="s">
        <v>74</v>
      </c>
      <c r="BE277" s="1" t="s">
        <v>2963</v>
      </c>
      <c r="BF277" s="2" t="str">
        <f>HYPERLINK("http://dx.doi.org/10.1016/j.reactfunctpolym.2018.04.002","http://dx.doi.org/10.1016/j.reactfunctpolym.2018.04.002")</f>
        <v>http://dx.doi.org/10.1016/j.reactfunctpolym.2018.04.002</v>
      </c>
      <c r="BG277" s="1" t="s">
        <v>74</v>
      </c>
      <c r="BH277" s="1" t="s">
        <v>74</v>
      </c>
      <c r="BI277" s="1" t="s">
        <v>74</v>
      </c>
      <c r="BJ277" s="1" t="s">
        <v>74</v>
      </c>
      <c r="BK277" s="1" t="s">
        <v>74</v>
      </c>
      <c r="BL277" s="1" t="s">
        <v>74</v>
      </c>
      <c r="BM277" s="1" t="s">
        <v>74</v>
      </c>
      <c r="BN277" s="1" t="s">
        <v>74</v>
      </c>
      <c r="BO277" s="1" t="s">
        <v>74</v>
      </c>
      <c r="BP277" s="1" t="s">
        <v>74</v>
      </c>
      <c r="BQ277" s="1" t="s">
        <v>74</v>
      </c>
      <c r="BR277" s="1" t="s">
        <v>74</v>
      </c>
      <c r="BS277" s="1" t="s">
        <v>2964</v>
      </c>
      <c r="BT277" s="1" t="str">
        <f>HYPERLINK("https%3A%2F%2Fwww.webofscience.com%2Fwos%2Fwoscc%2Ffull-record%2FWOS:000433649000008","View Full Record in Web of Science")</f>
        <v>View Full Record in Web of Science</v>
      </c>
    </row>
    <row r="278" ht="12.75" customHeight="1">
      <c r="A278" s="1" t="s">
        <v>72</v>
      </c>
      <c r="B278" s="1" t="s">
        <v>2965</v>
      </c>
      <c r="C278" s="1" t="s">
        <v>74</v>
      </c>
      <c r="D278" s="1" t="s">
        <v>74</v>
      </c>
      <c r="E278" s="1" t="s">
        <v>74</v>
      </c>
      <c r="F278" s="1" t="s">
        <v>2966</v>
      </c>
      <c r="G278" s="1" t="s">
        <v>74</v>
      </c>
      <c r="H278" s="1" t="s">
        <v>74</v>
      </c>
      <c r="I278" s="1" t="s">
        <v>2967</v>
      </c>
      <c r="J278" s="1" t="s">
        <v>2968</v>
      </c>
      <c r="K278" s="1" t="s">
        <v>74</v>
      </c>
      <c r="L278" s="1" t="s">
        <v>74</v>
      </c>
      <c r="M278" s="1" t="s">
        <v>74</v>
      </c>
      <c r="N278" s="1" t="s">
        <v>74</v>
      </c>
      <c r="O278" s="1" t="s">
        <v>2969</v>
      </c>
      <c r="P278" s="1" t="s">
        <v>2970</v>
      </c>
      <c r="Q278" s="1" t="s">
        <v>2971</v>
      </c>
      <c r="R278" s="1" t="s">
        <v>2972</v>
      </c>
      <c r="S278" s="1" t="s">
        <v>74</v>
      </c>
      <c r="T278" s="1" t="s">
        <v>74</v>
      </c>
      <c r="U278" s="1" t="s">
        <v>74</v>
      </c>
      <c r="V278" s="1" t="s">
        <v>74</v>
      </c>
      <c r="W278" s="1" t="s">
        <v>74</v>
      </c>
      <c r="X278" s="1" t="s">
        <v>74</v>
      </c>
      <c r="Y278" s="1" t="s">
        <v>74</v>
      </c>
      <c r="Z278" s="1" t="s">
        <v>74</v>
      </c>
      <c r="AA278" s="1" t="s">
        <v>2973</v>
      </c>
      <c r="AB278" s="1" t="s">
        <v>2974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318</v>
      </c>
      <c r="AP278" s="1" t="s">
        <v>319</v>
      </c>
      <c r="AQ278" s="1" t="s">
        <v>74</v>
      </c>
      <c r="AR278" s="1" t="s">
        <v>74</v>
      </c>
      <c r="AS278" s="1" t="s">
        <v>74</v>
      </c>
      <c r="AT278" s="1" t="s">
        <v>94</v>
      </c>
      <c r="AU278" s="1">
        <v>2018.0</v>
      </c>
      <c r="AV278" s="1">
        <v>50.0</v>
      </c>
      <c r="AW278" s="1">
        <v>5.0</v>
      </c>
      <c r="AX278" s="1" t="s">
        <v>74</v>
      </c>
      <c r="AY278" s="1">
        <v>1.0</v>
      </c>
      <c r="AZ278" s="1" t="s">
        <v>74</v>
      </c>
      <c r="BA278" s="1">
        <v>1254.0</v>
      </c>
      <c r="BB278" s="1">
        <v>292.0</v>
      </c>
      <c r="BC278" s="1">
        <v>292.0</v>
      </c>
      <c r="BD278" s="1" t="s">
        <v>74</v>
      </c>
      <c r="BE278" s="1" t="s">
        <v>74</v>
      </c>
      <c r="BF278" s="1" t="s">
        <v>74</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2975</v>
      </c>
      <c r="BT278" s="1" t="str">
        <f>HYPERLINK("https%3A%2F%2Fwww.webofscience.com%2Fwos%2Fwoscc%2Ffull-record%2FWOS:000456870501206","View Full Record in Web of Science")</f>
        <v>View Full Record in Web of Science</v>
      </c>
    </row>
    <row r="279" ht="12.75" customHeight="1">
      <c r="A279" s="1" t="s">
        <v>72</v>
      </c>
      <c r="B279" s="1" t="s">
        <v>2976</v>
      </c>
      <c r="C279" s="1" t="s">
        <v>74</v>
      </c>
      <c r="D279" s="1" t="s">
        <v>74</v>
      </c>
      <c r="E279" s="1" t="s">
        <v>74</v>
      </c>
      <c r="F279" s="1" t="s">
        <v>2977</v>
      </c>
      <c r="G279" s="1" t="s">
        <v>74</v>
      </c>
      <c r="H279" s="1" t="s">
        <v>74</v>
      </c>
      <c r="I279" s="1" t="s">
        <v>2978</v>
      </c>
      <c r="J279" s="1" t="s">
        <v>2979</v>
      </c>
      <c r="K279" s="1" t="s">
        <v>74</v>
      </c>
      <c r="L279" s="1" t="s">
        <v>74</v>
      </c>
      <c r="M279" s="1" t="s">
        <v>74</v>
      </c>
      <c r="N279" s="1" t="s">
        <v>74</v>
      </c>
      <c r="O279" s="1" t="s">
        <v>74</v>
      </c>
      <c r="P279" s="1" t="s">
        <v>74</v>
      </c>
      <c r="Q279" s="1" t="s">
        <v>74</v>
      </c>
      <c r="R279" s="1" t="s">
        <v>74</v>
      </c>
      <c r="S279" s="1" t="s">
        <v>74</v>
      </c>
      <c r="T279" s="1" t="s">
        <v>74</v>
      </c>
      <c r="U279" s="1" t="s">
        <v>74</v>
      </c>
      <c r="V279" s="1" t="s">
        <v>2980</v>
      </c>
      <c r="W279" s="1" t="s">
        <v>74</v>
      </c>
      <c r="X279" s="1" t="s">
        <v>74</v>
      </c>
      <c r="Y279" s="1" t="s">
        <v>74</v>
      </c>
      <c r="Z279" s="1" t="s">
        <v>74</v>
      </c>
      <c r="AA279" s="1" t="s">
        <v>2981</v>
      </c>
      <c r="AB279" s="1" t="s">
        <v>2982</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2983</v>
      </c>
      <c r="AP279" s="1" t="s">
        <v>2984</v>
      </c>
      <c r="AQ279" s="1" t="s">
        <v>74</v>
      </c>
      <c r="AR279" s="1" t="s">
        <v>74</v>
      </c>
      <c r="AS279" s="1" t="s">
        <v>74</v>
      </c>
      <c r="AT279" s="1" t="s">
        <v>83</v>
      </c>
      <c r="AU279" s="1">
        <v>2017.0</v>
      </c>
      <c r="AV279" s="1">
        <v>52.0</v>
      </c>
      <c r="AW279" s="1" t="s">
        <v>74</v>
      </c>
      <c r="AX279" s="1" t="s">
        <v>74</v>
      </c>
      <c r="AY279" s="1" t="s">
        <v>74</v>
      </c>
      <c r="AZ279" s="1" t="s">
        <v>74</v>
      </c>
      <c r="BA279" s="1" t="s">
        <v>74</v>
      </c>
      <c r="BB279" s="1">
        <v>28.0</v>
      </c>
      <c r="BC279" s="1">
        <v>41.0</v>
      </c>
      <c r="BD279" s="1" t="s">
        <v>74</v>
      </c>
      <c r="BE279" s="1" t="s">
        <v>2985</v>
      </c>
      <c r="BF279" s="2" t="str">
        <f>HYPERLINK("http://dx.doi.org/10.1016/j.apm.2017.07.018","http://dx.doi.org/10.1016/j.apm.2017.07.018")</f>
        <v>http://dx.doi.org/10.1016/j.apm.2017.07.018</v>
      </c>
      <c r="BG279" s="1" t="s">
        <v>74</v>
      </c>
      <c r="BH279" s="1" t="s">
        <v>74</v>
      </c>
      <c r="BI279" s="1" t="s">
        <v>74</v>
      </c>
      <c r="BJ279" s="1" t="s">
        <v>74</v>
      </c>
      <c r="BK279" s="1" t="s">
        <v>74</v>
      </c>
      <c r="BL279" s="1" t="s">
        <v>74</v>
      </c>
      <c r="BM279" s="1" t="s">
        <v>74</v>
      </c>
      <c r="BN279" s="1" t="s">
        <v>74</v>
      </c>
      <c r="BO279" s="1" t="s">
        <v>74</v>
      </c>
      <c r="BP279" s="1" t="s">
        <v>74</v>
      </c>
      <c r="BQ279" s="1" t="s">
        <v>74</v>
      </c>
      <c r="BR279" s="1" t="s">
        <v>74</v>
      </c>
      <c r="BS279" s="1" t="s">
        <v>2986</v>
      </c>
      <c r="BT279" s="1" t="str">
        <f>HYPERLINK("https%3A%2F%2Fwww.webofscience.com%2Fwos%2Fwoscc%2Ffull-record%2FWOS:000415780400003","View Full Record in Web of Science")</f>
        <v>View Full Record in Web of Science</v>
      </c>
    </row>
    <row r="280" ht="12.75" customHeight="1">
      <c r="A280" s="1" t="s">
        <v>72</v>
      </c>
      <c r="B280" s="1" t="s">
        <v>2987</v>
      </c>
      <c r="C280" s="1" t="s">
        <v>74</v>
      </c>
      <c r="D280" s="1" t="s">
        <v>74</v>
      </c>
      <c r="E280" s="1" t="s">
        <v>74</v>
      </c>
      <c r="F280" s="1" t="s">
        <v>2988</v>
      </c>
      <c r="G280" s="1" t="s">
        <v>74</v>
      </c>
      <c r="H280" s="1" t="s">
        <v>74</v>
      </c>
      <c r="I280" s="1" t="s">
        <v>2989</v>
      </c>
      <c r="J280" s="1" t="s">
        <v>1970</v>
      </c>
      <c r="K280" s="1" t="s">
        <v>74</v>
      </c>
      <c r="L280" s="1" t="s">
        <v>74</v>
      </c>
      <c r="M280" s="1" t="s">
        <v>74</v>
      </c>
      <c r="N280" s="1" t="s">
        <v>74</v>
      </c>
      <c r="O280" s="1" t="s">
        <v>74</v>
      </c>
      <c r="P280" s="1" t="s">
        <v>74</v>
      </c>
      <c r="Q280" s="1" t="s">
        <v>74</v>
      </c>
      <c r="R280" s="1" t="s">
        <v>74</v>
      </c>
      <c r="S280" s="1" t="s">
        <v>74</v>
      </c>
      <c r="T280" s="1" t="s">
        <v>74</v>
      </c>
      <c r="U280" s="1" t="s">
        <v>74</v>
      </c>
      <c r="V280" s="1" t="s">
        <v>2990</v>
      </c>
      <c r="W280" s="1" t="s">
        <v>74</v>
      </c>
      <c r="X280" s="1" t="s">
        <v>74</v>
      </c>
      <c r="Y280" s="1" t="s">
        <v>74</v>
      </c>
      <c r="Z280" s="1" t="s">
        <v>74</v>
      </c>
      <c r="AA280" s="1" t="s">
        <v>2991</v>
      </c>
      <c r="AB280" s="1" t="s">
        <v>2992</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1974</v>
      </c>
      <c r="AP280" s="1" t="s">
        <v>74</v>
      </c>
      <c r="AQ280" s="1" t="s">
        <v>74</v>
      </c>
      <c r="AR280" s="1" t="s">
        <v>74</v>
      </c>
      <c r="AS280" s="1" t="s">
        <v>74</v>
      </c>
      <c r="AT280" s="1" t="s">
        <v>151</v>
      </c>
      <c r="AU280" s="1">
        <v>2017.0</v>
      </c>
      <c r="AV280" s="1">
        <v>14.0</v>
      </c>
      <c r="AW280" s="1">
        <v>10.0</v>
      </c>
      <c r="AX280" s="1" t="s">
        <v>74</v>
      </c>
      <c r="AY280" s="1" t="s">
        <v>74</v>
      </c>
      <c r="AZ280" s="1" t="s">
        <v>74</v>
      </c>
      <c r="BA280" s="1" t="s">
        <v>74</v>
      </c>
      <c r="BB280" s="1" t="s">
        <v>74</v>
      </c>
      <c r="BC280" s="1" t="s">
        <v>74</v>
      </c>
      <c r="BD280" s="1">
        <v>1093.0</v>
      </c>
      <c r="BE280" s="1" t="s">
        <v>2993</v>
      </c>
      <c r="BF280" s="2" t="str">
        <f>HYPERLINK("http://dx.doi.org/10.3390/ijerph14101093","http://dx.doi.org/10.3390/ijerph14101093")</f>
        <v>http://dx.doi.org/10.3390/ijerph14101093</v>
      </c>
      <c r="BG280" s="1" t="s">
        <v>74</v>
      </c>
      <c r="BH280" s="1" t="s">
        <v>74</v>
      </c>
      <c r="BI280" s="1" t="s">
        <v>74</v>
      </c>
      <c r="BJ280" s="1" t="s">
        <v>74</v>
      </c>
      <c r="BK280" s="1" t="s">
        <v>74</v>
      </c>
      <c r="BL280" s="1" t="s">
        <v>74</v>
      </c>
      <c r="BM280" s="1" t="s">
        <v>74</v>
      </c>
      <c r="BN280" s="1">
        <v>2.8934175E7</v>
      </c>
      <c r="BO280" s="1" t="s">
        <v>74</v>
      </c>
      <c r="BP280" s="1" t="s">
        <v>74</v>
      </c>
      <c r="BQ280" s="1" t="s">
        <v>74</v>
      </c>
      <c r="BR280" s="1" t="s">
        <v>74</v>
      </c>
      <c r="BS280" s="1" t="s">
        <v>2994</v>
      </c>
      <c r="BT280" s="1" t="str">
        <f>HYPERLINK("https%3A%2F%2Fwww.webofscience.com%2Fwos%2Fwoscc%2Ffull-record%2FWOS:000414763200002","View Full Record in Web of Science")</f>
        <v>View Full Record in Web of Science</v>
      </c>
    </row>
    <row r="281" ht="12.75" customHeight="1">
      <c r="A281" s="1" t="s">
        <v>72</v>
      </c>
      <c r="B281" s="1" t="s">
        <v>86</v>
      </c>
      <c r="C281" s="1" t="s">
        <v>74</v>
      </c>
      <c r="D281" s="1" t="s">
        <v>74</v>
      </c>
      <c r="E281" s="1" t="s">
        <v>74</v>
      </c>
      <c r="F281" s="1" t="s">
        <v>87</v>
      </c>
      <c r="G281" s="1" t="s">
        <v>74</v>
      </c>
      <c r="H281" s="1" t="s">
        <v>74</v>
      </c>
      <c r="I281" s="1" t="s">
        <v>2995</v>
      </c>
      <c r="J281" s="1" t="s">
        <v>89</v>
      </c>
      <c r="K281" s="1" t="s">
        <v>74</v>
      </c>
      <c r="L281" s="1" t="s">
        <v>74</v>
      </c>
      <c r="M281" s="1" t="s">
        <v>74</v>
      </c>
      <c r="N281" s="1" t="s">
        <v>74</v>
      </c>
      <c r="O281" s="1" t="s">
        <v>74</v>
      </c>
      <c r="P281" s="1" t="s">
        <v>74</v>
      </c>
      <c r="Q281" s="1" t="s">
        <v>74</v>
      </c>
      <c r="R281" s="1" t="s">
        <v>74</v>
      </c>
      <c r="S281" s="1" t="s">
        <v>74</v>
      </c>
      <c r="T281" s="1" t="s">
        <v>74</v>
      </c>
      <c r="U281" s="1" t="s">
        <v>74</v>
      </c>
      <c r="V281" s="1" t="s">
        <v>74</v>
      </c>
      <c r="W281" s="1" t="s">
        <v>74</v>
      </c>
      <c r="X281" s="1" t="s">
        <v>74</v>
      </c>
      <c r="Y281" s="1" t="s">
        <v>74</v>
      </c>
      <c r="Z281" s="1" t="s">
        <v>74</v>
      </c>
      <c r="AA281" s="1" t="s">
        <v>90</v>
      </c>
      <c r="AB281" s="1" t="s">
        <v>2996</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92</v>
      </c>
      <c r="AP281" s="1" t="s">
        <v>93</v>
      </c>
      <c r="AQ281" s="1" t="s">
        <v>74</v>
      </c>
      <c r="AR281" s="1" t="s">
        <v>74</v>
      </c>
      <c r="AS281" s="1" t="s">
        <v>74</v>
      </c>
      <c r="AT281" s="1" t="s">
        <v>94</v>
      </c>
      <c r="AU281" s="1">
        <v>2017.0</v>
      </c>
      <c r="AV281" s="1">
        <v>14.0</v>
      </c>
      <c r="AW281" s="1">
        <v>5.0</v>
      </c>
      <c r="AX281" s="1" t="s">
        <v>74</v>
      </c>
      <c r="AY281" s="1">
        <v>4.0</v>
      </c>
      <c r="AZ281" s="1" t="s">
        <v>74</v>
      </c>
      <c r="BA281" s="1" t="s">
        <v>74</v>
      </c>
      <c r="BB281" s="1" t="s">
        <v>2997</v>
      </c>
      <c r="BC281" s="1" t="s">
        <v>2997</v>
      </c>
      <c r="BD281" s="1" t="s">
        <v>74</v>
      </c>
      <c r="BE281" s="1" t="s">
        <v>2998</v>
      </c>
      <c r="BF281" s="2" t="str">
        <f>HYPERLINK("http://dx.doi.org/10.1016/j.jsxm.2017.04.376","http://dx.doi.org/10.1016/j.jsxm.2017.04.376")</f>
        <v>http://dx.doi.org/10.1016/j.jsxm.2017.04.376</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2999</v>
      </c>
      <c r="BT281" s="1" t="str">
        <f>HYPERLINK("https%3A%2F%2Fwww.webofscience.com%2Fwos%2Fwoscc%2Ffull-record%2FWOS:000424205700287","View Full Record in Web of Science")</f>
        <v>View Full Record in Web of Science</v>
      </c>
    </row>
    <row r="282" ht="12.75" customHeight="1">
      <c r="A282" s="1" t="s">
        <v>72</v>
      </c>
      <c r="B282" s="1" t="s">
        <v>3000</v>
      </c>
      <c r="C282" s="1" t="s">
        <v>74</v>
      </c>
      <c r="D282" s="1" t="s">
        <v>74</v>
      </c>
      <c r="E282" s="1" t="s">
        <v>74</v>
      </c>
      <c r="F282" s="1" t="s">
        <v>3001</v>
      </c>
      <c r="G282" s="1" t="s">
        <v>74</v>
      </c>
      <c r="H282" s="1" t="s">
        <v>74</v>
      </c>
      <c r="I282" s="1" t="s">
        <v>3002</v>
      </c>
      <c r="J282" s="1" t="s">
        <v>3003</v>
      </c>
      <c r="K282" s="1" t="s">
        <v>74</v>
      </c>
      <c r="L282" s="1" t="s">
        <v>74</v>
      </c>
      <c r="M282" s="1" t="s">
        <v>74</v>
      </c>
      <c r="N282" s="1" t="s">
        <v>74</v>
      </c>
      <c r="O282" s="1" t="s">
        <v>74</v>
      </c>
      <c r="P282" s="1" t="s">
        <v>74</v>
      </c>
      <c r="Q282" s="1" t="s">
        <v>74</v>
      </c>
      <c r="R282" s="1" t="s">
        <v>74</v>
      </c>
      <c r="S282" s="1" t="s">
        <v>74</v>
      </c>
      <c r="T282" s="1" t="s">
        <v>74</v>
      </c>
      <c r="U282" s="1" t="s">
        <v>74</v>
      </c>
      <c r="V282" s="1" t="s">
        <v>3004</v>
      </c>
      <c r="W282" s="1" t="s">
        <v>74</v>
      </c>
      <c r="X282" s="1" t="s">
        <v>74</v>
      </c>
      <c r="Y282" s="1" t="s">
        <v>74</v>
      </c>
      <c r="Z282" s="1" t="s">
        <v>74</v>
      </c>
      <c r="AA282" s="1" t="s">
        <v>3005</v>
      </c>
      <c r="AB282" s="1" t="s">
        <v>3006</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3007</v>
      </c>
      <c r="AP282" s="1" t="s">
        <v>3008</v>
      </c>
      <c r="AQ282" s="1" t="s">
        <v>74</v>
      </c>
      <c r="AR282" s="1" t="s">
        <v>74</v>
      </c>
      <c r="AS282" s="1" t="s">
        <v>74</v>
      </c>
      <c r="AT282" s="1" t="s">
        <v>308</v>
      </c>
      <c r="AU282" s="1">
        <v>2017.0</v>
      </c>
      <c r="AV282" s="1">
        <v>13.0</v>
      </c>
      <c r="AW282" s="1">
        <v>2.0</v>
      </c>
      <c r="AX282" s="1" t="s">
        <v>74</v>
      </c>
      <c r="AY282" s="1" t="s">
        <v>74</v>
      </c>
      <c r="AZ282" s="1" t="s">
        <v>74</v>
      </c>
      <c r="BA282" s="1" t="s">
        <v>74</v>
      </c>
      <c r="BB282" s="1">
        <v>138.0</v>
      </c>
      <c r="BC282" s="1">
        <v>145.0</v>
      </c>
      <c r="BD282" s="1" t="s">
        <v>74</v>
      </c>
      <c r="BE282" s="1" t="s">
        <v>3009</v>
      </c>
      <c r="BF282" s="2" t="str">
        <f>HYPERLINK("http://dx.doi.org/10.1089/chi.2016.0265","http://dx.doi.org/10.1089/chi.2016.0265")</f>
        <v>http://dx.doi.org/10.1089/chi.2016.0265</v>
      </c>
      <c r="BG282" s="1" t="s">
        <v>74</v>
      </c>
      <c r="BH282" s="1" t="s">
        <v>74</v>
      </c>
      <c r="BI282" s="1" t="s">
        <v>74</v>
      </c>
      <c r="BJ282" s="1" t="s">
        <v>74</v>
      </c>
      <c r="BK282" s="1" t="s">
        <v>74</v>
      </c>
      <c r="BL282" s="1" t="s">
        <v>74</v>
      </c>
      <c r="BM282" s="1" t="s">
        <v>74</v>
      </c>
      <c r="BN282" s="1">
        <v>2.8061145E7</v>
      </c>
      <c r="BO282" s="1" t="s">
        <v>74</v>
      </c>
      <c r="BP282" s="1" t="s">
        <v>74</v>
      </c>
      <c r="BQ282" s="1" t="s">
        <v>74</v>
      </c>
      <c r="BR282" s="1" t="s">
        <v>74</v>
      </c>
      <c r="BS282" s="1" t="s">
        <v>3010</v>
      </c>
      <c r="BT282" s="1" t="str">
        <f>HYPERLINK("https%3A%2F%2Fwww.webofscience.com%2Fwos%2Fwoscc%2Ffull-record%2FWOS:000398713100007","View Full Record in Web of Science")</f>
        <v>View Full Record in Web of Science</v>
      </c>
    </row>
    <row r="283" ht="12.75" customHeight="1">
      <c r="A283" s="1" t="s">
        <v>72</v>
      </c>
      <c r="B283" s="1" t="s">
        <v>3011</v>
      </c>
      <c r="C283" s="1" t="s">
        <v>74</v>
      </c>
      <c r="D283" s="1" t="s">
        <v>74</v>
      </c>
      <c r="E283" s="1" t="s">
        <v>74</v>
      </c>
      <c r="F283" s="1" t="s">
        <v>3012</v>
      </c>
      <c r="G283" s="1" t="s">
        <v>74</v>
      </c>
      <c r="H283" s="1" t="s">
        <v>74</v>
      </c>
      <c r="I283" s="1" t="s">
        <v>3013</v>
      </c>
      <c r="J283" s="1" t="s">
        <v>3014</v>
      </c>
      <c r="K283" s="1" t="s">
        <v>74</v>
      </c>
      <c r="L283" s="1" t="s">
        <v>74</v>
      </c>
      <c r="M283" s="1" t="s">
        <v>74</v>
      </c>
      <c r="N283" s="1" t="s">
        <v>74</v>
      </c>
      <c r="O283" s="1" t="s">
        <v>74</v>
      </c>
      <c r="P283" s="1" t="s">
        <v>74</v>
      </c>
      <c r="Q283" s="1" t="s">
        <v>74</v>
      </c>
      <c r="R283" s="1" t="s">
        <v>74</v>
      </c>
      <c r="S283" s="1" t="s">
        <v>74</v>
      </c>
      <c r="T283" s="1" t="s">
        <v>74</v>
      </c>
      <c r="U283" s="1" t="s">
        <v>74</v>
      </c>
      <c r="V283" s="1" t="s">
        <v>3015</v>
      </c>
      <c r="W283" s="1" t="s">
        <v>74</v>
      </c>
      <c r="X283" s="1" t="s">
        <v>74</v>
      </c>
      <c r="Y283" s="1" t="s">
        <v>74</v>
      </c>
      <c r="Z283" s="1" t="s">
        <v>74</v>
      </c>
      <c r="AA283" s="1" t="s">
        <v>3016</v>
      </c>
      <c r="AB283" s="1" t="s">
        <v>3017</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3018</v>
      </c>
      <c r="AP283" s="1" t="s">
        <v>74</v>
      </c>
      <c r="AQ283" s="1" t="s">
        <v>74</v>
      </c>
      <c r="AR283" s="1" t="s">
        <v>74</v>
      </c>
      <c r="AS283" s="1" t="s">
        <v>74</v>
      </c>
      <c r="AT283" s="1" t="s">
        <v>151</v>
      </c>
      <c r="AU283" s="1">
        <v>2016.0</v>
      </c>
      <c r="AV283" s="1">
        <v>71.0</v>
      </c>
      <c r="AW283" s="1" t="s">
        <v>74</v>
      </c>
      <c r="AX283" s="1" t="s">
        <v>74</v>
      </c>
      <c r="AY283" s="1" t="s">
        <v>74</v>
      </c>
      <c r="AZ283" s="1" t="s">
        <v>74</v>
      </c>
      <c r="BA283" s="1" t="s">
        <v>74</v>
      </c>
      <c r="BB283" s="1">
        <v>86.0</v>
      </c>
      <c r="BC283" s="1">
        <v>107.0</v>
      </c>
      <c r="BD283" s="1" t="s">
        <v>74</v>
      </c>
      <c r="BE283" s="1" t="s">
        <v>3019</v>
      </c>
      <c r="BF283" s="2" t="str">
        <f>HYPERLINK("http://dx.doi.org/10.1016/j.trc.2016.06.021","http://dx.doi.org/10.1016/j.trc.2016.06.021")</f>
        <v>http://dx.doi.org/10.1016/j.trc.2016.06.021</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3020</v>
      </c>
      <c r="BT283" s="1" t="str">
        <f>HYPERLINK("https%3A%2F%2Fwww.webofscience.com%2Fwos%2Fwoscc%2Ffull-record%2FWOS:000385602200006","View Full Record in Web of Science")</f>
        <v>View Full Record in Web of Science</v>
      </c>
    </row>
    <row r="284" ht="12.75" customHeight="1">
      <c r="A284" s="1" t="s">
        <v>154</v>
      </c>
      <c r="B284" s="1" t="s">
        <v>3021</v>
      </c>
      <c r="C284" s="1" t="s">
        <v>74</v>
      </c>
      <c r="D284" s="1" t="s">
        <v>3022</v>
      </c>
      <c r="E284" s="1" t="s">
        <v>74</v>
      </c>
      <c r="F284" s="1" t="s">
        <v>3023</v>
      </c>
      <c r="G284" s="1" t="s">
        <v>74</v>
      </c>
      <c r="H284" s="1" t="s">
        <v>74</v>
      </c>
      <c r="I284" s="1" t="s">
        <v>3024</v>
      </c>
      <c r="J284" s="1" t="s">
        <v>3025</v>
      </c>
      <c r="K284" s="1" t="s">
        <v>1294</v>
      </c>
      <c r="L284" s="1" t="s">
        <v>74</v>
      </c>
      <c r="M284" s="1" t="s">
        <v>74</v>
      </c>
      <c r="N284" s="1" t="s">
        <v>74</v>
      </c>
      <c r="O284" s="1" t="s">
        <v>3026</v>
      </c>
      <c r="P284" s="1" t="s">
        <v>3027</v>
      </c>
      <c r="Q284" s="1" t="s">
        <v>3028</v>
      </c>
      <c r="R284" s="1" t="s">
        <v>74</v>
      </c>
      <c r="S284" s="1" t="s">
        <v>74</v>
      </c>
      <c r="T284" s="1" t="s">
        <v>74</v>
      </c>
      <c r="U284" s="1" t="s">
        <v>74</v>
      </c>
      <c r="V284" s="1" t="s">
        <v>3029</v>
      </c>
      <c r="W284" s="1" t="s">
        <v>74</v>
      </c>
      <c r="X284" s="1" t="s">
        <v>74</v>
      </c>
      <c r="Y284" s="1" t="s">
        <v>74</v>
      </c>
      <c r="Z284" s="1" t="s">
        <v>74</v>
      </c>
      <c r="AA284" s="1" t="s">
        <v>3030</v>
      </c>
      <c r="AB284" s="1" t="s">
        <v>3031</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1300</v>
      </c>
      <c r="AP284" s="1" t="s">
        <v>1301</v>
      </c>
      <c r="AQ284" s="1" t="s">
        <v>3032</v>
      </c>
      <c r="AR284" s="1" t="s">
        <v>74</v>
      </c>
      <c r="AS284" s="1" t="s">
        <v>74</v>
      </c>
      <c r="AT284" s="1" t="s">
        <v>74</v>
      </c>
      <c r="AU284" s="1">
        <v>2016.0</v>
      </c>
      <c r="AV284" s="1">
        <v>9914.0</v>
      </c>
      <c r="AW284" s="1" t="s">
        <v>74</v>
      </c>
      <c r="AX284" s="1" t="s">
        <v>74</v>
      </c>
      <c r="AY284" s="1" t="s">
        <v>74</v>
      </c>
      <c r="AZ284" s="1" t="s">
        <v>74</v>
      </c>
      <c r="BA284" s="1" t="s">
        <v>74</v>
      </c>
      <c r="BB284" s="1">
        <v>655.0</v>
      </c>
      <c r="BC284" s="1">
        <v>667.0</v>
      </c>
      <c r="BD284" s="1" t="s">
        <v>74</v>
      </c>
      <c r="BE284" s="1" t="s">
        <v>3033</v>
      </c>
      <c r="BF284" s="2" t="str">
        <f>HYPERLINK("http://dx.doi.org/10.1007/978-3-319-48881-3_46","http://dx.doi.org/10.1007/978-3-319-48881-3_46")</f>
        <v>http://dx.doi.org/10.1007/978-3-319-48881-3_46</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3034</v>
      </c>
      <c r="BT284" s="1" t="str">
        <f>HYPERLINK("https%3A%2F%2Fwww.webofscience.com%2Fwos%2Fwoscc%2Ffull-record%2FWOS:000389501700046","View Full Record in Web of Science")</f>
        <v>View Full Record in Web of Science</v>
      </c>
    </row>
    <row r="285" ht="12.75" customHeight="1">
      <c r="A285" s="1" t="s">
        <v>72</v>
      </c>
      <c r="B285" s="1" t="s">
        <v>3035</v>
      </c>
      <c r="C285" s="1" t="s">
        <v>74</v>
      </c>
      <c r="D285" s="1" t="s">
        <v>74</v>
      </c>
      <c r="E285" s="1" t="s">
        <v>74</v>
      </c>
      <c r="F285" s="1" t="s">
        <v>3036</v>
      </c>
      <c r="G285" s="1" t="s">
        <v>74</v>
      </c>
      <c r="H285" s="1" t="s">
        <v>74</v>
      </c>
      <c r="I285" s="1" t="s">
        <v>3037</v>
      </c>
      <c r="J285" s="1" t="s">
        <v>3038</v>
      </c>
      <c r="K285" s="1" t="s">
        <v>74</v>
      </c>
      <c r="L285" s="1" t="s">
        <v>74</v>
      </c>
      <c r="M285" s="1" t="s">
        <v>74</v>
      </c>
      <c r="N285" s="1" t="s">
        <v>74</v>
      </c>
      <c r="O285" s="1" t="s">
        <v>74</v>
      </c>
      <c r="P285" s="1" t="s">
        <v>74</v>
      </c>
      <c r="Q285" s="1" t="s">
        <v>74</v>
      </c>
      <c r="R285" s="1" t="s">
        <v>74</v>
      </c>
      <c r="S285" s="1" t="s">
        <v>74</v>
      </c>
      <c r="T285" s="1" t="s">
        <v>74</v>
      </c>
      <c r="U285" s="1" t="s">
        <v>74</v>
      </c>
      <c r="V285" s="1" t="s">
        <v>3039</v>
      </c>
      <c r="W285" s="1" t="s">
        <v>74</v>
      </c>
      <c r="X285" s="1" t="s">
        <v>74</v>
      </c>
      <c r="Y285" s="1" t="s">
        <v>74</v>
      </c>
      <c r="Z285" s="1" t="s">
        <v>74</v>
      </c>
      <c r="AA285" s="1" t="s">
        <v>3040</v>
      </c>
      <c r="AB285" s="1" t="s">
        <v>3041</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3042</v>
      </c>
      <c r="AP285" s="1" t="s">
        <v>3043</v>
      </c>
      <c r="AQ285" s="1" t="s">
        <v>74</v>
      </c>
      <c r="AR285" s="1" t="s">
        <v>74</v>
      </c>
      <c r="AS285" s="1" t="s">
        <v>74</v>
      </c>
      <c r="AT285" s="1" t="s">
        <v>83</v>
      </c>
      <c r="AU285" s="1">
        <v>2015.0</v>
      </c>
      <c r="AV285" s="1">
        <v>363.0</v>
      </c>
      <c r="AW285" s="1" t="s">
        <v>74</v>
      </c>
      <c r="AX285" s="1" t="s">
        <v>74</v>
      </c>
      <c r="AY285" s="1" t="s">
        <v>74</v>
      </c>
      <c r="AZ285" s="1" t="s">
        <v>74</v>
      </c>
      <c r="BA285" s="1" t="s">
        <v>74</v>
      </c>
      <c r="BB285" s="1">
        <v>364.0</v>
      </c>
      <c r="BC285" s="1">
        <v>370.0</v>
      </c>
      <c r="BD285" s="1" t="s">
        <v>74</v>
      </c>
      <c r="BE285" s="1" t="s">
        <v>3044</v>
      </c>
      <c r="BF285" s="2" t="str">
        <f>HYPERLINK("http://dx.doi.org/10.1016/j.aop.2015.10.005","http://dx.doi.org/10.1016/j.aop.2015.10.005")</f>
        <v>http://dx.doi.org/10.1016/j.aop.2015.10.005</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3045</v>
      </c>
      <c r="BT285" s="1" t="str">
        <f>HYPERLINK("https%3A%2F%2Fwww.webofscience.com%2Fwos%2Fwoscc%2Ffull-record%2FWOS:000365834900022","View Full Record in Web of Science")</f>
        <v>View Full Record in Web of Science</v>
      </c>
    </row>
    <row r="286" ht="12.75" customHeight="1">
      <c r="A286" s="1" t="s">
        <v>72</v>
      </c>
      <c r="B286" s="1" t="s">
        <v>3046</v>
      </c>
      <c r="C286" s="1" t="s">
        <v>74</v>
      </c>
      <c r="D286" s="1" t="s">
        <v>74</v>
      </c>
      <c r="E286" s="1" t="s">
        <v>74</v>
      </c>
      <c r="F286" s="1" t="s">
        <v>3047</v>
      </c>
      <c r="G286" s="1" t="s">
        <v>74</v>
      </c>
      <c r="H286" s="1" t="s">
        <v>74</v>
      </c>
      <c r="I286" s="1" t="s">
        <v>3048</v>
      </c>
      <c r="J286" s="1" t="s">
        <v>3049</v>
      </c>
      <c r="K286" s="1" t="s">
        <v>74</v>
      </c>
      <c r="L286" s="1" t="s">
        <v>74</v>
      </c>
      <c r="M286" s="1" t="s">
        <v>74</v>
      </c>
      <c r="N286" s="1" t="s">
        <v>74</v>
      </c>
      <c r="O286" s="1" t="s">
        <v>74</v>
      </c>
      <c r="P286" s="1" t="s">
        <v>74</v>
      </c>
      <c r="Q286" s="1" t="s">
        <v>74</v>
      </c>
      <c r="R286" s="1" t="s">
        <v>74</v>
      </c>
      <c r="S286" s="1" t="s">
        <v>74</v>
      </c>
      <c r="T286" s="1" t="s">
        <v>74</v>
      </c>
      <c r="U286" s="1" t="s">
        <v>74</v>
      </c>
      <c r="V286" s="1" t="s">
        <v>3050</v>
      </c>
      <c r="W286" s="1" t="s">
        <v>74</v>
      </c>
      <c r="X286" s="1" t="s">
        <v>74</v>
      </c>
      <c r="Y286" s="1" t="s">
        <v>74</v>
      </c>
      <c r="Z286" s="1" t="s">
        <v>74</v>
      </c>
      <c r="AA286" s="1" t="s">
        <v>3051</v>
      </c>
      <c r="AB286" s="1" t="s">
        <v>3052</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3053</v>
      </c>
      <c r="AP286" s="1" t="s">
        <v>3054</v>
      </c>
      <c r="AQ286" s="1" t="s">
        <v>74</v>
      </c>
      <c r="AR286" s="1" t="s">
        <v>74</v>
      </c>
      <c r="AS286" s="1" t="s">
        <v>74</v>
      </c>
      <c r="AT286" s="1" t="s">
        <v>1082</v>
      </c>
      <c r="AU286" s="1">
        <v>2015.0</v>
      </c>
      <c r="AV286" s="1">
        <v>15.0</v>
      </c>
      <c r="AW286" s="1">
        <v>4.0</v>
      </c>
      <c r="AX286" s="1" t="s">
        <v>74</v>
      </c>
      <c r="AY286" s="1" t="s">
        <v>74</v>
      </c>
      <c r="AZ286" s="1" t="s">
        <v>74</v>
      </c>
      <c r="BA286" s="1" t="s">
        <v>74</v>
      </c>
      <c r="BB286" s="1">
        <v>923.0</v>
      </c>
      <c r="BC286" s="1">
        <v>938.0</v>
      </c>
      <c r="BD286" s="1" t="s">
        <v>74</v>
      </c>
      <c r="BE286" s="1" t="s">
        <v>74</v>
      </c>
      <c r="BF286" s="1" t="s">
        <v>74</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3055</v>
      </c>
      <c r="BT286" s="1" t="str">
        <f>HYPERLINK("https%3A%2F%2Fwww.webofscience.com%2Fwos%2Fwoscc%2Ffull-record%2FWOS:000365969100009","View Full Record in Web of Science")</f>
        <v>View Full Record in Web of Science</v>
      </c>
    </row>
    <row r="287" ht="12.75" customHeight="1">
      <c r="A287" s="1" t="s">
        <v>72</v>
      </c>
      <c r="B287" s="1" t="s">
        <v>3056</v>
      </c>
      <c r="C287" s="1" t="s">
        <v>74</v>
      </c>
      <c r="D287" s="1" t="s">
        <v>74</v>
      </c>
      <c r="E287" s="1" t="s">
        <v>74</v>
      </c>
      <c r="F287" s="1" t="s">
        <v>3057</v>
      </c>
      <c r="G287" s="1" t="s">
        <v>74</v>
      </c>
      <c r="H287" s="1" t="s">
        <v>74</v>
      </c>
      <c r="I287" s="1" t="s">
        <v>3058</v>
      </c>
      <c r="J287" s="1" t="s">
        <v>3059</v>
      </c>
      <c r="K287" s="1" t="s">
        <v>74</v>
      </c>
      <c r="L287" s="1" t="s">
        <v>74</v>
      </c>
      <c r="M287" s="1" t="s">
        <v>74</v>
      </c>
      <c r="N287" s="1" t="s">
        <v>74</v>
      </c>
      <c r="O287" s="1" t="s">
        <v>74</v>
      </c>
      <c r="P287" s="1" t="s">
        <v>74</v>
      </c>
      <c r="Q287" s="1" t="s">
        <v>74</v>
      </c>
      <c r="R287" s="1" t="s">
        <v>74</v>
      </c>
      <c r="S287" s="1" t="s">
        <v>74</v>
      </c>
      <c r="T287" s="1" t="s">
        <v>74</v>
      </c>
      <c r="U287" s="1" t="s">
        <v>74</v>
      </c>
      <c r="V287" s="1" t="s">
        <v>3060</v>
      </c>
      <c r="W287" s="1" t="s">
        <v>74</v>
      </c>
      <c r="X287" s="1" t="s">
        <v>74</v>
      </c>
      <c r="Y287" s="1" t="s">
        <v>74</v>
      </c>
      <c r="Z287" s="1" t="s">
        <v>74</v>
      </c>
      <c r="AA287" s="1" t="s">
        <v>3061</v>
      </c>
      <c r="AB287" s="1" t="s">
        <v>3062</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3063</v>
      </c>
      <c r="AP287" s="1" t="s">
        <v>3064</v>
      </c>
      <c r="AQ287" s="1" t="s">
        <v>74</v>
      </c>
      <c r="AR287" s="1" t="s">
        <v>74</v>
      </c>
      <c r="AS287" s="1" t="s">
        <v>74</v>
      </c>
      <c r="AT287" s="1" t="s">
        <v>2902</v>
      </c>
      <c r="AU287" s="1">
        <v>2011.0</v>
      </c>
      <c r="AV287" s="1">
        <v>109.0</v>
      </c>
      <c r="AW287" s="1">
        <v>3.0</v>
      </c>
      <c r="AX287" s="1" t="s">
        <v>74</v>
      </c>
      <c r="AY287" s="1" t="s">
        <v>74</v>
      </c>
      <c r="AZ287" s="1" t="s">
        <v>74</v>
      </c>
      <c r="BA287" s="1" t="s">
        <v>74</v>
      </c>
      <c r="BB287" s="1" t="s">
        <v>74</v>
      </c>
      <c r="BC287" s="1" t="s">
        <v>74</v>
      </c>
      <c r="BD287" s="1">
        <v>33907.0</v>
      </c>
      <c r="BE287" s="1" t="s">
        <v>3065</v>
      </c>
      <c r="BF287" s="2" t="str">
        <f>HYPERLINK("http://dx.doi.org/10.1063/1.3544036","http://dx.doi.org/10.1063/1.3544036")</f>
        <v>http://dx.doi.org/10.1063/1.3544036</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3066</v>
      </c>
      <c r="BT287" s="1" t="str">
        <f>HYPERLINK("https%3A%2F%2Fwww.webofscience.com%2Fwos%2Fwoscc%2Ffull-record%2FWOS:000287366000055","View Full Record in Web of Science")</f>
        <v>View Full Record in Web of Science</v>
      </c>
    </row>
    <row r="288" ht="12.75" customHeight="1">
      <c r="A288" s="1" t="s">
        <v>72</v>
      </c>
      <c r="B288" s="1" t="s">
        <v>3067</v>
      </c>
      <c r="C288" s="1" t="s">
        <v>74</v>
      </c>
      <c r="D288" s="1" t="s">
        <v>74</v>
      </c>
      <c r="E288" s="1" t="s">
        <v>74</v>
      </c>
      <c r="F288" s="1" t="s">
        <v>3068</v>
      </c>
      <c r="G288" s="1" t="s">
        <v>74</v>
      </c>
      <c r="H288" s="1" t="s">
        <v>74</v>
      </c>
      <c r="I288" s="1" t="s">
        <v>3069</v>
      </c>
      <c r="J288" s="1" t="s">
        <v>3070</v>
      </c>
      <c r="K288" s="1" t="s">
        <v>74</v>
      </c>
      <c r="L288" s="1" t="s">
        <v>74</v>
      </c>
      <c r="M288" s="1" t="s">
        <v>74</v>
      </c>
      <c r="N288" s="1" t="s">
        <v>74</v>
      </c>
      <c r="O288" s="1" t="s">
        <v>74</v>
      </c>
      <c r="P288" s="1" t="s">
        <v>74</v>
      </c>
      <c r="Q288" s="1" t="s">
        <v>74</v>
      </c>
      <c r="R288" s="1" t="s">
        <v>74</v>
      </c>
      <c r="S288" s="1" t="s">
        <v>74</v>
      </c>
      <c r="T288" s="1" t="s">
        <v>74</v>
      </c>
      <c r="U288" s="1" t="s">
        <v>74</v>
      </c>
      <c r="V288" s="1" t="s">
        <v>3071</v>
      </c>
      <c r="W288" s="1" t="s">
        <v>74</v>
      </c>
      <c r="X288" s="1" t="s">
        <v>74</v>
      </c>
      <c r="Y288" s="1" t="s">
        <v>74</v>
      </c>
      <c r="Z288" s="1" t="s">
        <v>74</v>
      </c>
      <c r="AA288" s="1" t="s">
        <v>3072</v>
      </c>
      <c r="AB288" s="1" t="s">
        <v>3073</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3074</v>
      </c>
      <c r="AP288" s="1" t="s">
        <v>3075</v>
      </c>
      <c r="AQ288" s="1" t="s">
        <v>74</v>
      </c>
      <c r="AR288" s="1" t="s">
        <v>74</v>
      </c>
      <c r="AS288" s="1" t="s">
        <v>74</v>
      </c>
      <c r="AT288" s="1" t="s">
        <v>308</v>
      </c>
      <c r="AU288" s="1">
        <v>2010.0</v>
      </c>
      <c r="AV288" s="1">
        <v>25.0</v>
      </c>
      <c r="AW288" s="1">
        <v>2.0</v>
      </c>
      <c r="AX288" s="1" t="s">
        <v>74</v>
      </c>
      <c r="AY288" s="1" t="s">
        <v>74</v>
      </c>
      <c r="AZ288" s="1" t="s">
        <v>74</v>
      </c>
      <c r="BA288" s="1" t="s">
        <v>74</v>
      </c>
      <c r="BB288" s="1">
        <v>861.0</v>
      </c>
      <c r="BC288" s="1">
        <v>869.0</v>
      </c>
      <c r="BD288" s="1" t="s">
        <v>74</v>
      </c>
      <c r="BE288" s="1" t="s">
        <v>3076</v>
      </c>
      <c r="BF288" s="2" t="str">
        <f>HYPERLINK("http://dx.doi.org/10.1109/TPWRD.2009.2033929","http://dx.doi.org/10.1109/TPWRD.2009.2033929")</f>
        <v>http://dx.doi.org/10.1109/TPWRD.2009.2033929</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3077</v>
      </c>
      <c r="BT288" s="1" t="str">
        <f>HYPERLINK("https%3A%2F%2Fwww.webofscience.com%2Fwos%2Fwoscc%2Ffull-record%2FWOS:000276036700036","View Full Record in Web of Science")</f>
        <v>View Full Record in Web of Science</v>
      </c>
    </row>
    <row r="289" ht="12.75" customHeight="1">
      <c r="A289" s="1" t="s">
        <v>72</v>
      </c>
      <c r="B289" s="1" t="s">
        <v>3078</v>
      </c>
      <c r="C289" s="1" t="s">
        <v>74</v>
      </c>
      <c r="D289" s="1" t="s">
        <v>74</v>
      </c>
      <c r="E289" s="1" t="s">
        <v>74</v>
      </c>
      <c r="F289" s="1" t="s">
        <v>3079</v>
      </c>
      <c r="G289" s="1" t="s">
        <v>74</v>
      </c>
      <c r="H289" s="1" t="s">
        <v>74</v>
      </c>
      <c r="I289" s="1" t="s">
        <v>3080</v>
      </c>
      <c r="J289" s="1" t="s">
        <v>3081</v>
      </c>
      <c r="K289" s="1" t="s">
        <v>74</v>
      </c>
      <c r="L289" s="1" t="s">
        <v>74</v>
      </c>
      <c r="M289" s="1" t="s">
        <v>74</v>
      </c>
      <c r="N289" s="1" t="s">
        <v>74</v>
      </c>
      <c r="O289" s="1" t="s">
        <v>74</v>
      </c>
      <c r="P289" s="1" t="s">
        <v>74</v>
      </c>
      <c r="Q289" s="1" t="s">
        <v>74</v>
      </c>
      <c r="R289" s="1" t="s">
        <v>74</v>
      </c>
      <c r="S289" s="1" t="s">
        <v>74</v>
      </c>
      <c r="T289" s="1" t="s">
        <v>74</v>
      </c>
      <c r="U289" s="1" t="s">
        <v>74</v>
      </c>
      <c r="V289" s="1" t="s">
        <v>3082</v>
      </c>
      <c r="W289" s="1" t="s">
        <v>74</v>
      </c>
      <c r="X289" s="1" t="s">
        <v>74</v>
      </c>
      <c r="Y289" s="1" t="s">
        <v>74</v>
      </c>
      <c r="Z289" s="1" t="s">
        <v>74</v>
      </c>
      <c r="AA289" s="1" t="s">
        <v>3083</v>
      </c>
      <c r="AB289" s="1" t="s">
        <v>3084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3085</v>
      </c>
      <c r="AP289" s="1" t="s">
        <v>3086</v>
      </c>
      <c r="AQ289" s="1" t="s">
        <v>74</v>
      </c>
      <c r="AR289" s="1" t="s">
        <v>74</v>
      </c>
      <c r="AS289" s="1" t="s">
        <v>74</v>
      </c>
      <c r="AT289" s="1" t="s">
        <v>74</v>
      </c>
      <c r="AU289" s="1">
        <v>2010.0</v>
      </c>
      <c r="AV289" s="1">
        <v>43.0</v>
      </c>
      <c r="AW289" s="1">
        <v>1.0</v>
      </c>
      <c r="AX289" s="1" t="s">
        <v>74</v>
      </c>
      <c r="AY289" s="1" t="s">
        <v>74</v>
      </c>
      <c r="AZ289" s="1" t="s">
        <v>74</v>
      </c>
      <c r="BA289" s="1" t="s">
        <v>74</v>
      </c>
      <c r="BB289" s="1">
        <v>39.0</v>
      </c>
      <c r="BC289" s="1">
        <v>50.0</v>
      </c>
      <c r="BD289" s="1" t="s">
        <v>74</v>
      </c>
      <c r="BE289" s="1" t="s">
        <v>74</v>
      </c>
      <c r="BF289" s="1" t="s">
        <v>74</v>
      </c>
      <c r="BG289" s="1" t="s">
        <v>74</v>
      </c>
      <c r="BH289" s="1" t="s">
        <v>74</v>
      </c>
      <c r="BI289" s="1" t="s">
        <v>74</v>
      </c>
      <c r="BJ289" s="1" t="s">
        <v>74</v>
      </c>
      <c r="BK289" s="1" t="s">
        <v>74</v>
      </c>
      <c r="BL289" s="1" t="s">
        <v>74</v>
      </c>
      <c r="BM289" s="1" t="s">
        <v>74</v>
      </c>
      <c r="BN289" s="1">
        <v>2.1157631E7</v>
      </c>
      <c r="BO289" s="1" t="s">
        <v>74</v>
      </c>
      <c r="BP289" s="1" t="s">
        <v>74</v>
      </c>
      <c r="BQ289" s="1" t="s">
        <v>74</v>
      </c>
      <c r="BR289" s="1" t="s">
        <v>74</v>
      </c>
      <c r="BS289" s="1" t="s">
        <v>3087</v>
      </c>
      <c r="BT289" s="1" t="str">
        <f>HYPERLINK("https%3A%2F%2Fwww.webofscience.com%2Fwos%2Fwoscc%2Ffull-record%2FWOS:000276887500006","View Full Record in Web of Science")</f>
        <v>View Full Record in Web of Science</v>
      </c>
    </row>
    <row r="290" ht="12.75" customHeight="1">
      <c r="A290" s="1" t="s">
        <v>72</v>
      </c>
      <c r="B290" s="1" t="s">
        <v>3088</v>
      </c>
      <c r="C290" s="1" t="s">
        <v>74</v>
      </c>
      <c r="D290" s="1" t="s">
        <v>74</v>
      </c>
      <c r="E290" s="1" t="s">
        <v>74</v>
      </c>
      <c r="F290" s="1" t="s">
        <v>3089</v>
      </c>
      <c r="G290" s="1" t="s">
        <v>74</v>
      </c>
      <c r="H290" s="1" t="s">
        <v>74</v>
      </c>
      <c r="I290" s="1" t="s">
        <v>3090</v>
      </c>
      <c r="J290" s="1" t="s">
        <v>618</v>
      </c>
      <c r="K290" s="1" t="s">
        <v>74</v>
      </c>
      <c r="L290" s="1" t="s">
        <v>74</v>
      </c>
      <c r="M290" s="1" t="s">
        <v>74</v>
      </c>
      <c r="N290" s="1" t="s">
        <v>74</v>
      </c>
      <c r="O290" s="1" t="s">
        <v>74</v>
      </c>
      <c r="P290" s="1" t="s">
        <v>74</v>
      </c>
      <c r="Q290" s="1" t="s">
        <v>74</v>
      </c>
      <c r="R290" s="1" t="s">
        <v>74</v>
      </c>
      <c r="S290" s="1" t="s">
        <v>74</v>
      </c>
      <c r="T290" s="1" t="s">
        <v>74</v>
      </c>
      <c r="U290" s="1" t="s">
        <v>74</v>
      </c>
      <c r="V290" s="1" t="s">
        <v>3091</v>
      </c>
      <c r="W290" s="1" t="s">
        <v>74</v>
      </c>
      <c r="X290" s="1" t="s">
        <v>74</v>
      </c>
      <c r="Y290" s="1" t="s">
        <v>74</v>
      </c>
      <c r="Z290" s="1" t="s">
        <v>74</v>
      </c>
      <c r="AA290" s="1" t="s">
        <v>3092</v>
      </c>
      <c r="AB290" s="1" t="s">
        <v>3093</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622</v>
      </c>
      <c r="AP290" s="1" t="s">
        <v>623</v>
      </c>
      <c r="AQ290" s="1" t="s">
        <v>74</v>
      </c>
      <c r="AR290" s="1" t="s">
        <v>74</v>
      </c>
      <c r="AS290" s="1" t="s">
        <v>74</v>
      </c>
      <c r="AT290" s="1" t="s">
        <v>151</v>
      </c>
      <c r="AU290" s="1">
        <v>2009.0</v>
      </c>
      <c r="AV290" s="1">
        <v>56.0</v>
      </c>
      <c r="AW290" s="1">
        <v>10.0</v>
      </c>
      <c r="AX290" s="1" t="s">
        <v>74</v>
      </c>
      <c r="AY290" s="1" t="s">
        <v>74</v>
      </c>
      <c r="AZ290" s="1" t="s">
        <v>74</v>
      </c>
      <c r="BA290" s="1" t="s">
        <v>74</v>
      </c>
      <c r="BB290" s="1">
        <v>4181.0</v>
      </c>
      <c r="BC290" s="1">
        <v>4193.0</v>
      </c>
      <c r="BD290" s="1" t="s">
        <v>74</v>
      </c>
      <c r="BE290" s="1" t="s">
        <v>3094</v>
      </c>
      <c r="BF290" s="2" t="str">
        <f>HYPERLINK("http://dx.doi.org/10.1109/TIE.2009.2028353","http://dx.doi.org/10.1109/TIE.2009.2028353")</f>
        <v>http://dx.doi.org/10.1109/TIE.2009.2028353</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3095</v>
      </c>
      <c r="BT290" s="1" t="str">
        <f>HYPERLINK("https%3A%2F%2Fwww.webofscience.com%2Fwos%2Fwoscc%2Ffull-record%2FWOS:000269838700046","View Full Record in Web of Science")</f>
        <v>View Full Record in Web of Science</v>
      </c>
    </row>
    <row r="291" ht="12.75" customHeight="1">
      <c r="A291" s="1" t="s">
        <v>72</v>
      </c>
      <c r="B291" s="1" t="s">
        <v>3096</v>
      </c>
      <c r="C291" s="1" t="s">
        <v>74</v>
      </c>
      <c r="D291" s="1" t="s">
        <v>74</v>
      </c>
      <c r="E291" s="1" t="s">
        <v>74</v>
      </c>
      <c r="F291" s="1" t="s">
        <v>3097</v>
      </c>
      <c r="G291" s="1" t="s">
        <v>74</v>
      </c>
      <c r="H291" s="1" t="s">
        <v>74</v>
      </c>
      <c r="I291" s="1" t="s">
        <v>3098</v>
      </c>
      <c r="J291" s="1" t="s">
        <v>3099</v>
      </c>
      <c r="K291" s="1" t="s">
        <v>74</v>
      </c>
      <c r="L291" s="1" t="s">
        <v>74</v>
      </c>
      <c r="M291" s="1" t="s">
        <v>74</v>
      </c>
      <c r="N291" s="1" t="s">
        <v>74</v>
      </c>
      <c r="O291" s="1" t="s">
        <v>74</v>
      </c>
      <c r="P291" s="1" t="s">
        <v>74</v>
      </c>
      <c r="Q291" s="1" t="s">
        <v>74</v>
      </c>
      <c r="R291" s="1" t="s">
        <v>74</v>
      </c>
      <c r="S291" s="1" t="s">
        <v>74</v>
      </c>
      <c r="T291" s="1" t="s">
        <v>74</v>
      </c>
      <c r="U291" s="1" t="s">
        <v>74</v>
      </c>
      <c r="V291" s="1" t="s">
        <v>3100</v>
      </c>
      <c r="W291" s="1" t="s">
        <v>74</v>
      </c>
      <c r="X291" s="1" t="s">
        <v>74</v>
      </c>
      <c r="Y291" s="1" t="s">
        <v>74</v>
      </c>
      <c r="Z291" s="1" t="s">
        <v>74</v>
      </c>
      <c r="AA291" s="1" t="s">
        <v>3101</v>
      </c>
      <c r="AB291" s="1" t="s">
        <v>3102</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3103</v>
      </c>
      <c r="AP291" s="1" t="s">
        <v>3104</v>
      </c>
      <c r="AQ291" s="1" t="s">
        <v>74</v>
      </c>
      <c r="AR291" s="1" t="s">
        <v>74</v>
      </c>
      <c r="AS291" s="1" t="s">
        <v>74</v>
      </c>
      <c r="AT291" s="1" t="s">
        <v>74</v>
      </c>
      <c r="AU291" s="1">
        <v>2009.0</v>
      </c>
      <c r="AV291" s="1">
        <v>2.0</v>
      </c>
      <c r="AW291" s="1">
        <v>1.0</v>
      </c>
      <c r="AX291" s="1" t="s">
        <v>74</v>
      </c>
      <c r="AY291" s="1" t="s">
        <v>74</v>
      </c>
      <c r="AZ291" s="1" t="s">
        <v>74</v>
      </c>
      <c r="BA291" s="1" t="s">
        <v>74</v>
      </c>
      <c r="BB291" s="1">
        <v>1.0</v>
      </c>
      <c r="BC291" s="1">
        <v>7.0</v>
      </c>
      <c r="BD291" s="1" t="s">
        <v>74</v>
      </c>
      <c r="BE291" s="1" t="s">
        <v>3105</v>
      </c>
      <c r="BF291" s="2" t="str">
        <f>HYPERLINK("http://dx.doi.org/10.1080/02652030802609614","http://dx.doi.org/10.1080/02652030802609614")</f>
        <v>http://dx.doi.org/10.1080/02652030802609614</v>
      </c>
      <c r="BG291" s="1" t="s">
        <v>74</v>
      </c>
      <c r="BH291" s="1" t="s">
        <v>74</v>
      </c>
      <c r="BI291" s="1" t="s">
        <v>74</v>
      </c>
      <c r="BJ291" s="1" t="s">
        <v>74</v>
      </c>
      <c r="BK291" s="1" t="s">
        <v>74</v>
      </c>
      <c r="BL291" s="1" t="s">
        <v>74</v>
      </c>
      <c r="BM291" s="1" t="s">
        <v>74</v>
      </c>
      <c r="BN291" s="1">
        <v>2.478496E7</v>
      </c>
      <c r="BO291" s="1" t="s">
        <v>74</v>
      </c>
      <c r="BP291" s="1" t="s">
        <v>74</v>
      </c>
      <c r="BQ291" s="1" t="s">
        <v>74</v>
      </c>
      <c r="BR291" s="1" t="s">
        <v>74</v>
      </c>
      <c r="BS291" s="1" t="s">
        <v>3106</v>
      </c>
      <c r="BT291" s="1" t="str">
        <f>HYPERLINK("https%3A%2F%2Fwww.webofscience.com%2Fwos%2Fwoscc%2Ffull-record%2FWOS:000269316700001","View Full Record in Web of Science")</f>
        <v>View Full Record in Web of Science</v>
      </c>
    </row>
    <row r="292" ht="12.75" customHeight="1">
      <c r="A292" s="1" t="s">
        <v>72</v>
      </c>
      <c r="B292" s="1" t="s">
        <v>3107</v>
      </c>
      <c r="C292" s="1" t="s">
        <v>74</v>
      </c>
      <c r="D292" s="1" t="s">
        <v>74</v>
      </c>
      <c r="E292" s="1" t="s">
        <v>74</v>
      </c>
      <c r="F292" s="1" t="s">
        <v>3108</v>
      </c>
      <c r="G292" s="1" t="s">
        <v>74</v>
      </c>
      <c r="H292" s="1" t="s">
        <v>74</v>
      </c>
      <c r="I292" s="1" t="s">
        <v>3109</v>
      </c>
      <c r="J292" s="1" t="s">
        <v>3110</v>
      </c>
      <c r="K292" s="1" t="s">
        <v>74</v>
      </c>
      <c r="L292" s="1" t="s">
        <v>74</v>
      </c>
      <c r="M292" s="1" t="s">
        <v>74</v>
      </c>
      <c r="N292" s="1" t="s">
        <v>74</v>
      </c>
      <c r="O292" s="1" t="s">
        <v>74</v>
      </c>
      <c r="P292" s="1" t="s">
        <v>74</v>
      </c>
      <c r="Q292" s="1" t="s">
        <v>74</v>
      </c>
      <c r="R292" s="1" t="s">
        <v>74</v>
      </c>
      <c r="S292" s="1" t="s">
        <v>74</v>
      </c>
      <c r="T292" s="1" t="s">
        <v>74</v>
      </c>
      <c r="U292" s="1" t="s">
        <v>74</v>
      </c>
      <c r="V292" s="1" t="s">
        <v>3111</v>
      </c>
      <c r="W292" s="1" t="s">
        <v>74</v>
      </c>
      <c r="X292" s="1" t="s">
        <v>74</v>
      </c>
      <c r="Y292" s="1" t="s">
        <v>74</v>
      </c>
      <c r="Z292" s="1" t="s">
        <v>74</v>
      </c>
      <c r="AA292" s="1" t="s">
        <v>3112</v>
      </c>
      <c r="AB292" s="1" t="s">
        <v>3113</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3114</v>
      </c>
      <c r="AP292" s="1" t="s">
        <v>3115</v>
      </c>
      <c r="AQ292" s="1" t="s">
        <v>74</v>
      </c>
      <c r="AR292" s="1" t="s">
        <v>74</v>
      </c>
      <c r="AS292" s="1" t="s">
        <v>74</v>
      </c>
      <c r="AT292" s="1" t="s">
        <v>2922</v>
      </c>
      <c r="AU292" s="1">
        <v>2006.0</v>
      </c>
      <c r="AV292" s="1">
        <v>304.0</v>
      </c>
      <c r="AW292" s="1">
        <v>1.0</v>
      </c>
      <c r="AX292" s="1" t="s">
        <v>74</v>
      </c>
      <c r="AY292" s="1" t="s">
        <v>74</v>
      </c>
      <c r="AZ292" s="1" t="s">
        <v>74</v>
      </c>
      <c r="BA292" s="1" t="s">
        <v>74</v>
      </c>
      <c r="BB292" s="1">
        <v>109.0</v>
      </c>
      <c r="BC292" s="1">
        <v>115.0</v>
      </c>
      <c r="BD292" s="1" t="s">
        <v>74</v>
      </c>
      <c r="BE292" s="1" t="s">
        <v>3116</v>
      </c>
      <c r="BF292" s="2" t="str">
        <f>HYPERLINK("http://dx.doi.org/10.1016/j.apcata.2006.02.029","http://dx.doi.org/10.1016/j.apcata.2006.02.029")</f>
        <v>http://dx.doi.org/10.1016/j.apcata.2006.02.029</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3117</v>
      </c>
      <c r="BT292" s="1" t="str">
        <f>HYPERLINK("https%3A%2F%2Fwww.webofscience.com%2Fwos%2Fwoscc%2Ffull-record%2FWOS:000237748700013","View Full Record in Web of Science")</f>
        <v>View Full Record in Web of Science</v>
      </c>
    </row>
    <row r="293" ht="12.75" customHeight="1">
      <c r="A293" s="1" t="s">
        <v>72</v>
      </c>
      <c r="B293" s="1" t="s">
        <v>3118</v>
      </c>
      <c r="C293" s="1" t="s">
        <v>74</v>
      </c>
      <c r="D293" s="1" t="s">
        <v>74</v>
      </c>
      <c r="E293" s="1" t="s">
        <v>74</v>
      </c>
      <c r="F293" s="1" t="s">
        <v>3118</v>
      </c>
      <c r="G293" s="1" t="s">
        <v>74</v>
      </c>
      <c r="H293" s="1" t="s">
        <v>74</v>
      </c>
      <c r="I293" s="1" t="s">
        <v>3119</v>
      </c>
      <c r="J293" s="1" t="s">
        <v>3120</v>
      </c>
      <c r="K293" s="1" t="s">
        <v>74</v>
      </c>
      <c r="L293" s="1" t="s">
        <v>74</v>
      </c>
      <c r="M293" s="1" t="s">
        <v>74</v>
      </c>
      <c r="N293" s="1" t="s">
        <v>74</v>
      </c>
      <c r="O293" s="1" t="s">
        <v>74</v>
      </c>
      <c r="P293" s="1" t="s">
        <v>74</v>
      </c>
      <c r="Q293" s="1" t="s">
        <v>74</v>
      </c>
      <c r="R293" s="1" t="s">
        <v>74</v>
      </c>
      <c r="S293" s="1" t="s">
        <v>74</v>
      </c>
      <c r="T293" s="1" t="s">
        <v>74</v>
      </c>
      <c r="U293" s="1" t="s">
        <v>74</v>
      </c>
      <c r="V293" s="1" t="s">
        <v>3121</v>
      </c>
      <c r="W293" s="1" t="s">
        <v>74</v>
      </c>
      <c r="X293" s="1" t="s">
        <v>74</v>
      </c>
      <c r="Y293" s="1" t="s">
        <v>74</v>
      </c>
      <c r="Z293" s="1" t="s">
        <v>74</v>
      </c>
      <c r="AA293" s="1" t="s">
        <v>74</v>
      </c>
      <c r="AB293" s="1" t="s">
        <v>74</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3122</v>
      </c>
      <c r="AP293" s="1" t="s">
        <v>3123</v>
      </c>
      <c r="AQ293" s="1" t="s">
        <v>74</v>
      </c>
      <c r="AR293" s="1" t="s">
        <v>74</v>
      </c>
      <c r="AS293" s="1" t="s">
        <v>74</v>
      </c>
      <c r="AT293" s="1" t="s">
        <v>94</v>
      </c>
      <c r="AU293" s="1">
        <v>2004.0</v>
      </c>
      <c r="AV293" s="1">
        <v>35.0</v>
      </c>
      <c r="AW293" s="1" t="s">
        <v>2092</v>
      </c>
      <c r="AX293" s="1" t="s">
        <v>74</v>
      </c>
      <c r="AY293" s="1" t="s">
        <v>74</v>
      </c>
      <c r="AZ293" s="1" t="s">
        <v>74</v>
      </c>
      <c r="BA293" s="1" t="s">
        <v>74</v>
      </c>
      <c r="BB293" s="1">
        <v>1323.0</v>
      </c>
      <c r="BC293" s="1">
        <v>1337.0</v>
      </c>
      <c r="BD293" s="1" t="s">
        <v>74</v>
      </c>
      <c r="BE293" s="1" t="s">
        <v>3124</v>
      </c>
      <c r="BF293" s="2" t="str">
        <f>HYPERLINK("http://dx.doi.org/10.1081/css-120037549","http://dx.doi.org/10.1081/css-120037549")</f>
        <v>http://dx.doi.org/10.1081/css-120037549</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3125</v>
      </c>
      <c r="BT293" s="1" t="str">
        <f>HYPERLINK("https%3A%2F%2Fwww.webofscience.com%2Fwos%2Fwoscc%2Ffull-record%2FWOS:000221944400011","View Full Record in Web of Science")</f>
        <v>View Full Record in Web of Science</v>
      </c>
    </row>
    <row r="294" ht="12.75" customHeight="1">
      <c r="A294" s="1" t="s">
        <v>72</v>
      </c>
      <c r="B294" s="1" t="s">
        <v>3126</v>
      </c>
      <c r="C294" s="1" t="s">
        <v>74</v>
      </c>
      <c r="D294" s="1" t="s">
        <v>74</v>
      </c>
      <c r="E294" s="1" t="s">
        <v>74</v>
      </c>
      <c r="F294" s="1" t="s">
        <v>3126</v>
      </c>
      <c r="G294" s="1" t="s">
        <v>74</v>
      </c>
      <c r="H294" s="1" t="s">
        <v>74</v>
      </c>
      <c r="I294" s="1" t="s">
        <v>3127</v>
      </c>
      <c r="J294" s="1" t="s">
        <v>3128</v>
      </c>
      <c r="K294" s="1" t="s">
        <v>74</v>
      </c>
      <c r="L294" s="1" t="s">
        <v>74</v>
      </c>
      <c r="M294" s="1" t="s">
        <v>74</v>
      </c>
      <c r="N294" s="1" t="s">
        <v>74</v>
      </c>
      <c r="O294" s="1" t="s">
        <v>74</v>
      </c>
      <c r="P294" s="1" t="s">
        <v>74</v>
      </c>
      <c r="Q294" s="1" t="s">
        <v>74</v>
      </c>
      <c r="R294" s="1" t="s">
        <v>74</v>
      </c>
      <c r="S294" s="1" t="s">
        <v>74</v>
      </c>
      <c r="T294" s="1" t="s">
        <v>74</v>
      </c>
      <c r="U294" s="1" t="s">
        <v>74</v>
      </c>
      <c r="V294" s="1" t="s">
        <v>3129</v>
      </c>
      <c r="W294" s="1" t="s">
        <v>74</v>
      </c>
      <c r="X294" s="1" t="s">
        <v>74</v>
      </c>
      <c r="Y294" s="1" t="s">
        <v>74</v>
      </c>
      <c r="Z294" s="1" t="s">
        <v>74</v>
      </c>
      <c r="AA294" s="1" t="s">
        <v>684</v>
      </c>
      <c r="AB294" s="1" t="s">
        <v>3130</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3131</v>
      </c>
      <c r="AP294" s="1" t="s">
        <v>3132</v>
      </c>
      <c r="AQ294" s="1" t="s">
        <v>74</v>
      </c>
      <c r="AR294" s="1" t="s">
        <v>74</v>
      </c>
      <c r="AS294" s="1" t="s">
        <v>74</v>
      </c>
      <c r="AT294" s="1" t="s">
        <v>3133</v>
      </c>
      <c r="AU294" s="1">
        <v>2002.0</v>
      </c>
      <c r="AV294" s="1">
        <v>17.0</v>
      </c>
      <c r="AW294" s="1">
        <v>19.0</v>
      </c>
      <c r="AX294" s="1" t="s">
        <v>74</v>
      </c>
      <c r="AY294" s="1" t="s">
        <v>74</v>
      </c>
      <c r="AZ294" s="1" t="s">
        <v>74</v>
      </c>
      <c r="BA294" s="1" t="s">
        <v>74</v>
      </c>
      <c r="BB294" s="1">
        <v>2555.0</v>
      </c>
      <c r="BC294" s="1">
        <v>2565.0</v>
      </c>
      <c r="BD294" s="1" t="s">
        <v>74</v>
      </c>
      <c r="BE294" s="1" t="s">
        <v>3134</v>
      </c>
      <c r="BF294" s="2" t="str">
        <f>HYPERLINK("http://dx.doi.org/10.1142/S0217751X02010960","http://dx.doi.org/10.1142/S0217751X02010960")</f>
        <v>http://dx.doi.org/10.1142/S0217751X02010960</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3135</v>
      </c>
      <c r="BT294" s="1" t="str">
        <f>HYPERLINK("https%3A%2F%2Fwww.webofscience.com%2Fwos%2Fwoscc%2Ffull-record%2FWOS:000177389200004","View Full Record in Web of Science")</f>
        <v>View Full Record in Web of Science</v>
      </c>
    </row>
    <row r="295" ht="12.75" customHeight="1">
      <c r="A295" s="1" t="s">
        <v>72</v>
      </c>
      <c r="B295" s="1" t="s">
        <v>3136</v>
      </c>
      <c r="C295" s="1" t="s">
        <v>74</v>
      </c>
      <c r="D295" s="1" t="s">
        <v>74</v>
      </c>
      <c r="E295" s="1" t="s">
        <v>74</v>
      </c>
      <c r="F295" s="1" t="s">
        <v>3136</v>
      </c>
      <c r="G295" s="1" t="s">
        <v>74</v>
      </c>
      <c r="H295" s="1" t="s">
        <v>74</v>
      </c>
      <c r="I295" s="1" t="s">
        <v>3137</v>
      </c>
      <c r="J295" s="1" t="s">
        <v>3138</v>
      </c>
      <c r="K295" s="1" t="s">
        <v>74</v>
      </c>
      <c r="L295" s="1" t="s">
        <v>74</v>
      </c>
      <c r="M295" s="1" t="s">
        <v>74</v>
      </c>
      <c r="N295" s="1" t="s">
        <v>74</v>
      </c>
      <c r="O295" s="1" t="s">
        <v>74</v>
      </c>
      <c r="P295" s="1" t="s">
        <v>74</v>
      </c>
      <c r="Q295" s="1" t="s">
        <v>74</v>
      </c>
      <c r="R295" s="1" t="s">
        <v>74</v>
      </c>
      <c r="S295" s="1" t="s">
        <v>74</v>
      </c>
      <c r="T295" s="1" t="s">
        <v>74</v>
      </c>
      <c r="U295" s="1" t="s">
        <v>74</v>
      </c>
      <c r="V295" s="1" t="s">
        <v>3139</v>
      </c>
      <c r="W295" s="1" t="s">
        <v>74</v>
      </c>
      <c r="X295" s="1" t="s">
        <v>74</v>
      </c>
      <c r="Y295" s="1" t="s">
        <v>74</v>
      </c>
      <c r="Z295" s="1" t="s">
        <v>74</v>
      </c>
      <c r="AA295" s="1" t="s">
        <v>3140</v>
      </c>
      <c r="AB295" s="1" t="s">
        <v>74</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3141</v>
      </c>
      <c r="AP295" s="1" t="s">
        <v>3142</v>
      </c>
      <c r="AQ295" s="1" t="s">
        <v>74</v>
      </c>
      <c r="AR295" s="1" t="s">
        <v>74</v>
      </c>
      <c r="AS295" s="1" t="s">
        <v>74</v>
      </c>
      <c r="AT295" s="1" t="s">
        <v>771</v>
      </c>
      <c r="AU295" s="1">
        <v>2001.0</v>
      </c>
      <c r="AV295" s="1">
        <v>616.0</v>
      </c>
      <c r="AW295" s="1">
        <v>3.0</v>
      </c>
      <c r="AX295" s="1" t="s">
        <v>74</v>
      </c>
      <c r="AY295" s="1" t="s">
        <v>74</v>
      </c>
      <c r="AZ295" s="1" t="s">
        <v>74</v>
      </c>
      <c r="BA295" s="1" t="s">
        <v>74</v>
      </c>
      <c r="BB295" s="1">
        <v>419.0</v>
      </c>
      <c r="BC295" s="1">
        <v>436.0</v>
      </c>
      <c r="BD295" s="1" t="s">
        <v>74</v>
      </c>
      <c r="BE295" s="1" t="s">
        <v>3143</v>
      </c>
      <c r="BF295" s="2" t="str">
        <f>HYPERLINK("http://dx.doi.org/10.1016/S0550-3213(01)00442-4","http://dx.doi.org/10.1016/S0550-3213(01)00442-4")</f>
        <v>http://dx.doi.org/10.1016/S0550-3213(01)00442-4</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3144</v>
      </c>
      <c r="BT295" s="1" t="str">
        <f>HYPERLINK("https%3A%2F%2Fwww.webofscience.com%2Fwos%2Fwoscc%2Ffull-record%2FWOS:000172179800002","View Full Record in Web of Science")</f>
        <v>View Full Record in Web of Science</v>
      </c>
    </row>
    <row r="296" ht="12.75" customHeight="1">
      <c r="A296" s="1" t="s">
        <v>72</v>
      </c>
      <c r="B296" s="1" t="s">
        <v>3145</v>
      </c>
      <c r="C296" s="1" t="s">
        <v>74</v>
      </c>
      <c r="D296" s="1" t="s">
        <v>74</v>
      </c>
      <c r="E296" s="1" t="s">
        <v>74</v>
      </c>
      <c r="F296" s="1" t="s">
        <v>3145</v>
      </c>
      <c r="G296" s="1" t="s">
        <v>74</v>
      </c>
      <c r="H296" s="1" t="s">
        <v>74</v>
      </c>
      <c r="I296" s="1" t="s">
        <v>3146</v>
      </c>
      <c r="J296" s="1" t="s">
        <v>3147</v>
      </c>
      <c r="K296" s="1" t="s">
        <v>74</v>
      </c>
      <c r="L296" s="1" t="s">
        <v>74</v>
      </c>
      <c r="M296" s="1" t="s">
        <v>74</v>
      </c>
      <c r="N296" s="1" t="s">
        <v>74</v>
      </c>
      <c r="O296" s="1" t="s">
        <v>74</v>
      </c>
      <c r="P296" s="1" t="s">
        <v>74</v>
      </c>
      <c r="Q296" s="1" t="s">
        <v>74</v>
      </c>
      <c r="R296" s="1" t="s">
        <v>74</v>
      </c>
      <c r="S296" s="1" t="s">
        <v>74</v>
      </c>
      <c r="T296" s="1" t="s">
        <v>74</v>
      </c>
      <c r="U296" s="1" t="s">
        <v>74</v>
      </c>
      <c r="V296" s="1" t="s">
        <v>74</v>
      </c>
      <c r="W296" s="1" t="s">
        <v>74</v>
      </c>
      <c r="X296" s="1" t="s">
        <v>74</v>
      </c>
      <c r="Y296" s="1" t="s">
        <v>74</v>
      </c>
      <c r="Z296" s="1" t="s">
        <v>74</v>
      </c>
      <c r="AA296" s="1" t="s">
        <v>255</v>
      </c>
      <c r="AB296" s="1" t="s">
        <v>256</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3148</v>
      </c>
      <c r="AP296" s="1" t="s">
        <v>3149</v>
      </c>
      <c r="AQ296" s="1" t="s">
        <v>74</v>
      </c>
      <c r="AR296" s="1" t="s">
        <v>74</v>
      </c>
      <c r="AS296" s="1" t="s">
        <v>74</v>
      </c>
      <c r="AT296" s="1" t="s">
        <v>83</v>
      </c>
      <c r="AU296" s="1">
        <v>1994.0</v>
      </c>
      <c r="AV296" s="1">
        <v>21.0</v>
      </c>
      <c r="AW296" s="1">
        <v>12.0</v>
      </c>
      <c r="AX296" s="1" t="s">
        <v>74</v>
      </c>
      <c r="AY296" s="1" t="s">
        <v>74</v>
      </c>
      <c r="AZ296" s="1" t="s">
        <v>74</v>
      </c>
      <c r="BA296" s="1" t="s">
        <v>74</v>
      </c>
      <c r="BB296" s="1">
        <v>1933.0</v>
      </c>
      <c r="BC296" s="1">
        <v>1942.0</v>
      </c>
      <c r="BD296" s="1" t="s">
        <v>74</v>
      </c>
      <c r="BE296" s="1" t="s">
        <v>3150</v>
      </c>
      <c r="BF296" s="2" t="str">
        <f>HYPERLINK("http://dx.doi.org/10.1118/1.597231","http://dx.doi.org/10.1118/1.597231")</f>
        <v>http://dx.doi.org/10.1118/1.597231</v>
      </c>
      <c r="BG296" s="1" t="s">
        <v>74</v>
      </c>
      <c r="BH296" s="1" t="s">
        <v>74</v>
      </c>
      <c r="BI296" s="1" t="s">
        <v>74</v>
      </c>
      <c r="BJ296" s="1" t="s">
        <v>74</v>
      </c>
      <c r="BK296" s="1" t="s">
        <v>74</v>
      </c>
      <c r="BL296" s="1" t="s">
        <v>74</v>
      </c>
      <c r="BM296" s="1" t="s">
        <v>74</v>
      </c>
      <c r="BN296" s="1">
        <v>7700201.0</v>
      </c>
      <c r="BO296" s="1" t="s">
        <v>74</v>
      </c>
      <c r="BP296" s="1" t="s">
        <v>74</v>
      </c>
      <c r="BQ296" s="1" t="s">
        <v>74</v>
      </c>
      <c r="BR296" s="1" t="s">
        <v>74</v>
      </c>
      <c r="BS296" s="1" t="s">
        <v>3151</v>
      </c>
      <c r="BT296" s="1" t="str">
        <f>HYPERLINK("https%3A%2F%2Fwww.webofscience.com%2Fwos%2Fwoscc%2Ffull-record%2FWOS:A1994PY38000013","View Full Record in Web of Science")</f>
        <v>View Full Record in Web of Science</v>
      </c>
    </row>
    <row r="297" ht="12.75" customHeight="1">
      <c r="A297" s="1" t="s">
        <v>72</v>
      </c>
      <c r="B297" s="1" t="s">
        <v>3152</v>
      </c>
      <c r="C297" s="1" t="s">
        <v>74</v>
      </c>
      <c r="D297" s="1" t="s">
        <v>74</v>
      </c>
      <c r="E297" s="1" t="s">
        <v>74</v>
      </c>
      <c r="F297" s="1" t="s">
        <v>3153</v>
      </c>
      <c r="G297" s="1" t="s">
        <v>74</v>
      </c>
      <c r="H297" s="1" t="s">
        <v>74</v>
      </c>
      <c r="I297" s="1" t="s">
        <v>3154</v>
      </c>
      <c r="J297" s="1" t="s">
        <v>3155</v>
      </c>
      <c r="K297" s="1" t="s">
        <v>74</v>
      </c>
      <c r="L297" s="1" t="s">
        <v>74</v>
      </c>
      <c r="M297" s="1" t="s">
        <v>74</v>
      </c>
      <c r="N297" s="1" t="s">
        <v>74</v>
      </c>
      <c r="O297" s="1" t="s">
        <v>74</v>
      </c>
      <c r="P297" s="1" t="s">
        <v>74</v>
      </c>
      <c r="Q297" s="1" t="s">
        <v>74</v>
      </c>
      <c r="R297" s="1" t="s">
        <v>74</v>
      </c>
      <c r="S297" s="1" t="s">
        <v>74</v>
      </c>
      <c r="T297" s="1" t="s">
        <v>74</v>
      </c>
      <c r="U297" s="1" t="s">
        <v>74</v>
      </c>
      <c r="V297" s="1" t="s">
        <v>3156</v>
      </c>
      <c r="W297" s="1" t="s">
        <v>74</v>
      </c>
      <c r="X297" s="1" t="s">
        <v>74</v>
      </c>
      <c r="Y297" s="1" t="s">
        <v>74</v>
      </c>
      <c r="Z297" s="1" t="s">
        <v>74</v>
      </c>
      <c r="AA297" s="1" t="s">
        <v>3157</v>
      </c>
      <c r="AB297" s="1" t="s">
        <v>3158</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3159</v>
      </c>
      <c r="AP297" s="1" t="s">
        <v>3160</v>
      </c>
      <c r="AQ297" s="1" t="s">
        <v>74</v>
      </c>
      <c r="AR297" s="1" t="s">
        <v>74</v>
      </c>
      <c r="AS297" s="1" t="s">
        <v>74</v>
      </c>
      <c r="AT297" s="1" t="s">
        <v>1786</v>
      </c>
      <c r="AU297" s="1">
        <v>2025.0</v>
      </c>
      <c r="AV297" s="1">
        <v>386.0</v>
      </c>
      <c r="AW297" s="1" t="s">
        <v>74</v>
      </c>
      <c r="AX297" s="1" t="s">
        <v>74</v>
      </c>
      <c r="AY297" s="1" t="s">
        <v>74</v>
      </c>
      <c r="AZ297" s="1" t="s">
        <v>74</v>
      </c>
      <c r="BA297" s="1" t="s">
        <v>74</v>
      </c>
      <c r="BB297" s="1" t="s">
        <v>74</v>
      </c>
      <c r="BC297" s="1" t="s">
        <v>74</v>
      </c>
      <c r="BD297" s="1">
        <v>134134.0</v>
      </c>
      <c r="BE297" s="1" t="s">
        <v>3161</v>
      </c>
      <c r="BF297" s="2" t="str">
        <f>HYPERLINK("http://dx.doi.org/10.1016/j.fuel.2024.134134","http://dx.doi.org/10.1016/j.fuel.2024.134134")</f>
        <v>http://dx.doi.org/10.1016/j.fuel.2024.134134</v>
      </c>
      <c r="BG297" s="1" t="s">
        <v>74</v>
      </c>
      <c r="BH297" s="1" t="s">
        <v>3162</v>
      </c>
      <c r="BI297" s="1" t="s">
        <v>74</v>
      </c>
      <c r="BJ297" s="1" t="s">
        <v>74</v>
      </c>
      <c r="BK297" s="1" t="s">
        <v>74</v>
      </c>
      <c r="BL297" s="1" t="s">
        <v>74</v>
      </c>
      <c r="BM297" s="1" t="s">
        <v>74</v>
      </c>
      <c r="BN297" s="1" t="s">
        <v>74</v>
      </c>
      <c r="BO297" s="1" t="s">
        <v>74</v>
      </c>
      <c r="BP297" s="1" t="s">
        <v>74</v>
      </c>
      <c r="BQ297" s="1" t="s">
        <v>74</v>
      </c>
      <c r="BR297" s="1" t="s">
        <v>74</v>
      </c>
      <c r="BS297" s="1" t="s">
        <v>3163</v>
      </c>
      <c r="BT297" s="1" t="str">
        <f>HYPERLINK("https%3A%2F%2Fwww.webofscience.com%2Fwos%2Fwoscc%2Ffull-record%2FWOS:001413811400001","View Full Record in Web of Science")</f>
        <v>View Full Record in Web of Science</v>
      </c>
    </row>
    <row r="298" ht="12.75" customHeight="1">
      <c r="A298" s="1" t="s">
        <v>72</v>
      </c>
      <c r="B298" s="1" t="s">
        <v>3164</v>
      </c>
      <c r="C298" s="1" t="s">
        <v>74</v>
      </c>
      <c r="D298" s="1" t="s">
        <v>74</v>
      </c>
      <c r="E298" s="1" t="s">
        <v>74</v>
      </c>
      <c r="F298" s="1" t="s">
        <v>3165</v>
      </c>
      <c r="G298" s="1" t="s">
        <v>74</v>
      </c>
      <c r="H298" s="1" t="s">
        <v>74</v>
      </c>
      <c r="I298" s="1" t="s">
        <v>3166</v>
      </c>
      <c r="J298" s="1" t="s">
        <v>3167</v>
      </c>
      <c r="K298" s="1" t="s">
        <v>74</v>
      </c>
      <c r="L298" s="1" t="s">
        <v>74</v>
      </c>
      <c r="M298" s="1" t="s">
        <v>74</v>
      </c>
      <c r="N298" s="1" t="s">
        <v>74</v>
      </c>
      <c r="O298" s="1" t="s">
        <v>74</v>
      </c>
      <c r="P298" s="1" t="s">
        <v>74</v>
      </c>
      <c r="Q298" s="1" t="s">
        <v>74</v>
      </c>
      <c r="R298" s="1" t="s">
        <v>74</v>
      </c>
      <c r="S298" s="1" t="s">
        <v>74</v>
      </c>
      <c r="T298" s="1" t="s">
        <v>74</v>
      </c>
      <c r="U298" s="1" t="s">
        <v>74</v>
      </c>
      <c r="V298" s="1" t="s">
        <v>3168</v>
      </c>
      <c r="W298" s="1" t="s">
        <v>74</v>
      </c>
      <c r="X298" s="1" t="s">
        <v>74</v>
      </c>
      <c r="Y298" s="1" t="s">
        <v>74</v>
      </c>
      <c r="Z298" s="1" t="s">
        <v>74</v>
      </c>
      <c r="AA298" s="1" t="s">
        <v>3169</v>
      </c>
      <c r="AB298" s="1" t="s">
        <v>3170</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3171</v>
      </c>
      <c r="AP298" s="1" t="s">
        <v>74</v>
      </c>
      <c r="AQ298" s="1" t="s">
        <v>74</v>
      </c>
      <c r="AR298" s="1" t="s">
        <v>74</v>
      </c>
      <c r="AS298" s="1" t="s">
        <v>74</v>
      </c>
      <c r="AT298" s="1" t="s">
        <v>877</v>
      </c>
      <c r="AU298" s="1">
        <v>2024.0</v>
      </c>
      <c r="AV298" s="1">
        <v>51.0</v>
      </c>
      <c r="AW298" s="1">
        <v>4.0</v>
      </c>
      <c r="AX298" s="1" t="s">
        <v>74</v>
      </c>
      <c r="AY298" s="1" t="s">
        <v>74</v>
      </c>
      <c r="AZ298" s="1" t="s">
        <v>74</v>
      </c>
      <c r="BA298" s="1" t="s">
        <v>74</v>
      </c>
      <c r="BB298" s="1">
        <v>321.0</v>
      </c>
      <c r="BC298" s="1">
        <v>332.0</v>
      </c>
      <c r="BD298" s="1" t="s">
        <v>74</v>
      </c>
      <c r="BE298" s="1" t="s">
        <v>3172</v>
      </c>
      <c r="BF298" s="2" t="str">
        <f>HYPERLINK("http://dx.doi.org/10.4067/s0717-75182024000400321","http://dx.doi.org/10.4067/s0717-75182024000400321")</f>
        <v>http://dx.doi.org/10.4067/s0717-75182024000400321</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3173</v>
      </c>
      <c r="BT298" s="1" t="str">
        <f>HYPERLINK("https%3A%2F%2Fwww.webofscience.com%2Fwos%2Fwoscc%2Ffull-record%2FWOS:001342100300008","View Full Record in Web of Science")</f>
        <v>View Full Record in Web of Science</v>
      </c>
    </row>
    <row r="299" ht="12.75" customHeight="1">
      <c r="A299" s="1" t="s">
        <v>72</v>
      </c>
      <c r="B299" s="1" t="s">
        <v>3174</v>
      </c>
      <c r="C299" s="1" t="s">
        <v>74</v>
      </c>
      <c r="D299" s="1" t="s">
        <v>74</v>
      </c>
      <c r="E299" s="1" t="s">
        <v>74</v>
      </c>
      <c r="F299" s="1" t="s">
        <v>3175</v>
      </c>
      <c r="G299" s="1" t="s">
        <v>74</v>
      </c>
      <c r="H299" s="1" t="s">
        <v>74</v>
      </c>
      <c r="I299" s="1" t="s">
        <v>3176</v>
      </c>
      <c r="J299" s="1" t="s">
        <v>2888</v>
      </c>
      <c r="K299" s="1" t="s">
        <v>74</v>
      </c>
      <c r="L299" s="1" t="s">
        <v>74</v>
      </c>
      <c r="M299" s="1" t="s">
        <v>74</v>
      </c>
      <c r="N299" s="1" t="s">
        <v>74</v>
      </c>
      <c r="O299" s="1" t="s">
        <v>74</v>
      </c>
      <c r="P299" s="1" t="s">
        <v>74</v>
      </c>
      <c r="Q299" s="1" t="s">
        <v>74</v>
      </c>
      <c r="R299" s="1" t="s">
        <v>74</v>
      </c>
      <c r="S299" s="1" t="s">
        <v>74</v>
      </c>
      <c r="T299" s="1" t="s">
        <v>74</v>
      </c>
      <c r="U299" s="1" t="s">
        <v>74</v>
      </c>
      <c r="V299" s="1" t="s">
        <v>3177</v>
      </c>
      <c r="W299" s="1" t="s">
        <v>74</v>
      </c>
      <c r="X299" s="1" t="s">
        <v>74</v>
      </c>
      <c r="Y299" s="1" t="s">
        <v>74</v>
      </c>
      <c r="Z299" s="1" t="s">
        <v>74</v>
      </c>
      <c r="AA299" s="1" t="s">
        <v>3178</v>
      </c>
      <c r="AB299" s="1" t="s">
        <v>3179</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74</v>
      </c>
      <c r="AP299" s="1" t="s">
        <v>2892</v>
      </c>
      <c r="AQ299" s="1" t="s">
        <v>74</v>
      </c>
      <c r="AR299" s="1" t="s">
        <v>74</v>
      </c>
      <c r="AS299" s="1" t="s">
        <v>74</v>
      </c>
      <c r="AT299" s="1" t="s">
        <v>3180</v>
      </c>
      <c r="AU299" s="1">
        <v>2024.0</v>
      </c>
      <c r="AV299" s="1">
        <v>15.0</v>
      </c>
      <c r="AW299" s="1" t="s">
        <v>74</v>
      </c>
      <c r="AX299" s="1" t="s">
        <v>74</v>
      </c>
      <c r="AY299" s="1" t="s">
        <v>74</v>
      </c>
      <c r="AZ299" s="1" t="s">
        <v>74</v>
      </c>
      <c r="BA299" s="1" t="s">
        <v>74</v>
      </c>
      <c r="BB299" s="1" t="s">
        <v>74</v>
      </c>
      <c r="BC299" s="1" t="s">
        <v>74</v>
      </c>
      <c r="BD299" s="1">
        <v>1345324.0</v>
      </c>
      <c r="BE299" s="1" t="s">
        <v>3181</v>
      </c>
      <c r="BF299" s="2" t="str">
        <f>HYPERLINK("http://dx.doi.org/10.3389/fmicb.2024.1345324","http://dx.doi.org/10.3389/fmicb.2024.1345324")</f>
        <v>http://dx.doi.org/10.3389/fmicb.2024.1345324</v>
      </c>
      <c r="BG299" s="1" t="s">
        <v>74</v>
      </c>
      <c r="BH299" s="1" t="s">
        <v>74</v>
      </c>
      <c r="BI299" s="1" t="s">
        <v>74</v>
      </c>
      <c r="BJ299" s="1" t="s">
        <v>74</v>
      </c>
      <c r="BK299" s="1" t="s">
        <v>74</v>
      </c>
      <c r="BL299" s="1" t="s">
        <v>74</v>
      </c>
      <c r="BM299" s="1" t="s">
        <v>74</v>
      </c>
      <c r="BN299" s="1">
        <v>3.8404599E7</v>
      </c>
      <c r="BO299" s="1" t="s">
        <v>74</v>
      </c>
      <c r="BP299" s="1" t="s">
        <v>74</v>
      </c>
      <c r="BQ299" s="1" t="s">
        <v>74</v>
      </c>
      <c r="BR299" s="1" t="s">
        <v>74</v>
      </c>
      <c r="BS299" s="1" t="s">
        <v>3182</v>
      </c>
      <c r="BT299" s="1" t="str">
        <f>HYPERLINK("https%3A%2F%2Fwww.webofscience.com%2Fwos%2Fwoscc%2Ffull-record%2FWOS:001173456600001","View Full Record in Web of Science")</f>
        <v>View Full Record in Web of Science</v>
      </c>
    </row>
    <row r="300" ht="12.75" customHeight="1">
      <c r="A300" s="1" t="s">
        <v>72</v>
      </c>
      <c r="B300" s="1" t="s">
        <v>3183</v>
      </c>
      <c r="C300" s="1" t="s">
        <v>74</v>
      </c>
      <c r="D300" s="1" t="s">
        <v>74</v>
      </c>
      <c r="E300" s="1" t="s">
        <v>74</v>
      </c>
      <c r="F300" s="1" t="s">
        <v>3184</v>
      </c>
      <c r="G300" s="1" t="s">
        <v>74</v>
      </c>
      <c r="H300" s="1" t="s">
        <v>74</v>
      </c>
      <c r="I300" s="1" t="s">
        <v>3185</v>
      </c>
      <c r="J300" s="1" t="s">
        <v>3186</v>
      </c>
      <c r="K300" s="1" t="s">
        <v>74</v>
      </c>
      <c r="L300" s="1" t="s">
        <v>74</v>
      </c>
      <c r="M300" s="1" t="s">
        <v>74</v>
      </c>
      <c r="N300" s="1" t="s">
        <v>74</v>
      </c>
      <c r="O300" s="1" t="s">
        <v>74</v>
      </c>
      <c r="P300" s="1" t="s">
        <v>74</v>
      </c>
      <c r="Q300" s="1" t="s">
        <v>74</v>
      </c>
      <c r="R300" s="1" t="s">
        <v>74</v>
      </c>
      <c r="S300" s="1" t="s">
        <v>74</v>
      </c>
      <c r="T300" s="1" t="s">
        <v>74</v>
      </c>
      <c r="U300" s="1" t="s">
        <v>74</v>
      </c>
      <c r="V300" s="1" t="s">
        <v>3187</v>
      </c>
      <c r="W300" s="1" t="s">
        <v>74</v>
      </c>
      <c r="X300" s="1" t="s">
        <v>74</v>
      </c>
      <c r="Y300" s="1" t="s">
        <v>74</v>
      </c>
      <c r="Z300" s="1" t="s">
        <v>74</v>
      </c>
      <c r="AA300" s="1" t="s">
        <v>74</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3188</v>
      </c>
      <c r="AP300" s="1" t="s">
        <v>3189</v>
      </c>
      <c r="AQ300" s="1" t="s">
        <v>74</v>
      </c>
      <c r="AR300" s="1" t="s">
        <v>74</v>
      </c>
      <c r="AS300" s="1" t="s">
        <v>74</v>
      </c>
      <c r="AT300" s="1" t="s">
        <v>3190</v>
      </c>
      <c r="AU300" s="1">
        <v>2023.0</v>
      </c>
      <c r="AV300" s="1" t="s">
        <v>74</v>
      </c>
      <c r="AW300" s="1">
        <v>45.0</v>
      </c>
      <c r="AX300" s="1" t="s">
        <v>74</v>
      </c>
      <c r="AY300" s="1" t="s">
        <v>74</v>
      </c>
      <c r="AZ300" s="1" t="s">
        <v>74</v>
      </c>
      <c r="BA300" s="1" t="s">
        <v>74</v>
      </c>
      <c r="BB300" s="1">
        <v>80.0</v>
      </c>
      <c r="BC300" s="1">
        <v>106.0</v>
      </c>
      <c r="BD300" s="1" t="s">
        <v>74</v>
      </c>
      <c r="BE300" s="1" t="s">
        <v>3191</v>
      </c>
      <c r="BF300" s="2" t="str">
        <f>HYPERLINK("http://dx.doi.org/10.15446/hys.n45.100186","http://dx.doi.org/10.15446/hys.n45.100186")</f>
        <v>http://dx.doi.org/10.15446/hys.n45.100186</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3192</v>
      </c>
      <c r="BT300" s="1" t="str">
        <f>HYPERLINK("https%3A%2F%2Fwww.webofscience.com%2Fwos%2Fwoscc%2Ffull-record%2FWOS:001101965400004","View Full Record in Web of Science")</f>
        <v>View Full Record in Web of Science</v>
      </c>
    </row>
    <row r="301" ht="12.75" customHeight="1">
      <c r="A301" s="1" t="s">
        <v>72</v>
      </c>
      <c r="B301" s="1" t="s">
        <v>3193</v>
      </c>
      <c r="C301" s="1" t="s">
        <v>74</v>
      </c>
      <c r="D301" s="1" t="s">
        <v>74</v>
      </c>
      <c r="E301" s="1" t="s">
        <v>74</v>
      </c>
      <c r="F301" s="1" t="s">
        <v>3194</v>
      </c>
      <c r="G301" s="1" t="s">
        <v>74</v>
      </c>
      <c r="H301" s="1" t="s">
        <v>74</v>
      </c>
      <c r="I301" s="1" t="s">
        <v>3195</v>
      </c>
      <c r="J301" s="1" t="s">
        <v>3196</v>
      </c>
      <c r="K301" s="1" t="s">
        <v>74</v>
      </c>
      <c r="L301" s="1" t="s">
        <v>74</v>
      </c>
      <c r="M301" s="1" t="s">
        <v>74</v>
      </c>
      <c r="N301" s="1" t="s">
        <v>74</v>
      </c>
      <c r="O301" s="1" t="s">
        <v>74</v>
      </c>
      <c r="P301" s="1" t="s">
        <v>74</v>
      </c>
      <c r="Q301" s="1" t="s">
        <v>74</v>
      </c>
      <c r="R301" s="1" t="s">
        <v>74</v>
      </c>
      <c r="S301" s="1" t="s">
        <v>74</v>
      </c>
      <c r="T301" s="1" t="s">
        <v>74</v>
      </c>
      <c r="U301" s="1" t="s">
        <v>74</v>
      </c>
      <c r="V301" s="1" t="s">
        <v>3197</v>
      </c>
      <c r="W301" s="1" t="s">
        <v>74</v>
      </c>
      <c r="X301" s="1" t="s">
        <v>74</v>
      </c>
      <c r="Y301" s="1" t="s">
        <v>74</v>
      </c>
      <c r="Z301" s="1" t="s">
        <v>74</v>
      </c>
      <c r="AA301" s="1" t="s">
        <v>3198</v>
      </c>
      <c r="AB301" s="1" t="s">
        <v>3199</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74</v>
      </c>
      <c r="AP301" s="1" t="s">
        <v>3200</v>
      </c>
      <c r="AQ301" s="1" t="s">
        <v>74</v>
      </c>
      <c r="AR301" s="1" t="s">
        <v>74</v>
      </c>
      <c r="AS301" s="1" t="s">
        <v>74</v>
      </c>
      <c r="AT301" s="1" t="s">
        <v>3201</v>
      </c>
      <c r="AU301" s="1">
        <v>2022.0</v>
      </c>
      <c r="AV301" s="1">
        <v>22.0</v>
      </c>
      <c r="AW301" s="1">
        <v>1.0</v>
      </c>
      <c r="AX301" s="1" t="s">
        <v>74</v>
      </c>
      <c r="AY301" s="1" t="s">
        <v>74</v>
      </c>
      <c r="AZ301" s="1" t="s">
        <v>74</v>
      </c>
      <c r="BA301" s="1" t="s">
        <v>74</v>
      </c>
      <c r="BB301" s="1" t="s">
        <v>74</v>
      </c>
      <c r="BC301" s="1" t="s">
        <v>74</v>
      </c>
      <c r="BD301" s="1">
        <v>604.0</v>
      </c>
      <c r="BE301" s="1" t="s">
        <v>3202</v>
      </c>
      <c r="BF301" s="2" t="str">
        <f>HYPERLINK("http://dx.doi.org/10.1186/s12887-022-03641-3","http://dx.doi.org/10.1186/s12887-022-03641-3")</f>
        <v>http://dx.doi.org/10.1186/s12887-022-03641-3</v>
      </c>
      <c r="BG301" s="1" t="s">
        <v>74</v>
      </c>
      <c r="BH301" s="1" t="s">
        <v>74</v>
      </c>
      <c r="BI301" s="1" t="s">
        <v>74</v>
      </c>
      <c r="BJ301" s="1" t="s">
        <v>74</v>
      </c>
      <c r="BK301" s="1" t="s">
        <v>74</v>
      </c>
      <c r="BL301" s="1" t="s">
        <v>74</v>
      </c>
      <c r="BM301" s="1" t="s">
        <v>74</v>
      </c>
      <c r="BN301" s="1">
        <v>3.6258166E7</v>
      </c>
      <c r="BO301" s="1" t="s">
        <v>74</v>
      </c>
      <c r="BP301" s="1" t="s">
        <v>74</v>
      </c>
      <c r="BQ301" s="1" t="s">
        <v>74</v>
      </c>
      <c r="BR301" s="1" t="s">
        <v>74</v>
      </c>
      <c r="BS301" s="1" t="s">
        <v>3203</v>
      </c>
      <c r="BT301" s="1" t="str">
        <f>HYPERLINK("https%3A%2F%2Fwww.webofscience.com%2Fwos%2Fwoscc%2Ffull-record%2FWOS:000869831300002","View Full Record in Web of Science")</f>
        <v>View Full Record in Web of Science</v>
      </c>
    </row>
    <row r="302" ht="12.75" customHeight="1">
      <c r="A302" s="1" t="s">
        <v>72</v>
      </c>
      <c r="B302" s="1" t="s">
        <v>3204</v>
      </c>
      <c r="C302" s="1" t="s">
        <v>74</v>
      </c>
      <c r="D302" s="1" t="s">
        <v>74</v>
      </c>
      <c r="E302" s="1" t="s">
        <v>74</v>
      </c>
      <c r="F302" s="1" t="s">
        <v>3205</v>
      </c>
      <c r="G302" s="1" t="s">
        <v>74</v>
      </c>
      <c r="H302" s="1" t="s">
        <v>74</v>
      </c>
      <c r="I302" s="1" t="s">
        <v>3206</v>
      </c>
      <c r="J302" s="1" t="s">
        <v>873</v>
      </c>
      <c r="K302" s="1" t="s">
        <v>74</v>
      </c>
      <c r="L302" s="1" t="s">
        <v>74</v>
      </c>
      <c r="M302" s="1" t="s">
        <v>74</v>
      </c>
      <c r="N302" s="1" t="s">
        <v>74</v>
      </c>
      <c r="O302" s="1" t="s">
        <v>74</v>
      </c>
      <c r="P302" s="1" t="s">
        <v>74</v>
      </c>
      <c r="Q302" s="1" t="s">
        <v>74</v>
      </c>
      <c r="R302" s="1" t="s">
        <v>74</v>
      </c>
      <c r="S302" s="1" t="s">
        <v>74</v>
      </c>
      <c r="T302" s="1" t="s">
        <v>74</v>
      </c>
      <c r="U302" s="1" t="s">
        <v>74</v>
      </c>
      <c r="V302" s="1" t="s">
        <v>3207</v>
      </c>
      <c r="W302" s="1" t="s">
        <v>74</v>
      </c>
      <c r="X302" s="1" t="s">
        <v>74</v>
      </c>
      <c r="Y302" s="1" t="s">
        <v>74</v>
      </c>
      <c r="Z302" s="1" t="s">
        <v>74</v>
      </c>
      <c r="AA302" s="1" t="s">
        <v>3208</v>
      </c>
      <c r="AB302" s="1" t="s">
        <v>3209</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875</v>
      </c>
      <c r="AP302" s="1" t="s">
        <v>876</v>
      </c>
      <c r="AQ302" s="1" t="s">
        <v>74</v>
      </c>
      <c r="AR302" s="1" t="s">
        <v>74</v>
      </c>
      <c r="AS302" s="1" t="s">
        <v>74</v>
      </c>
      <c r="AT302" s="1" t="s">
        <v>600</v>
      </c>
      <c r="AU302" s="1">
        <v>2022.0</v>
      </c>
      <c r="AV302" s="1">
        <v>150.0</v>
      </c>
      <c r="AW302" s="1">
        <v>2.0</v>
      </c>
      <c r="AX302" s="1" t="s">
        <v>74</v>
      </c>
      <c r="AY302" s="1" t="s">
        <v>74</v>
      </c>
      <c r="AZ302" s="1" t="s">
        <v>74</v>
      </c>
      <c r="BA302" s="1" t="s">
        <v>74</v>
      </c>
      <c r="BB302" s="1">
        <v>256.0</v>
      </c>
      <c r="BC302" s="1">
        <v>260.0</v>
      </c>
      <c r="BD302" s="1" t="s">
        <v>74</v>
      </c>
      <c r="BE302" s="1" t="s">
        <v>74</v>
      </c>
      <c r="BF302" s="1" t="s">
        <v>74</v>
      </c>
      <c r="BG302" s="1" t="s">
        <v>74</v>
      </c>
      <c r="BH302" s="1" t="s">
        <v>74</v>
      </c>
      <c r="BI302" s="1" t="s">
        <v>74</v>
      </c>
      <c r="BJ302" s="1" t="s">
        <v>74</v>
      </c>
      <c r="BK302" s="1" t="s">
        <v>74</v>
      </c>
      <c r="BL302" s="1" t="s">
        <v>74</v>
      </c>
      <c r="BM302" s="1" t="s">
        <v>74</v>
      </c>
      <c r="BN302" s="1">
        <v>3.6156653E7</v>
      </c>
      <c r="BO302" s="1" t="s">
        <v>74</v>
      </c>
      <c r="BP302" s="1" t="s">
        <v>74</v>
      </c>
      <c r="BQ302" s="1" t="s">
        <v>74</v>
      </c>
      <c r="BR302" s="1" t="s">
        <v>74</v>
      </c>
      <c r="BS302" s="1" t="s">
        <v>3210</v>
      </c>
      <c r="BT302" s="1" t="str">
        <f>HYPERLINK("https%3A%2F%2Fwww.webofscience.com%2Fwos%2Fwoscc%2Ffull-record%2FWOS:000836614000015","View Full Record in Web of Science")</f>
        <v>View Full Record in Web of Science</v>
      </c>
    </row>
    <row r="303" ht="12.75" customHeight="1">
      <c r="A303" s="1" t="s">
        <v>72</v>
      </c>
      <c r="B303" s="1" t="s">
        <v>1597</v>
      </c>
      <c r="C303" s="1" t="s">
        <v>74</v>
      </c>
      <c r="D303" s="1" t="s">
        <v>74</v>
      </c>
      <c r="E303" s="1" t="s">
        <v>74</v>
      </c>
      <c r="F303" s="1" t="s">
        <v>1598</v>
      </c>
      <c r="G303" s="1" t="s">
        <v>74</v>
      </c>
      <c r="H303" s="1" t="s">
        <v>74</v>
      </c>
      <c r="I303" s="1" t="s">
        <v>3211</v>
      </c>
      <c r="J303" s="1" t="s">
        <v>3212</v>
      </c>
      <c r="K303" s="1" t="s">
        <v>74</v>
      </c>
      <c r="L303" s="1" t="s">
        <v>74</v>
      </c>
      <c r="M303" s="1" t="s">
        <v>74</v>
      </c>
      <c r="N303" s="1" t="s">
        <v>74</v>
      </c>
      <c r="O303" s="1" t="s">
        <v>74</v>
      </c>
      <c r="P303" s="1" t="s">
        <v>74</v>
      </c>
      <c r="Q303" s="1" t="s">
        <v>74</v>
      </c>
      <c r="R303" s="1" t="s">
        <v>74</v>
      </c>
      <c r="S303" s="1" t="s">
        <v>74</v>
      </c>
      <c r="T303" s="1" t="s">
        <v>74</v>
      </c>
      <c r="U303" s="1" t="s">
        <v>74</v>
      </c>
      <c r="V303" s="1" t="s">
        <v>3213</v>
      </c>
      <c r="W303" s="1" t="s">
        <v>74</v>
      </c>
      <c r="X303" s="1" t="s">
        <v>74</v>
      </c>
      <c r="Y303" s="1" t="s">
        <v>74</v>
      </c>
      <c r="Z303" s="1" t="s">
        <v>74</v>
      </c>
      <c r="AA303" s="1" t="s">
        <v>897</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3214</v>
      </c>
      <c r="AP303" s="1" t="s">
        <v>3215</v>
      </c>
      <c r="AQ303" s="1" t="s">
        <v>74</v>
      </c>
      <c r="AR303" s="1" t="s">
        <v>74</v>
      </c>
      <c r="AS303" s="1" t="s">
        <v>74</v>
      </c>
      <c r="AT303" s="1" t="s">
        <v>385</v>
      </c>
      <c r="AU303" s="1">
        <v>2022.0</v>
      </c>
      <c r="AV303" s="1">
        <v>34.0</v>
      </c>
      <c r="AW303" s="1">
        <v>2.0</v>
      </c>
      <c r="AX303" s="1" t="s">
        <v>74</v>
      </c>
      <c r="AY303" s="1" t="s">
        <v>74</v>
      </c>
      <c r="AZ303" s="1" t="s">
        <v>74</v>
      </c>
      <c r="BA303" s="1" t="s">
        <v>74</v>
      </c>
      <c r="BB303" s="1">
        <v>989.0</v>
      </c>
      <c r="BC303" s="1">
        <v>1024.0</v>
      </c>
      <c r="BD303" s="1" t="s">
        <v>74</v>
      </c>
      <c r="BE303" s="1" t="s">
        <v>3216</v>
      </c>
      <c r="BF303" s="2" t="str">
        <f>HYPERLINK("http://dx.doi.org/10.1007/s10648-021-09654-1","http://dx.doi.org/10.1007/s10648-021-09654-1")</f>
        <v>http://dx.doi.org/10.1007/s10648-021-09654-1</v>
      </c>
      <c r="BG303" s="1" t="s">
        <v>74</v>
      </c>
      <c r="BH303" s="1" t="s">
        <v>2805</v>
      </c>
      <c r="BI303" s="1" t="s">
        <v>74</v>
      </c>
      <c r="BJ303" s="1" t="s">
        <v>74</v>
      </c>
      <c r="BK303" s="1" t="s">
        <v>74</v>
      </c>
      <c r="BL303" s="1" t="s">
        <v>74</v>
      </c>
      <c r="BM303" s="1" t="s">
        <v>74</v>
      </c>
      <c r="BN303" s="1" t="s">
        <v>74</v>
      </c>
      <c r="BO303" s="1" t="s">
        <v>74</v>
      </c>
      <c r="BP303" s="1" t="s">
        <v>74</v>
      </c>
      <c r="BQ303" s="1" t="s">
        <v>74</v>
      </c>
      <c r="BR303" s="1" t="s">
        <v>74</v>
      </c>
      <c r="BS303" s="1" t="s">
        <v>3217</v>
      </c>
      <c r="BT303" s="1" t="str">
        <f>HYPERLINK("https%3A%2F%2Fwww.webofscience.com%2Fwos%2Fwoscc%2Ffull-record%2FWOS:000740186100001","View Full Record in Web of Science")</f>
        <v>View Full Record in Web of Science</v>
      </c>
    </row>
    <row r="304" ht="12.75" customHeight="1">
      <c r="A304" s="1" t="s">
        <v>72</v>
      </c>
      <c r="B304" s="1" t="s">
        <v>3218</v>
      </c>
      <c r="C304" s="1" t="s">
        <v>74</v>
      </c>
      <c r="D304" s="1" t="s">
        <v>74</v>
      </c>
      <c r="E304" s="1" t="s">
        <v>74</v>
      </c>
      <c r="F304" s="1" t="s">
        <v>3219</v>
      </c>
      <c r="G304" s="1" t="s">
        <v>74</v>
      </c>
      <c r="H304" s="1" t="s">
        <v>74</v>
      </c>
      <c r="I304" s="1" t="s">
        <v>3220</v>
      </c>
      <c r="J304" s="1" t="s">
        <v>3221</v>
      </c>
      <c r="K304" s="1" t="s">
        <v>74</v>
      </c>
      <c r="L304" s="1" t="s">
        <v>74</v>
      </c>
      <c r="M304" s="1" t="s">
        <v>74</v>
      </c>
      <c r="N304" s="1" t="s">
        <v>74</v>
      </c>
      <c r="O304" s="1" t="s">
        <v>74</v>
      </c>
      <c r="P304" s="1" t="s">
        <v>74</v>
      </c>
      <c r="Q304" s="1" t="s">
        <v>74</v>
      </c>
      <c r="R304" s="1" t="s">
        <v>74</v>
      </c>
      <c r="S304" s="1" t="s">
        <v>74</v>
      </c>
      <c r="T304" s="1" t="s">
        <v>74</v>
      </c>
      <c r="U304" s="1" t="s">
        <v>74</v>
      </c>
      <c r="V304" s="1" t="s">
        <v>3222</v>
      </c>
      <c r="W304" s="1" t="s">
        <v>74</v>
      </c>
      <c r="X304" s="1" t="s">
        <v>74</v>
      </c>
      <c r="Y304" s="1" t="s">
        <v>74</v>
      </c>
      <c r="Z304" s="1" t="s">
        <v>74</v>
      </c>
      <c r="AA304" s="1" t="s">
        <v>3223</v>
      </c>
      <c r="AB304" s="1" t="s">
        <v>3224</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3225</v>
      </c>
      <c r="AP304" s="1" t="s">
        <v>3226</v>
      </c>
      <c r="AQ304" s="1" t="s">
        <v>74</v>
      </c>
      <c r="AR304" s="1" t="s">
        <v>74</v>
      </c>
      <c r="AS304" s="1" t="s">
        <v>74</v>
      </c>
      <c r="AT304" s="1" t="s">
        <v>3227</v>
      </c>
      <c r="AU304" s="1">
        <v>2021.0</v>
      </c>
      <c r="AV304" s="1">
        <v>168.0</v>
      </c>
      <c r="AW304" s="1">
        <v>8.0</v>
      </c>
      <c r="AX304" s="1" t="s">
        <v>74</v>
      </c>
      <c r="AY304" s="1" t="s">
        <v>74</v>
      </c>
      <c r="AZ304" s="1" t="s">
        <v>74</v>
      </c>
      <c r="BA304" s="1" t="s">
        <v>74</v>
      </c>
      <c r="BB304" s="1" t="s">
        <v>74</v>
      </c>
      <c r="BC304" s="1" t="s">
        <v>74</v>
      </c>
      <c r="BD304" s="1">
        <v>80515.0</v>
      </c>
      <c r="BE304" s="1" t="s">
        <v>3228</v>
      </c>
      <c r="BF304" s="2" t="str">
        <f>HYPERLINK("http://dx.doi.org/10.1149/1945-7111/ac1a53","http://dx.doi.org/10.1149/1945-7111/ac1a53")</f>
        <v>http://dx.doi.org/10.1149/1945-7111/ac1a53</v>
      </c>
      <c r="BG304" s="1" t="s">
        <v>74</v>
      </c>
      <c r="BH304" s="1" t="s">
        <v>74</v>
      </c>
      <c r="BI304" s="1" t="s">
        <v>74</v>
      </c>
      <c r="BJ304" s="1" t="s">
        <v>74</v>
      </c>
      <c r="BK304" s="1" t="s">
        <v>74</v>
      </c>
      <c r="BL304" s="1" t="s">
        <v>74</v>
      </c>
      <c r="BM304" s="1" t="s">
        <v>74</v>
      </c>
      <c r="BN304" s="1" t="s">
        <v>74</v>
      </c>
      <c r="BO304" s="1" t="s">
        <v>74</v>
      </c>
      <c r="BP304" s="1" t="s">
        <v>74</v>
      </c>
      <c r="BQ304" s="1" t="s">
        <v>74</v>
      </c>
      <c r="BR304" s="1" t="s">
        <v>74</v>
      </c>
      <c r="BS304" s="1" t="s">
        <v>3229</v>
      </c>
      <c r="BT304" s="1" t="str">
        <f>HYPERLINK("https%3A%2F%2Fwww.webofscience.com%2Fwos%2Fwoscc%2Ffull-record%2FWOS:000685241300001","View Full Record in Web of Science")</f>
        <v>View Full Record in Web of Science</v>
      </c>
    </row>
    <row r="305" ht="12.75" customHeight="1">
      <c r="A305" s="1" t="s">
        <v>72</v>
      </c>
      <c r="B305" s="1" t="s">
        <v>3230</v>
      </c>
      <c r="C305" s="1" t="s">
        <v>74</v>
      </c>
      <c r="D305" s="1" t="s">
        <v>74</v>
      </c>
      <c r="E305" s="1" t="s">
        <v>74</v>
      </c>
      <c r="F305" s="1" t="s">
        <v>3231</v>
      </c>
      <c r="G305" s="1" t="s">
        <v>74</v>
      </c>
      <c r="H305" s="1" t="s">
        <v>74</v>
      </c>
      <c r="I305" s="1" t="s">
        <v>3232</v>
      </c>
      <c r="J305" s="1" t="s">
        <v>1571</v>
      </c>
      <c r="K305" s="1" t="s">
        <v>74</v>
      </c>
      <c r="L305" s="1" t="s">
        <v>74</v>
      </c>
      <c r="M305" s="1" t="s">
        <v>74</v>
      </c>
      <c r="N305" s="1" t="s">
        <v>74</v>
      </c>
      <c r="O305" s="1" t="s">
        <v>74</v>
      </c>
      <c r="P305" s="1" t="s">
        <v>74</v>
      </c>
      <c r="Q305" s="1" t="s">
        <v>74</v>
      </c>
      <c r="R305" s="1" t="s">
        <v>74</v>
      </c>
      <c r="S305" s="1" t="s">
        <v>74</v>
      </c>
      <c r="T305" s="1" t="s">
        <v>74</v>
      </c>
      <c r="U305" s="1" t="s">
        <v>74</v>
      </c>
      <c r="V305" s="1" t="s">
        <v>3233</v>
      </c>
      <c r="W305" s="1" t="s">
        <v>74</v>
      </c>
      <c r="X305" s="1" t="s">
        <v>74</v>
      </c>
      <c r="Y305" s="1" t="s">
        <v>74</v>
      </c>
      <c r="Z305" s="1" t="s">
        <v>74</v>
      </c>
      <c r="AA305" s="1" t="s">
        <v>3234</v>
      </c>
      <c r="AB305" s="1" t="s">
        <v>3235</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74</v>
      </c>
      <c r="AP305" s="1" t="s">
        <v>1575</v>
      </c>
      <c r="AQ305" s="1" t="s">
        <v>74</v>
      </c>
      <c r="AR305" s="1" t="s">
        <v>74</v>
      </c>
      <c r="AS305" s="1" t="s">
        <v>74</v>
      </c>
      <c r="AT305" s="1" t="s">
        <v>308</v>
      </c>
      <c r="AU305" s="1">
        <v>2021.0</v>
      </c>
      <c r="AV305" s="1">
        <v>13.0</v>
      </c>
      <c r="AW305" s="1">
        <v>7.0</v>
      </c>
      <c r="AX305" s="1" t="s">
        <v>74</v>
      </c>
      <c r="AY305" s="1" t="s">
        <v>74</v>
      </c>
      <c r="AZ305" s="1" t="s">
        <v>74</v>
      </c>
      <c r="BA305" s="1" t="s">
        <v>74</v>
      </c>
      <c r="BB305" s="1" t="s">
        <v>74</v>
      </c>
      <c r="BC305" s="1" t="s">
        <v>74</v>
      </c>
      <c r="BD305" s="1">
        <v>3959.0</v>
      </c>
      <c r="BE305" s="1" t="s">
        <v>3236</v>
      </c>
      <c r="BF305" s="2" t="str">
        <f>HYPERLINK("http://dx.doi.org/10.3390/su13073959","http://dx.doi.org/10.3390/su13073959")</f>
        <v>http://dx.doi.org/10.3390/su13073959</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3237</v>
      </c>
      <c r="BT305" s="1" t="str">
        <f>HYPERLINK("https%3A%2F%2Fwww.webofscience.com%2Fwos%2Fwoscc%2Ffull-record%2FWOS:000638924200001","View Full Record in Web of Science")</f>
        <v>View Full Record in Web of Science</v>
      </c>
    </row>
    <row r="306" ht="12.75" customHeight="1">
      <c r="A306" s="1" t="s">
        <v>72</v>
      </c>
      <c r="B306" s="1" t="s">
        <v>3238</v>
      </c>
      <c r="C306" s="1" t="s">
        <v>74</v>
      </c>
      <c r="D306" s="1" t="s">
        <v>74</v>
      </c>
      <c r="E306" s="1" t="s">
        <v>74</v>
      </c>
      <c r="F306" s="1" t="s">
        <v>3239</v>
      </c>
      <c r="G306" s="1" t="s">
        <v>74</v>
      </c>
      <c r="H306" s="1" t="s">
        <v>74</v>
      </c>
      <c r="I306" s="1" t="s">
        <v>3240</v>
      </c>
      <c r="J306" s="1" t="s">
        <v>292</v>
      </c>
      <c r="K306" s="1" t="s">
        <v>74</v>
      </c>
      <c r="L306" s="1" t="s">
        <v>74</v>
      </c>
      <c r="M306" s="1" t="s">
        <v>74</v>
      </c>
      <c r="N306" s="1" t="s">
        <v>74</v>
      </c>
      <c r="O306" s="1" t="s">
        <v>74</v>
      </c>
      <c r="P306" s="1" t="s">
        <v>74</v>
      </c>
      <c r="Q306" s="1" t="s">
        <v>74</v>
      </c>
      <c r="R306" s="1" t="s">
        <v>74</v>
      </c>
      <c r="S306" s="1" t="s">
        <v>74</v>
      </c>
      <c r="T306" s="1" t="s">
        <v>74</v>
      </c>
      <c r="U306" s="1" t="s">
        <v>74</v>
      </c>
      <c r="V306" s="1" t="s">
        <v>3241</v>
      </c>
      <c r="W306" s="1" t="s">
        <v>74</v>
      </c>
      <c r="X306" s="1" t="s">
        <v>74</v>
      </c>
      <c r="Y306" s="1" t="s">
        <v>74</v>
      </c>
      <c r="Z306" s="1" t="s">
        <v>74</v>
      </c>
      <c r="AA306" s="1" t="s">
        <v>3242</v>
      </c>
      <c r="AB306" s="1" t="s">
        <v>3243</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296</v>
      </c>
      <c r="AP306" s="1" t="s">
        <v>74</v>
      </c>
      <c r="AQ306" s="1" t="s">
        <v>74</v>
      </c>
      <c r="AR306" s="1" t="s">
        <v>74</v>
      </c>
      <c r="AS306" s="1" t="s">
        <v>74</v>
      </c>
      <c r="AT306" s="1" t="s">
        <v>3244</v>
      </c>
      <c r="AU306" s="1">
        <v>2020.0</v>
      </c>
      <c r="AV306" s="1">
        <v>10.0</v>
      </c>
      <c r="AW306" s="1">
        <v>1.0</v>
      </c>
      <c r="AX306" s="1" t="s">
        <v>74</v>
      </c>
      <c r="AY306" s="1" t="s">
        <v>74</v>
      </c>
      <c r="AZ306" s="1" t="s">
        <v>74</v>
      </c>
      <c r="BA306" s="1" t="s">
        <v>74</v>
      </c>
      <c r="BB306" s="1" t="s">
        <v>74</v>
      </c>
      <c r="BC306" s="1" t="s">
        <v>74</v>
      </c>
      <c r="BD306" s="1">
        <v>21731.0</v>
      </c>
      <c r="BE306" s="1" t="s">
        <v>3245</v>
      </c>
      <c r="BF306" s="2" t="str">
        <f>HYPERLINK("http://dx.doi.org/10.1038/s41598-020-78831-z","http://dx.doi.org/10.1038/s41598-020-78831-z")</f>
        <v>http://dx.doi.org/10.1038/s41598-020-78831-z</v>
      </c>
      <c r="BG306" s="1" t="s">
        <v>74</v>
      </c>
      <c r="BH306" s="1" t="s">
        <v>74</v>
      </c>
      <c r="BI306" s="1" t="s">
        <v>74</v>
      </c>
      <c r="BJ306" s="1" t="s">
        <v>74</v>
      </c>
      <c r="BK306" s="1" t="s">
        <v>74</v>
      </c>
      <c r="BL306" s="1" t="s">
        <v>74</v>
      </c>
      <c r="BM306" s="1" t="s">
        <v>74</v>
      </c>
      <c r="BN306" s="1">
        <v>3.3303974E7</v>
      </c>
      <c r="BO306" s="1" t="s">
        <v>74</v>
      </c>
      <c r="BP306" s="1" t="s">
        <v>74</v>
      </c>
      <c r="BQ306" s="1" t="s">
        <v>74</v>
      </c>
      <c r="BR306" s="1" t="s">
        <v>74</v>
      </c>
      <c r="BS306" s="1" t="s">
        <v>3246</v>
      </c>
      <c r="BT306" s="1" t="str">
        <f>HYPERLINK("https%3A%2F%2Fwww.webofscience.com%2Fwos%2Fwoscc%2Ffull-record%2FWOS:000609195000087","View Full Record in Web of Science")</f>
        <v>View Full Record in Web of Science</v>
      </c>
    </row>
    <row r="307" ht="12.75" customHeight="1">
      <c r="A307" s="1" t="s">
        <v>72</v>
      </c>
      <c r="B307" s="1" t="s">
        <v>3247</v>
      </c>
      <c r="C307" s="1" t="s">
        <v>74</v>
      </c>
      <c r="D307" s="1" t="s">
        <v>74</v>
      </c>
      <c r="E307" s="1" t="s">
        <v>74</v>
      </c>
      <c r="F307" s="1" t="s">
        <v>3248</v>
      </c>
      <c r="G307" s="1" t="s">
        <v>74</v>
      </c>
      <c r="H307" s="1" t="s">
        <v>74</v>
      </c>
      <c r="I307" s="1" t="s">
        <v>3249</v>
      </c>
      <c r="J307" s="1" t="s">
        <v>3250</v>
      </c>
      <c r="K307" s="1" t="s">
        <v>74</v>
      </c>
      <c r="L307" s="1" t="s">
        <v>74</v>
      </c>
      <c r="M307" s="1" t="s">
        <v>74</v>
      </c>
      <c r="N307" s="1" t="s">
        <v>74</v>
      </c>
      <c r="O307" s="1" t="s">
        <v>74</v>
      </c>
      <c r="P307" s="1" t="s">
        <v>74</v>
      </c>
      <c r="Q307" s="1" t="s">
        <v>74</v>
      </c>
      <c r="R307" s="1" t="s">
        <v>74</v>
      </c>
      <c r="S307" s="1" t="s">
        <v>74</v>
      </c>
      <c r="T307" s="1" t="s">
        <v>74</v>
      </c>
      <c r="U307" s="1" t="s">
        <v>74</v>
      </c>
      <c r="V307" s="1" t="s">
        <v>3251</v>
      </c>
      <c r="W307" s="1" t="s">
        <v>74</v>
      </c>
      <c r="X307" s="1" t="s">
        <v>74</v>
      </c>
      <c r="Y307" s="1" t="s">
        <v>74</v>
      </c>
      <c r="Z307" s="1" t="s">
        <v>74</v>
      </c>
      <c r="AA307" s="1" t="s">
        <v>3252</v>
      </c>
      <c r="AB307" s="1" t="s">
        <v>3253</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3254</v>
      </c>
      <c r="AP307" s="1" t="s">
        <v>3255</v>
      </c>
      <c r="AQ307" s="1" t="s">
        <v>74</v>
      </c>
      <c r="AR307" s="1" t="s">
        <v>74</v>
      </c>
      <c r="AS307" s="1" t="s">
        <v>74</v>
      </c>
      <c r="AT307" s="1" t="s">
        <v>1082</v>
      </c>
      <c r="AU307" s="1">
        <v>2020.0</v>
      </c>
      <c r="AV307" s="1">
        <v>293.0</v>
      </c>
      <c r="AW307" s="1" t="s">
        <v>74</v>
      </c>
      <c r="AX307" s="1" t="s">
        <v>74</v>
      </c>
      <c r="AY307" s="1" t="s">
        <v>74</v>
      </c>
      <c r="AZ307" s="1" t="s">
        <v>74</v>
      </c>
      <c r="BA307" s="1" t="s">
        <v>74</v>
      </c>
      <c r="BB307" s="1" t="s">
        <v>74</v>
      </c>
      <c r="BC307" s="1" t="s">
        <v>74</v>
      </c>
      <c r="BD307" s="1">
        <v>113367.0</v>
      </c>
      <c r="BE307" s="1" t="s">
        <v>3256</v>
      </c>
      <c r="BF307" s="2" t="str">
        <f>HYPERLINK("http://dx.doi.org/10.1016/j.psychres.2020.113367","http://dx.doi.org/10.1016/j.psychres.2020.113367")</f>
        <v>http://dx.doi.org/10.1016/j.psychres.2020.113367</v>
      </c>
      <c r="BG307" s="1" t="s">
        <v>74</v>
      </c>
      <c r="BH307" s="1" t="s">
        <v>74</v>
      </c>
      <c r="BI307" s="1" t="s">
        <v>74</v>
      </c>
      <c r="BJ307" s="1" t="s">
        <v>74</v>
      </c>
      <c r="BK307" s="1" t="s">
        <v>74</v>
      </c>
      <c r="BL307" s="1" t="s">
        <v>74</v>
      </c>
      <c r="BM307" s="1" t="s">
        <v>74</v>
      </c>
      <c r="BN307" s="1">
        <v>3.2777618E7</v>
      </c>
      <c r="BO307" s="1" t="s">
        <v>74</v>
      </c>
      <c r="BP307" s="1" t="s">
        <v>74</v>
      </c>
      <c r="BQ307" s="1" t="s">
        <v>74</v>
      </c>
      <c r="BR307" s="1" t="s">
        <v>74</v>
      </c>
      <c r="BS307" s="1" t="s">
        <v>3257</v>
      </c>
      <c r="BT307" s="1" t="str">
        <f>HYPERLINK("https%3A%2F%2Fwww.webofscience.com%2Fwos%2Fwoscc%2Ffull-record%2FWOS:000591588300034","View Full Record in Web of Science")</f>
        <v>View Full Record in Web of Science</v>
      </c>
    </row>
    <row r="308" ht="12.75" customHeight="1">
      <c r="A308" s="1" t="s">
        <v>72</v>
      </c>
      <c r="B308" s="1" t="s">
        <v>3258</v>
      </c>
      <c r="C308" s="1" t="s">
        <v>74</v>
      </c>
      <c r="D308" s="1" t="s">
        <v>74</v>
      </c>
      <c r="E308" s="1" t="s">
        <v>74</v>
      </c>
      <c r="F308" s="1" t="s">
        <v>3259</v>
      </c>
      <c r="G308" s="1" t="s">
        <v>74</v>
      </c>
      <c r="H308" s="1" t="s">
        <v>74</v>
      </c>
      <c r="I308" s="1" t="s">
        <v>3260</v>
      </c>
      <c r="J308" s="1" t="s">
        <v>3261</v>
      </c>
      <c r="K308" s="1" t="s">
        <v>74</v>
      </c>
      <c r="L308" s="1" t="s">
        <v>74</v>
      </c>
      <c r="M308" s="1" t="s">
        <v>74</v>
      </c>
      <c r="N308" s="1" t="s">
        <v>74</v>
      </c>
      <c r="O308" s="1" t="s">
        <v>74</v>
      </c>
      <c r="P308" s="1" t="s">
        <v>74</v>
      </c>
      <c r="Q308" s="1" t="s">
        <v>74</v>
      </c>
      <c r="R308" s="1" t="s">
        <v>74</v>
      </c>
      <c r="S308" s="1" t="s">
        <v>74</v>
      </c>
      <c r="T308" s="1" t="s">
        <v>74</v>
      </c>
      <c r="U308" s="1" t="s">
        <v>74</v>
      </c>
      <c r="V308" s="1" t="s">
        <v>3262</v>
      </c>
      <c r="W308" s="1" t="s">
        <v>74</v>
      </c>
      <c r="X308" s="1" t="s">
        <v>74</v>
      </c>
      <c r="Y308" s="1" t="s">
        <v>74</v>
      </c>
      <c r="Z308" s="1" t="s">
        <v>74</v>
      </c>
      <c r="AA308" s="1" t="s">
        <v>74</v>
      </c>
      <c r="AB308" s="1" t="s">
        <v>668</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3263</v>
      </c>
      <c r="AP308" s="1" t="s">
        <v>3264</v>
      </c>
      <c r="AQ308" s="1" t="s">
        <v>74</v>
      </c>
      <c r="AR308" s="1" t="s">
        <v>74</v>
      </c>
      <c r="AS308" s="1" t="s">
        <v>74</v>
      </c>
      <c r="AT308" s="1" t="s">
        <v>3265</v>
      </c>
      <c r="AU308" s="1">
        <v>2020.0</v>
      </c>
      <c r="AV308" s="1">
        <v>26.0</v>
      </c>
      <c r="AW308" s="1" t="s">
        <v>74</v>
      </c>
      <c r="AX308" s="1" t="s">
        <v>74</v>
      </c>
      <c r="AY308" s="1" t="s">
        <v>74</v>
      </c>
      <c r="AZ308" s="1" t="s">
        <v>74</v>
      </c>
      <c r="BA308" s="1" t="s">
        <v>74</v>
      </c>
      <c r="BB308" s="1" t="s">
        <v>74</v>
      </c>
      <c r="BC308" s="1" t="s">
        <v>74</v>
      </c>
      <c r="BD308" s="1">
        <v>74.0</v>
      </c>
      <c r="BE308" s="1" t="s">
        <v>3266</v>
      </c>
      <c r="BF308" s="2" t="str">
        <f>HYPERLINK("http://dx.doi.org/10.1051/cocv/2019054","http://dx.doi.org/10.1051/cocv/2019054")</f>
        <v>http://dx.doi.org/10.1051/cocv/2019054</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3267</v>
      </c>
      <c r="BT308" s="1" t="str">
        <f>HYPERLINK("https%3A%2F%2Fwww.webofscience.com%2Fwos%2Fwoscc%2Ffull-record%2FWOS:000577110600005","View Full Record in Web of Science")</f>
        <v>View Full Record in Web of Science</v>
      </c>
    </row>
    <row r="309" ht="12.75" customHeight="1">
      <c r="A309" s="1" t="s">
        <v>72</v>
      </c>
      <c r="B309" s="1" t="s">
        <v>3268</v>
      </c>
      <c r="C309" s="1" t="s">
        <v>74</v>
      </c>
      <c r="D309" s="1" t="s">
        <v>74</v>
      </c>
      <c r="E309" s="1" t="s">
        <v>74</v>
      </c>
      <c r="F309" s="1" t="s">
        <v>3269</v>
      </c>
      <c r="G309" s="1" t="s">
        <v>74</v>
      </c>
      <c r="H309" s="1" t="s">
        <v>74</v>
      </c>
      <c r="I309" s="1" t="s">
        <v>3270</v>
      </c>
      <c r="J309" s="1" t="s">
        <v>3271</v>
      </c>
      <c r="K309" s="1" t="s">
        <v>74</v>
      </c>
      <c r="L309" s="1" t="s">
        <v>74</v>
      </c>
      <c r="M309" s="1" t="s">
        <v>74</v>
      </c>
      <c r="N309" s="1" t="s">
        <v>74</v>
      </c>
      <c r="O309" s="1" t="s">
        <v>74</v>
      </c>
      <c r="P309" s="1" t="s">
        <v>74</v>
      </c>
      <c r="Q309" s="1" t="s">
        <v>74</v>
      </c>
      <c r="R309" s="1" t="s">
        <v>74</v>
      </c>
      <c r="S309" s="1" t="s">
        <v>74</v>
      </c>
      <c r="T309" s="1" t="s">
        <v>74</v>
      </c>
      <c r="U309" s="1" t="s">
        <v>74</v>
      </c>
      <c r="V309" s="1" t="s">
        <v>3272</v>
      </c>
      <c r="W309" s="1" t="s">
        <v>74</v>
      </c>
      <c r="X309" s="1" t="s">
        <v>74</v>
      </c>
      <c r="Y309" s="1" t="s">
        <v>74</v>
      </c>
      <c r="Z309" s="1" t="s">
        <v>74</v>
      </c>
      <c r="AA309" s="1" t="s">
        <v>3273</v>
      </c>
      <c r="AB309" s="1" t="s">
        <v>3274</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3275</v>
      </c>
      <c r="AP309" s="1" t="s">
        <v>3276</v>
      </c>
      <c r="AQ309" s="1" t="s">
        <v>74</v>
      </c>
      <c r="AR309" s="1" t="s">
        <v>74</v>
      </c>
      <c r="AS309" s="1" t="s">
        <v>74</v>
      </c>
      <c r="AT309" s="1" t="s">
        <v>3277</v>
      </c>
      <c r="AU309" s="1">
        <v>2020.0</v>
      </c>
      <c r="AV309" s="1">
        <v>780.0</v>
      </c>
      <c r="AW309" s="1" t="s">
        <v>74</v>
      </c>
      <c r="AX309" s="1" t="s">
        <v>74</v>
      </c>
      <c r="AY309" s="1" t="s">
        <v>74</v>
      </c>
      <c r="AZ309" s="1" t="s">
        <v>74</v>
      </c>
      <c r="BA309" s="1" t="s">
        <v>74</v>
      </c>
      <c r="BB309" s="1" t="s">
        <v>74</v>
      </c>
      <c r="BC309" s="1" t="s">
        <v>74</v>
      </c>
      <c r="BD309" s="1">
        <v>139168.0</v>
      </c>
      <c r="BE309" s="1" t="s">
        <v>3278</v>
      </c>
      <c r="BF309" s="2" t="str">
        <f>HYPERLINK("http://dx.doi.org/10.1016/j.msea.2020.139168","http://dx.doi.org/10.1016/j.msea.2020.139168")</f>
        <v>http://dx.doi.org/10.1016/j.msea.2020.139168</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3279</v>
      </c>
      <c r="BT309" s="1" t="str">
        <f>HYPERLINK("https%3A%2F%2Fwww.webofscience.com%2Fwos%2Fwoscc%2Ffull-record%2FWOS:000524357800009","View Full Record in Web of Science")</f>
        <v>View Full Record in Web of Science</v>
      </c>
    </row>
    <row r="310" ht="12.75" customHeight="1">
      <c r="A310" s="1" t="s">
        <v>72</v>
      </c>
      <c r="B310" s="1" t="s">
        <v>3280</v>
      </c>
      <c r="C310" s="1" t="s">
        <v>74</v>
      </c>
      <c r="D310" s="1" t="s">
        <v>74</v>
      </c>
      <c r="E310" s="1" t="s">
        <v>74</v>
      </c>
      <c r="F310" s="1" t="s">
        <v>3281</v>
      </c>
      <c r="G310" s="1" t="s">
        <v>74</v>
      </c>
      <c r="H310" s="1" t="s">
        <v>74</v>
      </c>
      <c r="I310" s="1" t="s">
        <v>3282</v>
      </c>
      <c r="J310" s="1" t="s">
        <v>2552</v>
      </c>
      <c r="K310" s="1" t="s">
        <v>74</v>
      </c>
      <c r="L310" s="1" t="s">
        <v>74</v>
      </c>
      <c r="M310" s="1" t="s">
        <v>74</v>
      </c>
      <c r="N310" s="1" t="s">
        <v>74</v>
      </c>
      <c r="O310" s="1" t="s">
        <v>74</v>
      </c>
      <c r="P310" s="1" t="s">
        <v>74</v>
      </c>
      <c r="Q310" s="1" t="s">
        <v>74</v>
      </c>
      <c r="R310" s="1" t="s">
        <v>74</v>
      </c>
      <c r="S310" s="1" t="s">
        <v>74</v>
      </c>
      <c r="T310" s="1" t="s">
        <v>74</v>
      </c>
      <c r="U310" s="1" t="s">
        <v>74</v>
      </c>
      <c r="V310" s="1" t="s">
        <v>3283</v>
      </c>
      <c r="W310" s="1" t="s">
        <v>74</v>
      </c>
      <c r="X310" s="1" t="s">
        <v>74</v>
      </c>
      <c r="Y310" s="1" t="s">
        <v>74</v>
      </c>
      <c r="Z310" s="1" t="s">
        <v>74</v>
      </c>
      <c r="AA310" s="1" t="s">
        <v>3284</v>
      </c>
      <c r="AB310" s="1" t="s">
        <v>3285</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2554</v>
      </c>
      <c r="AP310" s="1" t="s">
        <v>74</v>
      </c>
      <c r="AQ310" s="1" t="s">
        <v>74</v>
      </c>
      <c r="AR310" s="1" t="s">
        <v>74</v>
      </c>
      <c r="AS310" s="1" t="s">
        <v>74</v>
      </c>
      <c r="AT310" s="1" t="s">
        <v>743</v>
      </c>
      <c r="AU310" s="1">
        <v>2020.0</v>
      </c>
      <c r="AV310" s="1">
        <v>146.0</v>
      </c>
      <c r="AW310" s="1" t="s">
        <v>74</v>
      </c>
      <c r="AX310" s="1" t="s">
        <v>74</v>
      </c>
      <c r="AY310" s="1" t="s">
        <v>74</v>
      </c>
      <c r="AZ310" s="1" t="s">
        <v>74</v>
      </c>
      <c r="BA310" s="1" t="s">
        <v>74</v>
      </c>
      <c r="BB310" s="1" t="s">
        <v>74</v>
      </c>
      <c r="BC310" s="1" t="s">
        <v>74</v>
      </c>
      <c r="BD310" s="1">
        <v>106116.0</v>
      </c>
      <c r="BE310" s="1" t="s">
        <v>3286</v>
      </c>
      <c r="BF310" s="2" t="str">
        <f>HYPERLINK("http://dx.doi.org/10.1016/j.mineng.2019.106116","http://dx.doi.org/10.1016/j.mineng.2019.106116")</f>
        <v>http://dx.doi.org/10.1016/j.mineng.2019.106116</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3287</v>
      </c>
      <c r="BT310" s="1" t="str">
        <f>HYPERLINK("https%3A%2F%2Fwww.webofscience.com%2Fwos%2Fwoscc%2Ffull-record%2FWOS:000509630400011","View Full Record in Web of Science")</f>
        <v>View Full Record in Web of Science</v>
      </c>
    </row>
    <row r="311" ht="12.75" customHeight="1">
      <c r="A311" s="1" t="s">
        <v>72</v>
      </c>
      <c r="B311" s="1" t="s">
        <v>3288</v>
      </c>
      <c r="C311" s="1" t="s">
        <v>74</v>
      </c>
      <c r="D311" s="1" t="s">
        <v>74</v>
      </c>
      <c r="E311" s="1" t="s">
        <v>74</v>
      </c>
      <c r="F311" s="1" t="s">
        <v>3289</v>
      </c>
      <c r="G311" s="1" t="s">
        <v>74</v>
      </c>
      <c r="H311" s="1" t="s">
        <v>74</v>
      </c>
      <c r="I311" s="1" t="s">
        <v>3290</v>
      </c>
      <c r="J311" s="1" t="s">
        <v>3291</v>
      </c>
      <c r="K311" s="1" t="s">
        <v>74</v>
      </c>
      <c r="L311" s="1" t="s">
        <v>74</v>
      </c>
      <c r="M311" s="1" t="s">
        <v>74</v>
      </c>
      <c r="N311" s="1" t="s">
        <v>74</v>
      </c>
      <c r="O311" s="1" t="s">
        <v>74</v>
      </c>
      <c r="P311" s="1" t="s">
        <v>74</v>
      </c>
      <c r="Q311" s="1" t="s">
        <v>74</v>
      </c>
      <c r="R311" s="1" t="s">
        <v>74</v>
      </c>
      <c r="S311" s="1" t="s">
        <v>74</v>
      </c>
      <c r="T311" s="1" t="s">
        <v>74</v>
      </c>
      <c r="U311" s="1" t="s">
        <v>74</v>
      </c>
      <c r="V311" s="1" t="s">
        <v>3292</v>
      </c>
      <c r="W311" s="1" t="s">
        <v>74</v>
      </c>
      <c r="X311" s="1" t="s">
        <v>74</v>
      </c>
      <c r="Y311" s="1" t="s">
        <v>74</v>
      </c>
      <c r="Z311" s="1" t="s">
        <v>74</v>
      </c>
      <c r="AA311" s="1" t="s">
        <v>3293</v>
      </c>
      <c r="AB311" s="1" t="s">
        <v>3294</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3295</v>
      </c>
      <c r="AP311" s="1" t="s">
        <v>74</v>
      </c>
      <c r="AQ311" s="1" t="s">
        <v>74</v>
      </c>
      <c r="AR311" s="1" t="s">
        <v>74</v>
      </c>
      <c r="AS311" s="1" t="s">
        <v>74</v>
      </c>
      <c r="AT311" s="1" t="s">
        <v>74</v>
      </c>
      <c r="AU311" s="1">
        <v>2020.0</v>
      </c>
      <c r="AV311" s="1" t="s">
        <v>74</v>
      </c>
      <c r="AW311" s="1">
        <v>66.0</v>
      </c>
      <c r="AX311" s="1" t="s">
        <v>74</v>
      </c>
      <c r="AY311" s="1" t="s">
        <v>74</v>
      </c>
      <c r="AZ311" s="1" t="s">
        <v>74</v>
      </c>
      <c r="BA311" s="1" t="s">
        <v>74</v>
      </c>
      <c r="BB311" s="1">
        <v>237.0</v>
      </c>
      <c r="BC311" s="1">
        <v>270.0</v>
      </c>
      <c r="BD311" s="1" t="s">
        <v>74</v>
      </c>
      <c r="BE311" s="1" t="s">
        <v>3296</v>
      </c>
      <c r="BF311" s="2" t="str">
        <f>HYPERLINK("http://dx.doi.org/10.22199/issn.0718-1043-2020-0053","http://dx.doi.org/10.22199/issn.0718-1043-2020-0053")</f>
        <v>http://dx.doi.org/10.22199/issn.0718-1043-2020-0053</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3297</v>
      </c>
      <c r="BT311" s="1" t="str">
        <f>HYPERLINK("https%3A%2F%2Fwww.webofscience.com%2Fwos%2Fwoscc%2Ffull-record%2FWOS:000654684700012","View Full Record in Web of Science")</f>
        <v>View Full Record in Web of Science</v>
      </c>
    </row>
    <row r="312" ht="12.75" customHeight="1">
      <c r="A312" s="1" t="s">
        <v>72</v>
      </c>
      <c r="B312" s="1" t="s">
        <v>3298</v>
      </c>
      <c r="C312" s="1" t="s">
        <v>74</v>
      </c>
      <c r="D312" s="1" t="s">
        <v>74</v>
      </c>
      <c r="E312" s="1" t="s">
        <v>74</v>
      </c>
      <c r="F312" s="1" t="s">
        <v>3299</v>
      </c>
      <c r="G312" s="1" t="s">
        <v>74</v>
      </c>
      <c r="H312" s="1" t="s">
        <v>74</v>
      </c>
      <c r="I312" s="1" t="s">
        <v>3300</v>
      </c>
      <c r="J312" s="1" t="s">
        <v>1695</v>
      </c>
      <c r="K312" s="1" t="s">
        <v>74</v>
      </c>
      <c r="L312" s="1" t="s">
        <v>74</v>
      </c>
      <c r="M312" s="1" t="s">
        <v>74</v>
      </c>
      <c r="N312" s="1" t="s">
        <v>74</v>
      </c>
      <c r="O312" s="1" t="s">
        <v>74</v>
      </c>
      <c r="P312" s="1" t="s">
        <v>74</v>
      </c>
      <c r="Q312" s="1" t="s">
        <v>74</v>
      </c>
      <c r="R312" s="1" t="s">
        <v>74</v>
      </c>
      <c r="S312" s="1" t="s">
        <v>74</v>
      </c>
      <c r="T312" s="1" t="s">
        <v>74</v>
      </c>
      <c r="U312" s="1" t="s">
        <v>74</v>
      </c>
      <c r="V312" s="1" t="s">
        <v>3301</v>
      </c>
      <c r="W312" s="1" t="s">
        <v>74</v>
      </c>
      <c r="X312" s="1" t="s">
        <v>74</v>
      </c>
      <c r="Y312" s="1" t="s">
        <v>74</v>
      </c>
      <c r="Z312" s="1" t="s">
        <v>74</v>
      </c>
      <c r="AA312" s="1" t="s">
        <v>3302</v>
      </c>
      <c r="AB312" s="1" t="s">
        <v>3303</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74</v>
      </c>
      <c r="AP312" s="1" t="s">
        <v>1699</v>
      </c>
      <c r="AQ312" s="1" t="s">
        <v>74</v>
      </c>
      <c r="AR312" s="1" t="s">
        <v>74</v>
      </c>
      <c r="AS312" s="1" t="s">
        <v>74</v>
      </c>
      <c r="AT312" s="1" t="s">
        <v>877</v>
      </c>
      <c r="AU312" s="1">
        <v>2019.0</v>
      </c>
      <c r="AV312" s="1">
        <v>24.0</v>
      </c>
      <c r="AW312" s="1">
        <v>16.0</v>
      </c>
      <c r="AX312" s="1" t="s">
        <v>74</v>
      </c>
      <c r="AY312" s="1" t="s">
        <v>74</v>
      </c>
      <c r="AZ312" s="1" t="s">
        <v>74</v>
      </c>
      <c r="BA312" s="1" t="s">
        <v>74</v>
      </c>
      <c r="BB312" s="1" t="s">
        <v>74</v>
      </c>
      <c r="BC312" s="1" t="s">
        <v>74</v>
      </c>
      <c r="BD312" s="1">
        <v>2912.0</v>
      </c>
      <c r="BE312" s="1" t="s">
        <v>3304</v>
      </c>
      <c r="BF312" s="2" t="str">
        <f>HYPERLINK("http://dx.doi.org/10.3390/molecules24162912","http://dx.doi.org/10.3390/molecules24162912")</f>
        <v>http://dx.doi.org/10.3390/molecules24162912</v>
      </c>
      <c r="BG312" s="1" t="s">
        <v>74</v>
      </c>
      <c r="BH312" s="1" t="s">
        <v>74</v>
      </c>
      <c r="BI312" s="1" t="s">
        <v>74</v>
      </c>
      <c r="BJ312" s="1" t="s">
        <v>74</v>
      </c>
      <c r="BK312" s="1" t="s">
        <v>74</v>
      </c>
      <c r="BL312" s="1" t="s">
        <v>74</v>
      </c>
      <c r="BM312" s="1" t="s">
        <v>74</v>
      </c>
      <c r="BN312" s="1">
        <v>3.1405197E7</v>
      </c>
      <c r="BO312" s="1" t="s">
        <v>74</v>
      </c>
      <c r="BP312" s="1" t="s">
        <v>74</v>
      </c>
      <c r="BQ312" s="1" t="s">
        <v>74</v>
      </c>
      <c r="BR312" s="1" t="s">
        <v>74</v>
      </c>
      <c r="BS312" s="1" t="s">
        <v>3305</v>
      </c>
      <c r="BT312" s="1" t="str">
        <f>HYPERLINK("https%3A%2F%2Fwww.webofscience.com%2Fwos%2Fwoscc%2Ffull-record%2FWOS:000482998900085","View Full Record in Web of Science")</f>
        <v>View Full Record in Web of Science</v>
      </c>
    </row>
    <row r="313" ht="12.75" customHeight="1">
      <c r="A313" s="1" t="s">
        <v>72</v>
      </c>
      <c r="B313" s="1" t="s">
        <v>3306</v>
      </c>
      <c r="C313" s="1" t="s">
        <v>74</v>
      </c>
      <c r="D313" s="1" t="s">
        <v>74</v>
      </c>
      <c r="E313" s="1" t="s">
        <v>74</v>
      </c>
      <c r="F313" s="1" t="s">
        <v>3307</v>
      </c>
      <c r="G313" s="1" t="s">
        <v>74</v>
      </c>
      <c r="H313" s="1" t="s">
        <v>74</v>
      </c>
      <c r="I313" s="1" t="s">
        <v>3308</v>
      </c>
      <c r="J313" s="1" t="s">
        <v>3309</v>
      </c>
      <c r="K313" s="1" t="s">
        <v>74</v>
      </c>
      <c r="L313" s="1" t="s">
        <v>74</v>
      </c>
      <c r="M313" s="1" t="s">
        <v>74</v>
      </c>
      <c r="N313" s="1" t="s">
        <v>74</v>
      </c>
      <c r="O313" s="1" t="s">
        <v>74</v>
      </c>
      <c r="P313" s="1" t="s">
        <v>74</v>
      </c>
      <c r="Q313" s="1" t="s">
        <v>74</v>
      </c>
      <c r="R313" s="1" t="s">
        <v>74</v>
      </c>
      <c r="S313" s="1" t="s">
        <v>74</v>
      </c>
      <c r="T313" s="1" t="s">
        <v>74</v>
      </c>
      <c r="U313" s="1" t="s">
        <v>74</v>
      </c>
      <c r="V313" s="1" t="s">
        <v>3310</v>
      </c>
      <c r="W313" s="1" t="s">
        <v>74</v>
      </c>
      <c r="X313" s="1" t="s">
        <v>74</v>
      </c>
      <c r="Y313" s="1" t="s">
        <v>74</v>
      </c>
      <c r="Z313" s="1" t="s">
        <v>74</v>
      </c>
      <c r="AA313" s="1" t="s">
        <v>3311</v>
      </c>
      <c r="AB313" s="1" t="s">
        <v>3312</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3313</v>
      </c>
      <c r="AP313" s="1" t="s">
        <v>3314</v>
      </c>
      <c r="AQ313" s="1" t="s">
        <v>74</v>
      </c>
      <c r="AR313" s="1" t="s">
        <v>74</v>
      </c>
      <c r="AS313" s="1" t="s">
        <v>74</v>
      </c>
      <c r="AT313" s="1" t="s">
        <v>308</v>
      </c>
      <c r="AU313" s="1">
        <v>2019.0</v>
      </c>
      <c r="AV313" s="1">
        <v>153.0</v>
      </c>
      <c r="AW313" s="1" t="s">
        <v>74</v>
      </c>
      <c r="AX313" s="1" t="s">
        <v>74</v>
      </c>
      <c r="AY313" s="1" t="s">
        <v>74</v>
      </c>
      <c r="AZ313" s="1" t="s">
        <v>74</v>
      </c>
      <c r="BA313" s="1" t="s">
        <v>74</v>
      </c>
      <c r="BB313" s="1">
        <v>208.0</v>
      </c>
      <c r="BC313" s="1">
        <v>218.0</v>
      </c>
      <c r="BD313" s="1" t="s">
        <v>74</v>
      </c>
      <c r="BE313" s="1" t="s">
        <v>3315</v>
      </c>
      <c r="BF313" s="2" t="str">
        <f>HYPERLINK("http://dx.doi.org/10.1016/j.ijmecsci.2019.01.036","http://dx.doi.org/10.1016/j.ijmecsci.2019.01.036")</f>
        <v>http://dx.doi.org/10.1016/j.ijmecsci.2019.01.036</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3316</v>
      </c>
      <c r="BT313" s="1" t="str">
        <f>HYPERLINK("https%3A%2F%2Fwww.webofscience.com%2Fwos%2Fwoscc%2Ffull-record%2FWOS:000462100200017","View Full Record in Web of Science")</f>
        <v>View Full Record in Web of Science</v>
      </c>
    </row>
    <row r="314" ht="12.75" customHeight="1">
      <c r="A314" s="1" t="s">
        <v>72</v>
      </c>
      <c r="B314" s="1" t="s">
        <v>3317</v>
      </c>
      <c r="C314" s="1" t="s">
        <v>74</v>
      </c>
      <c r="D314" s="1" t="s">
        <v>74</v>
      </c>
      <c r="E314" s="1" t="s">
        <v>74</v>
      </c>
      <c r="F314" s="1" t="s">
        <v>3318</v>
      </c>
      <c r="G314" s="1" t="s">
        <v>74</v>
      </c>
      <c r="H314" s="1" t="s">
        <v>74</v>
      </c>
      <c r="I314" s="1" t="s">
        <v>3319</v>
      </c>
      <c r="J314" s="1" t="s">
        <v>2487</v>
      </c>
      <c r="K314" s="1" t="s">
        <v>74</v>
      </c>
      <c r="L314" s="1" t="s">
        <v>74</v>
      </c>
      <c r="M314" s="1" t="s">
        <v>74</v>
      </c>
      <c r="N314" s="1" t="s">
        <v>74</v>
      </c>
      <c r="O314" s="1" t="s">
        <v>74</v>
      </c>
      <c r="P314" s="1" t="s">
        <v>74</v>
      </c>
      <c r="Q314" s="1" t="s">
        <v>74</v>
      </c>
      <c r="R314" s="1" t="s">
        <v>74</v>
      </c>
      <c r="S314" s="1" t="s">
        <v>74</v>
      </c>
      <c r="T314" s="1" t="s">
        <v>74</v>
      </c>
      <c r="U314" s="1" t="s">
        <v>74</v>
      </c>
      <c r="V314" s="1" t="s">
        <v>3320</v>
      </c>
      <c r="W314" s="1" t="s">
        <v>74</v>
      </c>
      <c r="X314" s="1" t="s">
        <v>74</v>
      </c>
      <c r="Y314" s="1" t="s">
        <v>74</v>
      </c>
      <c r="Z314" s="1" t="s">
        <v>74</v>
      </c>
      <c r="AA314" s="1" t="s">
        <v>3321</v>
      </c>
      <c r="AB314" s="1" t="s">
        <v>3322</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2491</v>
      </c>
      <c r="AP314" s="1" t="s">
        <v>74</v>
      </c>
      <c r="AQ314" s="1" t="s">
        <v>74</v>
      </c>
      <c r="AR314" s="1" t="s">
        <v>74</v>
      </c>
      <c r="AS314" s="1" t="s">
        <v>74</v>
      </c>
      <c r="AT314" s="1" t="s">
        <v>3323</v>
      </c>
      <c r="AU314" s="1">
        <v>2018.0</v>
      </c>
      <c r="AV314" s="1">
        <v>9.0</v>
      </c>
      <c r="AW314" s="1" t="s">
        <v>74</v>
      </c>
      <c r="AX314" s="1" t="s">
        <v>74</v>
      </c>
      <c r="AY314" s="1" t="s">
        <v>74</v>
      </c>
      <c r="AZ314" s="1" t="s">
        <v>74</v>
      </c>
      <c r="BA314" s="1" t="s">
        <v>74</v>
      </c>
      <c r="BB314" s="1" t="s">
        <v>74</v>
      </c>
      <c r="BC314" s="1" t="s">
        <v>74</v>
      </c>
      <c r="BD314" s="1">
        <v>1143.0</v>
      </c>
      <c r="BE314" s="1" t="s">
        <v>3324</v>
      </c>
      <c r="BF314" s="2" t="str">
        <f>HYPERLINK("http://dx.doi.org/10.3389/fphar.2018.01143","http://dx.doi.org/10.3389/fphar.2018.01143")</f>
        <v>http://dx.doi.org/10.3389/fphar.2018.01143</v>
      </c>
      <c r="BG314" s="1" t="s">
        <v>74</v>
      </c>
      <c r="BH314" s="1" t="s">
        <v>74</v>
      </c>
      <c r="BI314" s="1" t="s">
        <v>74</v>
      </c>
      <c r="BJ314" s="1" t="s">
        <v>74</v>
      </c>
      <c r="BK314" s="1" t="s">
        <v>74</v>
      </c>
      <c r="BL314" s="1" t="s">
        <v>74</v>
      </c>
      <c r="BM314" s="1" t="s">
        <v>74</v>
      </c>
      <c r="BN314" s="1">
        <v>3.0364099E7</v>
      </c>
      <c r="BO314" s="1" t="s">
        <v>74</v>
      </c>
      <c r="BP314" s="1" t="s">
        <v>74</v>
      </c>
      <c r="BQ314" s="1" t="s">
        <v>74</v>
      </c>
      <c r="BR314" s="1" t="s">
        <v>74</v>
      </c>
      <c r="BS314" s="1" t="s">
        <v>3325</v>
      </c>
      <c r="BT314" s="1" t="str">
        <f>HYPERLINK("https%3A%2F%2Fwww.webofscience.com%2Fwos%2Fwoscc%2Ffull-record%2FWOS:000446874100001","View Full Record in Web of Science")</f>
        <v>View Full Record in Web of Science</v>
      </c>
    </row>
    <row r="315" ht="12.75" customHeight="1">
      <c r="A315" s="1" t="s">
        <v>72</v>
      </c>
      <c r="B315" s="1" t="s">
        <v>3326</v>
      </c>
      <c r="C315" s="1" t="s">
        <v>74</v>
      </c>
      <c r="D315" s="1" t="s">
        <v>74</v>
      </c>
      <c r="E315" s="1" t="s">
        <v>74</v>
      </c>
      <c r="F315" s="1" t="s">
        <v>3327</v>
      </c>
      <c r="G315" s="1" t="s">
        <v>74</v>
      </c>
      <c r="H315" s="1" t="s">
        <v>74</v>
      </c>
      <c r="I315" s="1" t="s">
        <v>3328</v>
      </c>
      <c r="J315" s="1" t="s">
        <v>3329</v>
      </c>
      <c r="K315" s="1" t="s">
        <v>74</v>
      </c>
      <c r="L315" s="1" t="s">
        <v>74</v>
      </c>
      <c r="M315" s="1" t="s">
        <v>74</v>
      </c>
      <c r="N315" s="1" t="s">
        <v>74</v>
      </c>
      <c r="O315" s="1" t="s">
        <v>74</v>
      </c>
      <c r="P315" s="1" t="s">
        <v>74</v>
      </c>
      <c r="Q315" s="1" t="s">
        <v>74</v>
      </c>
      <c r="R315" s="1" t="s">
        <v>74</v>
      </c>
      <c r="S315" s="1" t="s">
        <v>74</v>
      </c>
      <c r="T315" s="1" t="s">
        <v>74</v>
      </c>
      <c r="U315" s="1" t="s">
        <v>74</v>
      </c>
      <c r="V315" s="1" t="s">
        <v>3330</v>
      </c>
      <c r="W315" s="1" t="s">
        <v>74</v>
      </c>
      <c r="X315" s="1" t="s">
        <v>74</v>
      </c>
      <c r="Y315" s="1" t="s">
        <v>74</v>
      </c>
      <c r="Z315" s="1" t="s">
        <v>74</v>
      </c>
      <c r="AA315" s="1" t="s">
        <v>3331</v>
      </c>
      <c r="AB315" s="1" t="s">
        <v>3332</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3333</v>
      </c>
      <c r="AP315" s="1" t="s">
        <v>74</v>
      </c>
      <c r="AQ315" s="1" t="s">
        <v>74</v>
      </c>
      <c r="AR315" s="1" t="s">
        <v>74</v>
      </c>
      <c r="AS315" s="1" t="s">
        <v>74</v>
      </c>
      <c r="AT315" s="1" t="s">
        <v>877</v>
      </c>
      <c r="AU315" s="1">
        <v>2018.0</v>
      </c>
      <c r="AV315" s="1">
        <v>123.0</v>
      </c>
      <c r="AW315" s="1" t="s">
        <v>74</v>
      </c>
      <c r="AX315" s="1" t="s">
        <v>74</v>
      </c>
      <c r="AY315" s="1" t="s">
        <v>74</v>
      </c>
      <c r="AZ315" s="1" t="s">
        <v>74</v>
      </c>
      <c r="BA315" s="1" t="s">
        <v>74</v>
      </c>
      <c r="BB315" s="1">
        <v>541.0</v>
      </c>
      <c r="BC315" s="1">
        <v>548.0</v>
      </c>
      <c r="BD315" s="1" t="s">
        <v>74</v>
      </c>
      <c r="BE315" s="1" t="s">
        <v>3334</v>
      </c>
      <c r="BF315" s="2" t="str">
        <f>HYPERLINK("http://dx.doi.org/10.1016/j.renene.2018.02.004","http://dx.doi.org/10.1016/j.renene.2018.02.004")</f>
        <v>http://dx.doi.org/10.1016/j.renene.2018.02.004</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3335</v>
      </c>
      <c r="BT315" s="1" t="str">
        <f>HYPERLINK("https%3A%2F%2Fwww.webofscience.com%2Fwos%2Fwoscc%2Ffull-record%2FWOS:000430769100046","View Full Record in Web of Science")</f>
        <v>View Full Record in Web of Science</v>
      </c>
    </row>
    <row r="316" ht="12.75" customHeight="1">
      <c r="A316" s="1" t="s">
        <v>72</v>
      </c>
      <c r="B316" s="1" t="s">
        <v>2262</v>
      </c>
      <c r="C316" s="1" t="s">
        <v>74</v>
      </c>
      <c r="D316" s="1" t="s">
        <v>74</v>
      </c>
      <c r="E316" s="1" t="s">
        <v>74</v>
      </c>
      <c r="F316" s="1" t="s">
        <v>2263</v>
      </c>
      <c r="G316" s="1" t="s">
        <v>74</v>
      </c>
      <c r="H316" s="1" t="s">
        <v>74</v>
      </c>
      <c r="I316" s="1" t="s">
        <v>3336</v>
      </c>
      <c r="J316" s="1" t="s">
        <v>3337</v>
      </c>
      <c r="K316" s="1" t="s">
        <v>74</v>
      </c>
      <c r="L316" s="1" t="s">
        <v>74</v>
      </c>
      <c r="M316" s="1" t="s">
        <v>74</v>
      </c>
      <c r="N316" s="1" t="s">
        <v>74</v>
      </c>
      <c r="O316" s="1" t="s">
        <v>74</v>
      </c>
      <c r="P316" s="1" t="s">
        <v>74</v>
      </c>
      <c r="Q316" s="1" t="s">
        <v>74</v>
      </c>
      <c r="R316" s="1" t="s">
        <v>74</v>
      </c>
      <c r="S316" s="1" t="s">
        <v>74</v>
      </c>
      <c r="T316" s="1" t="s">
        <v>74</v>
      </c>
      <c r="U316" s="1" t="s">
        <v>74</v>
      </c>
      <c r="V316" s="1" t="s">
        <v>3338</v>
      </c>
      <c r="W316" s="1" t="s">
        <v>74</v>
      </c>
      <c r="X316" s="1" t="s">
        <v>74</v>
      </c>
      <c r="Y316" s="1" t="s">
        <v>74</v>
      </c>
      <c r="Z316" s="1" t="s">
        <v>74</v>
      </c>
      <c r="AA316" s="1" t="s">
        <v>74</v>
      </c>
      <c r="AB316" s="1" t="s">
        <v>3339</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3340</v>
      </c>
      <c r="AP316" s="1" t="s">
        <v>3341</v>
      </c>
      <c r="AQ316" s="1" t="s">
        <v>74</v>
      </c>
      <c r="AR316" s="1" t="s">
        <v>74</v>
      </c>
      <c r="AS316" s="1" t="s">
        <v>74</v>
      </c>
      <c r="AT316" s="1" t="s">
        <v>385</v>
      </c>
      <c r="AU316" s="1">
        <v>2018.0</v>
      </c>
      <c r="AV316" s="1">
        <v>212.0</v>
      </c>
      <c r="AW316" s="1">
        <v>3.0</v>
      </c>
      <c r="AX316" s="1" t="s">
        <v>74</v>
      </c>
      <c r="AY316" s="1" t="s">
        <v>74</v>
      </c>
      <c r="AZ316" s="1" t="s">
        <v>74</v>
      </c>
      <c r="BA316" s="1" t="s">
        <v>74</v>
      </c>
      <c r="BB316" s="1">
        <v>731.0</v>
      </c>
      <c r="BC316" s="1">
        <v>779.0</v>
      </c>
      <c r="BD316" s="1" t="s">
        <v>74</v>
      </c>
      <c r="BE316" s="1" t="s">
        <v>3342</v>
      </c>
      <c r="BF316" s="2" t="str">
        <f>HYPERLINK("http://dx.doi.org/10.1007/s00222-017-0779-4","http://dx.doi.org/10.1007/s00222-017-0779-4")</f>
        <v>http://dx.doi.org/10.1007/s00222-017-0779-4</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3343</v>
      </c>
      <c r="BT316" s="1" t="str">
        <f>HYPERLINK("https%3A%2F%2Fwww.webofscience.com%2Fwos%2Fwoscc%2Ffull-record%2FWOS:000432208300001","View Full Record in Web of Science")</f>
        <v>View Full Record in Web of Science</v>
      </c>
    </row>
    <row r="317" ht="12.75" customHeight="1">
      <c r="A317" s="1" t="s">
        <v>72</v>
      </c>
      <c r="B317" s="1" t="s">
        <v>3344</v>
      </c>
      <c r="C317" s="1" t="s">
        <v>74</v>
      </c>
      <c r="D317" s="1" t="s">
        <v>74</v>
      </c>
      <c r="E317" s="1" t="s">
        <v>74</v>
      </c>
      <c r="F317" s="1" t="s">
        <v>3345</v>
      </c>
      <c r="G317" s="1" t="s">
        <v>74</v>
      </c>
      <c r="H317" s="1" t="s">
        <v>74</v>
      </c>
      <c r="I317" s="1" t="s">
        <v>3346</v>
      </c>
      <c r="J317" s="1" t="s">
        <v>3347</v>
      </c>
      <c r="K317" s="1" t="s">
        <v>74</v>
      </c>
      <c r="L317" s="1" t="s">
        <v>74</v>
      </c>
      <c r="M317" s="1" t="s">
        <v>74</v>
      </c>
      <c r="N317" s="1" t="s">
        <v>74</v>
      </c>
      <c r="O317" s="1" t="s">
        <v>74</v>
      </c>
      <c r="P317" s="1" t="s">
        <v>74</v>
      </c>
      <c r="Q317" s="1" t="s">
        <v>74</v>
      </c>
      <c r="R317" s="1" t="s">
        <v>74</v>
      </c>
      <c r="S317" s="1" t="s">
        <v>74</v>
      </c>
      <c r="T317" s="1" t="s">
        <v>74</v>
      </c>
      <c r="U317" s="1" t="s">
        <v>74</v>
      </c>
      <c r="V317" s="1" t="s">
        <v>3348</v>
      </c>
      <c r="W317" s="1" t="s">
        <v>74</v>
      </c>
      <c r="X317" s="1" t="s">
        <v>74</v>
      </c>
      <c r="Y317" s="1" t="s">
        <v>74</v>
      </c>
      <c r="Z317" s="1" t="s">
        <v>74</v>
      </c>
      <c r="AA317" s="1" t="s">
        <v>3349</v>
      </c>
      <c r="AB317" s="1" t="s">
        <v>3350</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3351</v>
      </c>
      <c r="AP317" s="1" t="s">
        <v>3352</v>
      </c>
      <c r="AQ317" s="1" t="s">
        <v>74</v>
      </c>
      <c r="AR317" s="1" t="s">
        <v>74</v>
      </c>
      <c r="AS317" s="1" t="s">
        <v>74</v>
      </c>
      <c r="AT317" s="1" t="s">
        <v>1841</v>
      </c>
      <c r="AU317" s="1">
        <v>2017.0</v>
      </c>
      <c r="AV317" s="1">
        <v>224.0</v>
      </c>
      <c r="AW317" s="1" t="s">
        <v>74</v>
      </c>
      <c r="AX317" s="1" t="s">
        <v>74</v>
      </c>
      <c r="AY317" s="1" t="s">
        <v>74</v>
      </c>
      <c r="AZ317" s="1" t="s">
        <v>74</v>
      </c>
      <c r="BA317" s="1" t="s">
        <v>74</v>
      </c>
      <c r="BB317" s="1">
        <v>80.0</v>
      </c>
      <c r="BC317" s="1">
        <v>90.0</v>
      </c>
      <c r="BD317" s="1" t="s">
        <v>74</v>
      </c>
      <c r="BE317" s="1" t="s">
        <v>3353</v>
      </c>
      <c r="BF317" s="2" t="str">
        <f>HYPERLINK("http://dx.doi.org/10.1016/j.dam.2017.02.022","http://dx.doi.org/10.1016/j.dam.2017.02.022")</f>
        <v>http://dx.doi.org/10.1016/j.dam.2017.02.022</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3354</v>
      </c>
      <c r="BT317" s="1" t="str">
        <f>HYPERLINK("https%3A%2F%2Fwww.webofscience.com%2Fwos%2Fwoscc%2Ffull-record%2FWOS:000401212300007","View Full Record in Web of Science")</f>
        <v>View Full Record in Web of Science</v>
      </c>
    </row>
    <row r="318" ht="12.75" customHeight="1">
      <c r="A318" s="1" t="s">
        <v>72</v>
      </c>
      <c r="B318" s="1" t="s">
        <v>3355</v>
      </c>
      <c r="C318" s="1" t="s">
        <v>74</v>
      </c>
      <c r="D318" s="1" t="s">
        <v>74</v>
      </c>
      <c r="E318" s="1" t="s">
        <v>74</v>
      </c>
      <c r="F318" s="1" t="s">
        <v>3356</v>
      </c>
      <c r="G318" s="1" t="s">
        <v>74</v>
      </c>
      <c r="H318" s="1" t="s">
        <v>74</v>
      </c>
      <c r="I318" s="1" t="s">
        <v>3357</v>
      </c>
      <c r="J318" s="1" t="s">
        <v>3358</v>
      </c>
      <c r="K318" s="1" t="s">
        <v>74</v>
      </c>
      <c r="L318" s="1" t="s">
        <v>74</v>
      </c>
      <c r="M318" s="1" t="s">
        <v>74</v>
      </c>
      <c r="N318" s="1" t="s">
        <v>74</v>
      </c>
      <c r="O318" s="1" t="s">
        <v>74</v>
      </c>
      <c r="P318" s="1" t="s">
        <v>74</v>
      </c>
      <c r="Q318" s="1" t="s">
        <v>74</v>
      </c>
      <c r="R318" s="1" t="s">
        <v>74</v>
      </c>
      <c r="S318" s="1" t="s">
        <v>74</v>
      </c>
      <c r="T318" s="1" t="s">
        <v>74</v>
      </c>
      <c r="U318" s="1" t="s">
        <v>74</v>
      </c>
      <c r="V318" s="1" t="s">
        <v>3359</v>
      </c>
      <c r="W318" s="1" t="s">
        <v>74</v>
      </c>
      <c r="X318" s="1" t="s">
        <v>74</v>
      </c>
      <c r="Y318" s="1" t="s">
        <v>74</v>
      </c>
      <c r="Z318" s="1" t="s">
        <v>74</v>
      </c>
      <c r="AA318" s="1" t="s">
        <v>3360</v>
      </c>
      <c r="AB318" s="1" t="s">
        <v>3361</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3362</v>
      </c>
      <c r="AP318" s="1" t="s">
        <v>3363</v>
      </c>
      <c r="AQ318" s="1" t="s">
        <v>74</v>
      </c>
      <c r="AR318" s="1" t="s">
        <v>74</v>
      </c>
      <c r="AS318" s="1" t="s">
        <v>74</v>
      </c>
      <c r="AT318" s="1" t="s">
        <v>1082</v>
      </c>
      <c r="AU318" s="1">
        <v>2016.0</v>
      </c>
      <c r="AV318" s="1">
        <v>52.0</v>
      </c>
      <c r="AW318" s="1">
        <v>6.0</v>
      </c>
      <c r="AX318" s="1" t="s">
        <v>74</v>
      </c>
      <c r="AY318" s="1" t="s">
        <v>74</v>
      </c>
      <c r="AZ318" s="1" t="s">
        <v>74</v>
      </c>
      <c r="BA318" s="1" t="s">
        <v>74</v>
      </c>
      <c r="BB318" s="1">
        <v>1031.0</v>
      </c>
      <c r="BC318" s="1">
        <v>1052.0</v>
      </c>
      <c r="BD318" s="1" t="s">
        <v>74</v>
      </c>
      <c r="BE318" s="1" t="s">
        <v>3364</v>
      </c>
      <c r="BF318" s="2" t="str">
        <f>HYPERLINK("http://dx.doi.org/10.1016/j.ipm.2016.04.008","http://dx.doi.org/10.1016/j.ipm.2016.04.008")</f>
        <v>http://dx.doi.org/10.1016/j.ipm.2016.04.008</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3365</v>
      </c>
      <c r="BT318" s="1" t="str">
        <f>HYPERLINK("https%3A%2F%2Fwww.webofscience.com%2Fwos%2Fwoscc%2Ffull-record%2FWOS:000385605300004","View Full Record in Web of Science")</f>
        <v>View Full Record in Web of Science</v>
      </c>
    </row>
    <row r="319" ht="12.75" customHeight="1">
      <c r="A319" s="1" t="s">
        <v>72</v>
      </c>
      <c r="B319" s="1" t="s">
        <v>3366</v>
      </c>
      <c r="C319" s="1" t="s">
        <v>74</v>
      </c>
      <c r="D319" s="1" t="s">
        <v>74</v>
      </c>
      <c r="E319" s="1" t="s">
        <v>74</v>
      </c>
      <c r="F319" s="1" t="s">
        <v>3367</v>
      </c>
      <c r="G319" s="1" t="s">
        <v>74</v>
      </c>
      <c r="H319" s="1" t="s">
        <v>74</v>
      </c>
      <c r="I319" s="1" t="s">
        <v>3368</v>
      </c>
      <c r="J319" s="1" t="s">
        <v>3369</v>
      </c>
      <c r="K319" s="1" t="s">
        <v>74</v>
      </c>
      <c r="L319" s="1" t="s">
        <v>74</v>
      </c>
      <c r="M319" s="1" t="s">
        <v>74</v>
      </c>
      <c r="N319" s="1" t="s">
        <v>74</v>
      </c>
      <c r="O319" s="1" t="s">
        <v>74</v>
      </c>
      <c r="P319" s="1" t="s">
        <v>74</v>
      </c>
      <c r="Q319" s="1" t="s">
        <v>74</v>
      </c>
      <c r="R319" s="1" t="s">
        <v>74</v>
      </c>
      <c r="S319" s="1" t="s">
        <v>74</v>
      </c>
      <c r="T319" s="1" t="s">
        <v>74</v>
      </c>
      <c r="U319" s="1" t="s">
        <v>74</v>
      </c>
      <c r="V319" s="1" t="s">
        <v>3370</v>
      </c>
      <c r="W319" s="1" t="s">
        <v>74</v>
      </c>
      <c r="X319" s="1" t="s">
        <v>74</v>
      </c>
      <c r="Y319" s="1" t="s">
        <v>74</v>
      </c>
      <c r="Z319" s="1" t="s">
        <v>74</v>
      </c>
      <c r="AA319" s="1" t="s">
        <v>3371</v>
      </c>
      <c r="AB319" s="1" t="s">
        <v>3372</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3373</v>
      </c>
      <c r="AP319" s="1" t="s">
        <v>74</v>
      </c>
      <c r="AQ319" s="1" t="s">
        <v>74</v>
      </c>
      <c r="AR319" s="1" t="s">
        <v>74</v>
      </c>
      <c r="AS319" s="1" t="s">
        <v>74</v>
      </c>
      <c r="AT319" s="1" t="s">
        <v>3374</v>
      </c>
      <c r="AU319" s="1">
        <v>2016.0</v>
      </c>
      <c r="AV319" s="1">
        <v>7.0</v>
      </c>
      <c r="AW319" s="1" t="s">
        <v>74</v>
      </c>
      <c r="AX319" s="1" t="s">
        <v>74</v>
      </c>
      <c r="AY319" s="1" t="s">
        <v>74</v>
      </c>
      <c r="AZ319" s="1" t="s">
        <v>74</v>
      </c>
      <c r="BA319" s="1" t="s">
        <v>74</v>
      </c>
      <c r="BB319" s="1" t="s">
        <v>74</v>
      </c>
      <c r="BC319" s="1" t="s">
        <v>74</v>
      </c>
      <c r="BD319" s="1">
        <v>1385.0</v>
      </c>
      <c r="BE319" s="1" t="s">
        <v>3375</v>
      </c>
      <c r="BF319" s="2" t="str">
        <f>HYPERLINK("http://dx.doi.org/10.3389/fpsyg.2016.01385","http://dx.doi.org/10.3389/fpsyg.2016.01385")</f>
        <v>http://dx.doi.org/10.3389/fpsyg.2016.01385</v>
      </c>
      <c r="BG319" s="1" t="s">
        <v>74</v>
      </c>
      <c r="BH319" s="1" t="s">
        <v>74</v>
      </c>
      <c r="BI319" s="1" t="s">
        <v>74</v>
      </c>
      <c r="BJ319" s="1" t="s">
        <v>74</v>
      </c>
      <c r="BK319" s="1" t="s">
        <v>74</v>
      </c>
      <c r="BL319" s="1" t="s">
        <v>74</v>
      </c>
      <c r="BM319" s="1" t="s">
        <v>74</v>
      </c>
      <c r="BN319" s="1">
        <v>2.7713709E7</v>
      </c>
      <c r="BO319" s="1" t="s">
        <v>74</v>
      </c>
      <c r="BP319" s="1" t="s">
        <v>74</v>
      </c>
      <c r="BQ319" s="1" t="s">
        <v>74</v>
      </c>
      <c r="BR319" s="1" t="s">
        <v>74</v>
      </c>
      <c r="BS319" s="1" t="s">
        <v>3376</v>
      </c>
      <c r="BT319" s="1" t="str">
        <f>HYPERLINK("https%3A%2F%2Fwww.webofscience.com%2Fwos%2Fwoscc%2Ffull-record%2FWOS:000383661400001","View Full Record in Web of Science")</f>
        <v>View Full Record in Web of Science</v>
      </c>
    </row>
    <row r="320" ht="12.75" customHeight="1">
      <c r="A320" s="1" t="s">
        <v>72</v>
      </c>
      <c r="B320" s="1" t="s">
        <v>3377</v>
      </c>
      <c r="C320" s="1" t="s">
        <v>74</v>
      </c>
      <c r="D320" s="1" t="s">
        <v>74</v>
      </c>
      <c r="E320" s="1" t="s">
        <v>74</v>
      </c>
      <c r="F320" s="1" t="s">
        <v>3378</v>
      </c>
      <c r="G320" s="1" t="s">
        <v>74</v>
      </c>
      <c r="H320" s="1" t="s">
        <v>74</v>
      </c>
      <c r="I320" s="1" t="s">
        <v>3379</v>
      </c>
      <c r="J320" s="1" t="s">
        <v>3380</v>
      </c>
      <c r="K320" s="1" t="s">
        <v>74</v>
      </c>
      <c r="L320" s="1" t="s">
        <v>74</v>
      </c>
      <c r="M320" s="1" t="s">
        <v>74</v>
      </c>
      <c r="N320" s="1" t="s">
        <v>74</v>
      </c>
      <c r="O320" s="1" t="s">
        <v>74</v>
      </c>
      <c r="P320" s="1" t="s">
        <v>74</v>
      </c>
      <c r="Q320" s="1" t="s">
        <v>74</v>
      </c>
      <c r="R320" s="1" t="s">
        <v>74</v>
      </c>
      <c r="S320" s="1" t="s">
        <v>74</v>
      </c>
      <c r="T320" s="1" t="s">
        <v>74</v>
      </c>
      <c r="U320" s="1" t="s">
        <v>74</v>
      </c>
      <c r="V320" s="1" t="s">
        <v>3381</v>
      </c>
      <c r="W320" s="1" t="s">
        <v>74</v>
      </c>
      <c r="X320" s="1" t="s">
        <v>74</v>
      </c>
      <c r="Y320" s="1" t="s">
        <v>74</v>
      </c>
      <c r="Z320" s="1" t="s">
        <v>74</v>
      </c>
      <c r="AA320" s="1" t="s">
        <v>3382</v>
      </c>
      <c r="AB320" s="1" t="s">
        <v>3383</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3384</v>
      </c>
      <c r="AP320" s="1" t="s">
        <v>3385</v>
      </c>
      <c r="AQ320" s="1" t="s">
        <v>74</v>
      </c>
      <c r="AR320" s="1" t="s">
        <v>74</v>
      </c>
      <c r="AS320" s="1" t="s">
        <v>74</v>
      </c>
      <c r="AT320" s="1" t="s">
        <v>3386</v>
      </c>
      <c r="AU320" s="1">
        <v>2016.0</v>
      </c>
      <c r="AV320" s="1">
        <v>55.0</v>
      </c>
      <c r="AW320" s="1">
        <v>9.0</v>
      </c>
      <c r="AX320" s="1" t="s">
        <v>74</v>
      </c>
      <c r="AY320" s="1" t="s">
        <v>74</v>
      </c>
      <c r="AZ320" s="1" t="s">
        <v>74</v>
      </c>
      <c r="BA320" s="1" t="s">
        <v>74</v>
      </c>
      <c r="BB320" s="1">
        <v>4457.0</v>
      </c>
      <c r="BC320" s="1">
        <v>4469.0</v>
      </c>
      <c r="BD320" s="1" t="s">
        <v>74</v>
      </c>
      <c r="BE320" s="1" t="s">
        <v>3387</v>
      </c>
      <c r="BF320" s="2" t="str">
        <f>HYPERLINK("http://dx.doi.org/10.1021/acs.inorgchem.6b00244","http://dx.doi.org/10.1021/acs.inorgchem.6b00244")</f>
        <v>http://dx.doi.org/10.1021/acs.inorgchem.6b00244</v>
      </c>
      <c r="BG320" s="1" t="s">
        <v>74</v>
      </c>
      <c r="BH320" s="1" t="s">
        <v>74</v>
      </c>
      <c r="BI320" s="1" t="s">
        <v>74</v>
      </c>
      <c r="BJ320" s="1" t="s">
        <v>74</v>
      </c>
      <c r="BK320" s="1" t="s">
        <v>74</v>
      </c>
      <c r="BL320" s="1" t="s">
        <v>74</v>
      </c>
      <c r="BM320" s="1" t="s">
        <v>74</v>
      </c>
      <c r="BN320" s="1">
        <v>2.7054547E7</v>
      </c>
      <c r="BO320" s="1" t="s">
        <v>74</v>
      </c>
      <c r="BP320" s="1" t="s">
        <v>74</v>
      </c>
      <c r="BQ320" s="1" t="s">
        <v>74</v>
      </c>
      <c r="BR320" s="1" t="s">
        <v>74</v>
      </c>
      <c r="BS320" s="1" t="s">
        <v>3388</v>
      </c>
      <c r="BT320" s="1" t="str">
        <f>HYPERLINK("https%3A%2F%2Fwww.webofscience.com%2Fwos%2Fwoscc%2Ffull-record%2FWOS:000375519700042","View Full Record in Web of Science")</f>
        <v>View Full Record in Web of Science</v>
      </c>
    </row>
    <row r="321" ht="12.75" customHeight="1">
      <c r="A321" s="1" t="s">
        <v>72</v>
      </c>
      <c r="B321" s="1" t="s">
        <v>3389</v>
      </c>
      <c r="C321" s="1" t="s">
        <v>74</v>
      </c>
      <c r="D321" s="1" t="s">
        <v>74</v>
      </c>
      <c r="E321" s="1" t="s">
        <v>74</v>
      </c>
      <c r="F321" s="1" t="s">
        <v>3390</v>
      </c>
      <c r="G321" s="1" t="s">
        <v>74</v>
      </c>
      <c r="H321" s="1" t="s">
        <v>74</v>
      </c>
      <c r="I321" s="1" t="s">
        <v>3391</v>
      </c>
      <c r="J321" s="1" t="s">
        <v>3392</v>
      </c>
      <c r="K321" s="1" t="s">
        <v>74</v>
      </c>
      <c r="L321" s="1" t="s">
        <v>74</v>
      </c>
      <c r="M321" s="1" t="s">
        <v>74</v>
      </c>
      <c r="N321" s="1" t="s">
        <v>74</v>
      </c>
      <c r="O321" s="1" t="s">
        <v>74</v>
      </c>
      <c r="P321" s="1" t="s">
        <v>74</v>
      </c>
      <c r="Q321" s="1" t="s">
        <v>74</v>
      </c>
      <c r="R321" s="1" t="s">
        <v>74</v>
      </c>
      <c r="S321" s="1" t="s">
        <v>74</v>
      </c>
      <c r="T321" s="1" t="s">
        <v>74</v>
      </c>
      <c r="U321" s="1" t="s">
        <v>74</v>
      </c>
      <c r="V321" s="1" t="s">
        <v>3393</v>
      </c>
      <c r="W321" s="1" t="s">
        <v>74</v>
      </c>
      <c r="X321" s="1" t="s">
        <v>74</v>
      </c>
      <c r="Y321" s="1" t="s">
        <v>74</v>
      </c>
      <c r="Z321" s="1" t="s">
        <v>74</v>
      </c>
      <c r="AA321" s="1" t="s">
        <v>3394</v>
      </c>
      <c r="AB321" s="1" t="s">
        <v>3395</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3396</v>
      </c>
      <c r="AP321" s="1" t="s">
        <v>3397</v>
      </c>
      <c r="AQ321" s="1" t="s">
        <v>74</v>
      </c>
      <c r="AR321" s="1" t="s">
        <v>74</v>
      </c>
      <c r="AS321" s="1" t="s">
        <v>74</v>
      </c>
      <c r="AT321" s="1" t="s">
        <v>877</v>
      </c>
      <c r="AU321" s="1">
        <v>2014.0</v>
      </c>
      <c r="AV321" s="1">
        <v>40.0</v>
      </c>
      <c r="AW321" s="1">
        <v>4.0</v>
      </c>
      <c r="AX321" s="1" t="s">
        <v>74</v>
      </c>
      <c r="AY321" s="1" t="s">
        <v>74</v>
      </c>
      <c r="AZ321" s="1" t="s">
        <v>74</v>
      </c>
      <c r="BA321" s="1" t="s">
        <v>74</v>
      </c>
      <c r="BB321" s="1">
        <v>711.0</v>
      </c>
      <c r="BC321" s="1">
        <v>745.0</v>
      </c>
      <c r="BD321" s="1" t="s">
        <v>74</v>
      </c>
      <c r="BE321" s="1" t="s">
        <v>3398</v>
      </c>
      <c r="BF321" s="2" t="str">
        <f>HYPERLINK("http://dx.doi.org/10.1007/s10444-013-9320-5","http://dx.doi.org/10.1007/s10444-013-9320-5")</f>
        <v>http://dx.doi.org/10.1007/s10444-013-9320-5</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3399</v>
      </c>
      <c r="BT321" s="1" t="str">
        <f>HYPERLINK("https%3A%2F%2Fwww.webofscience.com%2Fwos%2Fwoscc%2Ffull-record%2FWOS:000340049400001","View Full Record in Web of Science")</f>
        <v>View Full Record in Web of Science</v>
      </c>
    </row>
    <row r="322" ht="12.75" customHeight="1">
      <c r="A322" s="1" t="s">
        <v>72</v>
      </c>
      <c r="B322" s="1" t="s">
        <v>3400</v>
      </c>
      <c r="C322" s="1" t="s">
        <v>74</v>
      </c>
      <c r="D322" s="1" t="s">
        <v>74</v>
      </c>
      <c r="E322" s="1" t="s">
        <v>74</v>
      </c>
      <c r="F322" s="1" t="s">
        <v>3401</v>
      </c>
      <c r="G322" s="1" t="s">
        <v>74</v>
      </c>
      <c r="H322" s="1" t="s">
        <v>74</v>
      </c>
      <c r="I322" s="1" t="s">
        <v>3402</v>
      </c>
      <c r="J322" s="1" t="s">
        <v>3403</v>
      </c>
      <c r="K322" s="1" t="s">
        <v>74</v>
      </c>
      <c r="L322" s="1" t="s">
        <v>74</v>
      </c>
      <c r="M322" s="1" t="s">
        <v>74</v>
      </c>
      <c r="N322" s="1" t="s">
        <v>74</v>
      </c>
      <c r="O322" s="1" t="s">
        <v>74</v>
      </c>
      <c r="P322" s="1" t="s">
        <v>74</v>
      </c>
      <c r="Q322" s="1" t="s">
        <v>74</v>
      </c>
      <c r="R322" s="1" t="s">
        <v>74</v>
      </c>
      <c r="S322" s="1" t="s">
        <v>74</v>
      </c>
      <c r="T322" s="1" t="s">
        <v>74</v>
      </c>
      <c r="U322" s="1" t="s">
        <v>74</v>
      </c>
      <c r="V322" s="1" t="s">
        <v>3404</v>
      </c>
      <c r="W322" s="1" t="s">
        <v>74</v>
      </c>
      <c r="X322" s="1" t="s">
        <v>74</v>
      </c>
      <c r="Y322" s="1" t="s">
        <v>74</v>
      </c>
      <c r="Z322" s="1" t="s">
        <v>74</v>
      </c>
      <c r="AA322" s="1" t="s">
        <v>3405</v>
      </c>
      <c r="AB322" s="1" t="s">
        <v>3406</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3407</v>
      </c>
      <c r="AP322" s="1" t="s">
        <v>74</v>
      </c>
      <c r="AQ322" s="1" t="s">
        <v>74</v>
      </c>
      <c r="AR322" s="1" t="s">
        <v>74</v>
      </c>
      <c r="AS322" s="1" t="s">
        <v>74</v>
      </c>
      <c r="AT322" s="1" t="s">
        <v>385</v>
      </c>
      <c r="AU322" s="1">
        <v>2011.0</v>
      </c>
      <c r="AV322" s="1">
        <v>6.0</v>
      </c>
      <c r="AW322" s="1">
        <v>6.0</v>
      </c>
      <c r="AX322" s="1" t="s">
        <v>74</v>
      </c>
      <c r="AY322" s="1" t="s">
        <v>74</v>
      </c>
      <c r="AZ322" s="1" t="s">
        <v>74</v>
      </c>
      <c r="BA322" s="1" t="s">
        <v>74</v>
      </c>
      <c r="BB322" s="1">
        <v>759.0</v>
      </c>
      <c r="BC322" s="1">
        <v>762.0</v>
      </c>
      <c r="BD322" s="1" t="s">
        <v>74</v>
      </c>
      <c r="BE322" s="1" t="s">
        <v>74</v>
      </c>
      <c r="BF322" s="1" t="s">
        <v>74</v>
      </c>
      <c r="BG322" s="1" t="s">
        <v>74</v>
      </c>
      <c r="BH322" s="1" t="s">
        <v>74</v>
      </c>
      <c r="BI322" s="1" t="s">
        <v>74</v>
      </c>
      <c r="BJ322" s="1" t="s">
        <v>74</v>
      </c>
      <c r="BK322" s="1" t="s">
        <v>74</v>
      </c>
      <c r="BL322" s="1" t="s">
        <v>74</v>
      </c>
      <c r="BM322" s="1" t="s">
        <v>74</v>
      </c>
      <c r="BN322" s="1">
        <v>2.1815405E7</v>
      </c>
      <c r="BO322" s="1" t="s">
        <v>74</v>
      </c>
      <c r="BP322" s="1" t="s">
        <v>74</v>
      </c>
      <c r="BQ322" s="1" t="s">
        <v>74</v>
      </c>
      <c r="BR322" s="1" t="s">
        <v>74</v>
      </c>
      <c r="BS322" s="1" t="s">
        <v>3408</v>
      </c>
      <c r="BT322" s="1" t="str">
        <f>HYPERLINK("https%3A%2F%2Fwww.webofscience.com%2Fwos%2Fwoscc%2Ffull-record%2FWOS:000291838300004","View Full Record in Web of Science")</f>
        <v>View Full Record in Web of Science</v>
      </c>
    </row>
    <row r="323" ht="12.75" customHeight="1">
      <c r="A323" s="1" t="s">
        <v>154</v>
      </c>
      <c r="B323" s="1" t="s">
        <v>3409</v>
      </c>
      <c r="C323" s="1" t="s">
        <v>74</v>
      </c>
      <c r="D323" s="1" t="s">
        <v>3410</v>
      </c>
      <c r="E323" s="1" t="s">
        <v>74</v>
      </c>
      <c r="F323" s="1" t="s">
        <v>3411</v>
      </c>
      <c r="G323" s="1" t="s">
        <v>74</v>
      </c>
      <c r="H323" s="1" t="s">
        <v>74</v>
      </c>
      <c r="I323" s="1" t="s">
        <v>3412</v>
      </c>
      <c r="J323" s="1" t="s">
        <v>3413</v>
      </c>
      <c r="K323" s="1" t="s">
        <v>3414</v>
      </c>
      <c r="L323" s="1" t="s">
        <v>74</v>
      </c>
      <c r="M323" s="1" t="s">
        <v>74</v>
      </c>
      <c r="N323" s="1" t="s">
        <v>74</v>
      </c>
      <c r="O323" s="1" t="s">
        <v>3415</v>
      </c>
      <c r="P323" s="1" t="s">
        <v>3416</v>
      </c>
      <c r="Q323" s="1" t="s">
        <v>3417</v>
      </c>
      <c r="R323" s="1" t="s">
        <v>3418</v>
      </c>
      <c r="S323" s="1" t="s">
        <v>74</v>
      </c>
      <c r="T323" s="1" t="s">
        <v>74</v>
      </c>
      <c r="U323" s="1" t="s">
        <v>74</v>
      </c>
      <c r="V323" s="1" t="s">
        <v>3419</v>
      </c>
      <c r="W323" s="1" t="s">
        <v>74</v>
      </c>
      <c r="X323" s="1" t="s">
        <v>74</v>
      </c>
      <c r="Y323" s="1" t="s">
        <v>74</v>
      </c>
      <c r="Z323" s="1" t="s">
        <v>74</v>
      </c>
      <c r="AA323" s="1" t="s">
        <v>3420</v>
      </c>
      <c r="AB323" s="1" t="s">
        <v>3421</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3422</v>
      </c>
      <c r="AP323" s="1" t="s">
        <v>74</v>
      </c>
      <c r="AQ323" s="1" t="s">
        <v>3423</v>
      </c>
      <c r="AR323" s="1" t="s">
        <v>74</v>
      </c>
      <c r="AS323" s="1" t="s">
        <v>74</v>
      </c>
      <c r="AT323" s="1" t="s">
        <v>74</v>
      </c>
      <c r="AU323" s="1">
        <v>2009.0</v>
      </c>
      <c r="AV323" s="1" t="s">
        <v>74</v>
      </c>
      <c r="AW323" s="1" t="s">
        <v>74</v>
      </c>
      <c r="AX323" s="1" t="s">
        <v>74</v>
      </c>
      <c r="AY323" s="1" t="s">
        <v>74</v>
      </c>
      <c r="AZ323" s="1" t="s">
        <v>74</v>
      </c>
      <c r="BA323" s="1" t="s">
        <v>74</v>
      </c>
      <c r="BB323" s="1">
        <v>4013.0</v>
      </c>
      <c r="BC323" s="1" t="s">
        <v>662</v>
      </c>
      <c r="BD323" s="1" t="s">
        <v>74</v>
      </c>
      <c r="BE323" s="1" t="s">
        <v>3424</v>
      </c>
      <c r="BF323" s="2" t="str">
        <f>HYPERLINK("http://dx.doi.org/10.1109/NSSMIC.2009.5401918","http://dx.doi.org/10.1109/NSSMIC.2009.5401918")</f>
        <v>http://dx.doi.org/10.1109/NSSMIC.2009.5401918</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3425</v>
      </c>
      <c r="BT323" s="1" t="str">
        <f>HYPERLINK("https%3A%2F%2Fwww.webofscience.com%2Fwos%2Fwoscc%2Ffull-record%2FWOS:000280505102139","View Full Record in Web of Science")</f>
        <v>View Full Record in Web of Science</v>
      </c>
    </row>
    <row r="324" ht="12.75" customHeight="1">
      <c r="A324" s="1" t="s">
        <v>72</v>
      </c>
      <c r="B324" s="1" t="s">
        <v>3426</v>
      </c>
      <c r="C324" s="1" t="s">
        <v>74</v>
      </c>
      <c r="D324" s="1" t="s">
        <v>74</v>
      </c>
      <c r="E324" s="1" t="s">
        <v>74</v>
      </c>
      <c r="F324" s="1" t="s">
        <v>3427</v>
      </c>
      <c r="G324" s="1" t="s">
        <v>74</v>
      </c>
      <c r="H324" s="1" t="s">
        <v>74</v>
      </c>
      <c r="I324" s="1" t="s">
        <v>3428</v>
      </c>
      <c r="J324" s="1" t="s">
        <v>948</v>
      </c>
      <c r="K324" s="1" t="s">
        <v>74</v>
      </c>
      <c r="L324" s="1" t="s">
        <v>74</v>
      </c>
      <c r="M324" s="1" t="s">
        <v>74</v>
      </c>
      <c r="N324" s="1" t="s">
        <v>74</v>
      </c>
      <c r="O324" s="1" t="s">
        <v>74</v>
      </c>
      <c r="P324" s="1" t="s">
        <v>74</v>
      </c>
      <c r="Q324" s="1" t="s">
        <v>74</v>
      </c>
      <c r="R324" s="1" t="s">
        <v>74</v>
      </c>
      <c r="S324" s="1" t="s">
        <v>74</v>
      </c>
      <c r="T324" s="1" t="s">
        <v>74</v>
      </c>
      <c r="U324" s="1" t="s">
        <v>74</v>
      </c>
      <c r="V324" s="1" t="s">
        <v>3429</v>
      </c>
      <c r="W324" s="1" t="s">
        <v>74</v>
      </c>
      <c r="X324" s="1" t="s">
        <v>74</v>
      </c>
      <c r="Y324" s="1" t="s">
        <v>74</v>
      </c>
      <c r="Z324" s="1" t="s">
        <v>74</v>
      </c>
      <c r="AA324" s="1" t="s">
        <v>3430</v>
      </c>
      <c r="AB324" s="1" t="s">
        <v>74</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2687</v>
      </c>
      <c r="AP324" s="1" t="s">
        <v>74</v>
      </c>
      <c r="AQ324" s="1" t="s">
        <v>74</v>
      </c>
      <c r="AR324" s="1" t="s">
        <v>74</v>
      </c>
      <c r="AS324" s="1" t="s">
        <v>74</v>
      </c>
      <c r="AT324" s="1" t="s">
        <v>241</v>
      </c>
      <c r="AU324" s="1">
        <v>2007.0</v>
      </c>
      <c r="AV324" s="1">
        <v>52.0</v>
      </c>
      <c r="AW324" s="1">
        <v>3.0</v>
      </c>
      <c r="AX324" s="1" t="s">
        <v>74</v>
      </c>
      <c r="AY324" s="1" t="s">
        <v>74</v>
      </c>
      <c r="AZ324" s="1" t="s">
        <v>74</v>
      </c>
      <c r="BA324" s="1" t="s">
        <v>74</v>
      </c>
      <c r="BB324" s="1">
        <v>1254.0</v>
      </c>
      <c r="BC324" s="1">
        <v>1256.0</v>
      </c>
      <c r="BD324" s="1" t="s">
        <v>74</v>
      </c>
      <c r="BE324" s="1" t="s">
        <v>74</v>
      </c>
      <c r="BF324" s="1" t="s">
        <v>74</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3431</v>
      </c>
      <c r="BT324" s="1" t="str">
        <f>HYPERLINK("https%3A%2F%2Fwww.webofscience.com%2Fwos%2Fwoscc%2Ffull-record%2FWOS:000249169500013","View Full Record in Web of Science")</f>
        <v>View Full Record in Web of Science</v>
      </c>
    </row>
    <row r="325" ht="12.75" customHeight="1">
      <c r="A325" s="1" t="s">
        <v>72</v>
      </c>
      <c r="B325" s="1" t="s">
        <v>3432</v>
      </c>
      <c r="C325" s="1" t="s">
        <v>74</v>
      </c>
      <c r="D325" s="1" t="s">
        <v>74</v>
      </c>
      <c r="E325" s="1" t="s">
        <v>74</v>
      </c>
      <c r="F325" s="1" t="s">
        <v>3433</v>
      </c>
      <c r="G325" s="1" t="s">
        <v>74</v>
      </c>
      <c r="H325" s="1" t="s">
        <v>74</v>
      </c>
      <c r="I325" s="1" t="s">
        <v>3434</v>
      </c>
      <c r="J325" s="1" t="s">
        <v>3435</v>
      </c>
      <c r="K325" s="1" t="s">
        <v>74</v>
      </c>
      <c r="L325" s="1" t="s">
        <v>74</v>
      </c>
      <c r="M325" s="1" t="s">
        <v>74</v>
      </c>
      <c r="N325" s="1" t="s">
        <v>74</v>
      </c>
      <c r="O325" s="1" t="s">
        <v>74</v>
      </c>
      <c r="P325" s="1" t="s">
        <v>74</v>
      </c>
      <c r="Q325" s="1" t="s">
        <v>74</v>
      </c>
      <c r="R325" s="1" t="s">
        <v>74</v>
      </c>
      <c r="S325" s="1" t="s">
        <v>74</v>
      </c>
      <c r="T325" s="1" t="s">
        <v>74</v>
      </c>
      <c r="U325" s="1" t="s">
        <v>74</v>
      </c>
      <c r="V325" s="1" t="s">
        <v>3436</v>
      </c>
      <c r="W325" s="1" t="s">
        <v>74</v>
      </c>
      <c r="X325" s="1" t="s">
        <v>74</v>
      </c>
      <c r="Y325" s="1" t="s">
        <v>74</v>
      </c>
      <c r="Z325" s="1" t="s">
        <v>74</v>
      </c>
      <c r="AA325" s="1" t="s">
        <v>3437</v>
      </c>
      <c r="AB325" s="1" t="s">
        <v>2647</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3438</v>
      </c>
      <c r="AP325" s="1" t="s">
        <v>3439</v>
      </c>
      <c r="AQ325" s="1" t="s">
        <v>74</v>
      </c>
      <c r="AR325" s="1" t="s">
        <v>74</v>
      </c>
      <c r="AS325" s="1" t="s">
        <v>74</v>
      </c>
      <c r="AT325" s="1" t="s">
        <v>308</v>
      </c>
      <c r="AU325" s="1">
        <v>2007.0</v>
      </c>
      <c r="AV325" s="1">
        <v>10.0</v>
      </c>
      <c r="AW325" s="1">
        <v>4.0</v>
      </c>
      <c r="AX325" s="1" t="s">
        <v>74</v>
      </c>
      <c r="AY325" s="1" t="s">
        <v>74</v>
      </c>
      <c r="AZ325" s="1" t="s">
        <v>74</v>
      </c>
      <c r="BA325" s="1" t="s">
        <v>74</v>
      </c>
      <c r="BB325" s="1">
        <v>506.0</v>
      </c>
      <c r="BC325" s="1">
        <v>509.0</v>
      </c>
      <c r="BD325" s="1" t="s">
        <v>74</v>
      </c>
      <c r="BE325" s="1" t="s">
        <v>3440</v>
      </c>
      <c r="BF325" s="2" t="str">
        <f>HYPERLINK("http://dx.doi.org/10.1016/j.inoche.2006.12.024","http://dx.doi.org/10.1016/j.inoche.2006.12.024")</f>
        <v>http://dx.doi.org/10.1016/j.inoche.2006.12.024</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3441</v>
      </c>
      <c r="BT325" s="1" t="str">
        <f>HYPERLINK("https%3A%2F%2Fwww.webofscience.com%2Fwos%2Fwoscc%2Ffull-record%2FWOS:000245310300032","View Full Record in Web of Science")</f>
        <v>View Full Record in Web of Science</v>
      </c>
    </row>
    <row r="326" ht="12.75" customHeight="1">
      <c r="A326" s="1" t="s">
        <v>72</v>
      </c>
      <c r="B326" s="1" t="s">
        <v>3442</v>
      </c>
      <c r="C326" s="1" t="s">
        <v>74</v>
      </c>
      <c r="D326" s="1" t="s">
        <v>74</v>
      </c>
      <c r="E326" s="1" t="s">
        <v>74</v>
      </c>
      <c r="F326" s="1" t="s">
        <v>3442</v>
      </c>
      <c r="G326" s="1" t="s">
        <v>74</v>
      </c>
      <c r="H326" s="1" t="s">
        <v>74</v>
      </c>
      <c r="I326" s="1" t="s">
        <v>3443</v>
      </c>
      <c r="J326" s="1" t="s">
        <v>640</v>
      </c>
      <c r="K326" s="1" t="s">
        <v>74</v>
      </c>
      <c r="L326" s="1" t="s">
        <v>74</v>
      </c>
      <c r="M326" s="1" t="s">
        <v>74</v>
      </c>
      <c r="N326" s="1" t="s">
        <v>74</v>
      </c>
      <c r="O326" s="1" t="s">
        <v>74</v>
      </c>
      <c r="P326" s="1" t="s">
        <v>74</v>
      </c>
      <c r="Q326" s="1" t="s">
        <v>74</v>
      </c>
      <c r="R326" s="1" t="s">
        <v>74</v>
      </c>
      <c r="S326" s="1" t="s">
        <v>74</v>
      </c>
      <c r="T326" s="1" t="s">
        <v>74</v>
      </c>
      <c r="U326" s="1" t="s">
        <v>74</v>
      </c>
      <c r="V326" s="1" t="s">
        <v>3444</v>
      </c>
      <c r="W326" s="1" t="s">
        <v>74</v>
      </c>
      <c r="X326" s="1" t="s">
        <v>74</v>
      </c>
      <c r="Y326" s="1" t="s">
        <v>74</v>
      </c>
      <c r="Z326" s="1" t="s">
        <v>74</v>
      </c>
      <c r="AA326" s="1" t="s">
        <v>3445</v>
      </c>
      <c r="AB326" s="1" t="s">
        <v>3446</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643</v>
      </c>
      <c r="AP326" s="1" t="s">
        <v>644</v>
      </c>
      <c r="AQ326" s="1" t="s">
        <v>74</v>
      </c>
      <c r="AR326" s="1" t="s">
        <v>74</v>
      </c>
      <c r="AS326" s="1" t="s">
        <v>74</v>
      </c>
      <c r="AT326" s="1" t="s">
        <v>94</v>
      </c>
      <c r="AU326" s="1">
        <v>2001.0</v>
      </c>
      <c r="AV326" s="1">
        <v>49.0</v>
      </c>
      <c r="AW326" s="1">
        <v>5.0</v>
      </c>
      <c r="AX326" s="1" t="s">
        <v>74</v>
      </c>
      <c r="AY326" s="1" t="s">
        <v>74</v>
      </c>
      <c r="AZ326" s="1" t="s">
        <v>74</v>
      </c>
      <c r="BA326" s="1" t="s">
        <v>74</v>
      </c>
      <c r="BB326" s="1">
        <v>2249.0</v>
      </c>
      <c r="BC326" s="1">
        <v>2253.0</v>
      </c>
      <c r="BD326" s="1" t="s">
        <v>74</v>
      </c>
      <c r="BE326" s="1" t="s">
        <v>3447</v>
      </c>
      <c r="BF326" s="2" t="str">
        <f>HYPERLINK("http://dx.doi.org/10.1021/jf0011440","http://dx.doi.org/10.1021/jf0011440")</f>
        <v>http://dx.doi.org/10.1021/jf0011440</v>
      </c>
      <c r="BG326" s="1" t="s">
        <v>74</v>
      </c>
      <c r="BH326" s="1" t="s">
        <v>74</v>
      </c>
      <c r="BI326" s="1" t="s">
        <v>74</v>
      </c>
      <c r="BJ326" s="1" t="s">
        <v>74</v>
      </c>
      <c r="BK326" s="1" t="s">
        <v>74</v>
      </c>
      <c r="BL326" s="1" t="s">
        <v>74</v>
      </c>
      <c r="BM326" s="1" t="s">
        <v>74</v>
      </c>
      <c r="BN326" s="1">
        <v>1.1368584E7</v>
      </c>
      <c r="BO326" s="1" t="s">
        <v>74</v>
      </c>
      <c r="BP326" s="1" t="s">
        <v>74</v>
      </c>
      <c r="BQ326" s="1" t="s">
        <v>74</v>
      </c>
      <c r="BR326" s="1" t="s">
        <v>74</v>
      </c>
      <c r="BS326" s="1" t="s">
        <v>3448</v>
      </c>
      <c r="BT326" s="1" t="str">
        <f>HYPERLINK("https%3A%2F%2Fwww.webofscience.com%2Fwos%2Fwoscc%2Ffull-record%2FWOS:000168915200022","View Full Record in Web of Science")</f>
        <v>View Full Record in Web of Science</v>
      </c>
    </row>
    <row r="327" ht="12.75" customHeight="1">
      <c r="A327" s="1" t="s">
        <v>72</v>
      </c>
      <c r="B327" s="1" t="s">
        <v>3449</v>
      </c>
      <c r="C327" s="1" t="s">
        <v>74</v>
      </c>
      <c r="D327" s="1" t="s">
        <v>74</v>
      </c>
      <c r="E327" s="1" t="s">
        <v>74</v>
      </c>
      <c r="F327" s="1" t="s">
        <v>3449</v>
      </c>
      <c r="G327" s="1" t="s">
        <v>74</v>
      </c>
      <c r="H327" s="1" t="s">
        <v>74</v>
      </c>
      <c r="I327" s="1" t="s">
        <v>3450</v>
      </c>
      <c r="J327" s="1" t="s">
        <v>3451</v>
      </c>
      <c r="K327" s="1" t="s">
        <v>74</v>
      </c>
      <c r="L327" s="1" t="s">
        <v>74</v>
      </c>
      <c r="M327" s="1" t="s">
        <v>74</v>
      </c>
      <c r="N327" s="1" t="s">
        <v>74</v>
      </c>
      <c r="O327" s="1" t="s">
        <v>74</v>
      </c>
      <c r="P327" s="1" t="s">
        <v>74</v>
      </c>
      <c r="Q327" s="1" t="s">
        <v>74</v>
      </c>
      <c r="R327" s="1" t="s">
        <v>74</v>
      </c>
      <c r="S327" s="1" t="s">
        <v>74</v>
      </c>
      <c r="T327" s="1" t="s">
        <v>74</v>
      </c>
      <c r="U327" s="1" t="s">
        <v>74</v>
      </c>
      <c r="V327" s="1" t="s">
        <v>3452</v>
      </c>
      <c r="W327" s="1" t="s">
        <v>74</v>
      </c>
      <c r="X327" s="1" t="s">
        <v>74</v>
      </c>
      <c r="Y327" s="1" t="s">
        <v>74</v>
      </c>
      <c r="Z327" s="1" t="s">
        <v>74</v>
      </c>
      <c r="AA327" s="1" t="s">
        <v>3453</v>
      </c>
      <c r="AB327" s="1" t="s">
        <v>3454</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3455</v>
      </c>
      <c r="AP327" s="1" t="s">
        <v>3456</v>
      </c>
      <c r="AQ327" s="1" t="s">
        <v>74</v>
      </c>
      <c r="AR327" s="1" t="s">
        <v>74</v>
      </c>
      <c r="AS327" s="1" t="s">
        <v>74</v>
      </c>
      <c r="AT327" s="1" t="s">
        <v>385</v>
      </c>
      <c r="AU327" s="1">
        <v>1999.0</v>
      </c>
      <c r="AV327" s="1">
        <v>36.0</v>
      </c>
      <c r="AW327" s="1">
        <v>16.0</v>
      </c>
      <c r="AX327" s="1" t="s">
        <v>74</v>
      </c>
      <c r="AY327" s="1" t="s">
        <v>74</v>
      </c>
      <c r="AZ327" s="1" t="s">
        <v>74</v>
      </c>
      <c r="BA327" s="1" t="s">
        <v>74</v>
      </c>
      <c r="BB327" s="1">
        <v>2341.0</v>
      </c>
      <c r="BC327" s="1">
        <v>2378.0</v>
      </c>
      <c r="BD327" s="1" t="s">
        <v>74</v>
      </c>
      <c r="BE327" s="1" t="s">
        <v>3457</v>
      </c>
      <c r="BF327" s="2" t="str">
        <f>HYPERLINK("http://dx.doi.org/10.1016/S0020-7683(98)00114-0","http://dx.doi.org/10.1016/S0020-7683(98)00114-0")</f>
        <v>http://dx.doi.org/10.1016/S0020-7683(98)00114-0</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3458</v>
      </c>
      <c r="BT327" s="1" t="str">
        <f>HYPERLINK("https%3A%2F%2Fwww.webofscience.com%2Fwos%2Fwoscc%2Ffull-record%2FWOS:000078738100002","View Full Record in Web of Science")</f>
        <v>View Full Record in Web of Science</v>
      </c>
    </row>
    <row r="328" ht="12.75" customHeight="1">
      <c r="A328" s="1" t="s">
        <v>72</v>
      </c>
      <c r="B328" s="1" t="s">
        <v>3459</v>
      </c>
      <c r="C328" s="1" t="s">
        <v>74</v>
      </c>
      <c r="D328" s="1" t="s">
        <v>74</v>
      </c>
      <c r="E328" s="1" t="s">
        <v>74</v>
      </c>
      <c r="F328" s="1" t="s">
        <v>3460</v>
      </c>
      <c r="G328" s="1" t="s">
        <v>74</v>
      </c>
      <c r="H328" s="1" t="s">
        <v>74</v>
      </c>
      <c r="I328" s="1" t="s">
        <v>3461</v>
      </c>
      <c r="J328" s="1" t="s">
        <v>3462</v>
      </c>
      <c r="K328" s="1" t="s">
        <v>74</v>
      </c>
      <c r="L328" s="1" t="s">
        <v>74</v>
      </c>
      <c r="M328" s="1" t="s">
        <v>74</v>
      </c>
      <c r="N328" s="1" t="s">
        <v>74</v>
      </c>
      <c r="O328" s="1" t="s">
        <v>74</v>
      </c>
      <c r="P328" s="1" t="s">
        <v>74</v>
      </c>
      <c r="Q328" s="1" t="s">
        <v>74</v>
      </c>
      <c r="R328" s="1" t="s">
        <v>74</v>
      </c>
      <c r="S328" s="1" t="s">
        <v>74</v>
      </c>
      <c r="T328" s="1" t="s">
        <v>74</v>
      </c>
      <c r="U328" s="1" t="s">
        <v>74</v>
      </c>
      <c r="V328" s="1" t="s">
        <v>3463</v>
      </c>
      <c r="W328" s="1" t="s">
        <v>74</v>
      </c>
      <c r="X328" s="1" t="s">
        <v>74</v>
      </c>
      <c r="Y328" s="1" t="s">
        <v>74</v>
      </c>
      <c r="Z328" s="1" t="s">
        <v>74</v>
      </c>
      <c r="AA328" s="1" t="s">
        <v>74</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3464</v>
      </c>
      <c r="AP328" s="1" t="s">
        <v>3465</v>
      </c>
      <c r="AQ328" s="1" t="s">
        <v>74</v>
      </c>
      <c r="AR328" s="1" t="s">
        <v>74</v>
      </c>
      <c r="AS328" s="1" t="s">
        <v>74</v>
      </c>
      <c r="AT328" s="1" t="s">
        <v>589</v>
      </c>
      <c r="AU328" s="1">
        <v>2025.0</v>
      </c>
      <c r="AV328" s="1">
        <v>309.0</v>
      </c>
      <c r="AW328" s="1" t="s">
        <v>74</v>
      </c>
      <c r="AX328" s="1" t="s">
        <v>74</v>
      </c>
      <c r="AY328" s="1" t="s">
        <v>74</v>
      </c>
      <c r="AZ328" s="1" t="s">
        <v>74</v>
      </c>
      <c r="BA328" s="1" t="s">
        <v>74</v>
      </c>
      <c r="BB328" s="1" t="s">
        <v>74</v>
      </c>
      <c r="BC328" s="1" t="s">
        <v>74</v>
      </c>
      <c r="BD328" s="1">
        <v>121440.0</v>
      </c>
      <c r="BE328" s="1" t="s">
        <v>3466</v>
      </c>
      <c r="BF328" s="2" t="str">
        <f>HYPERLINK("http://dx.doi.org/10.1016/j.ces.2025.121440","http://dx.doi.org/10.1016/j.ces.2025.121440")</f>
        <v>http://dx.doi.org/10.1016/j.ces.2025.121440</v>
      </c>
      <c r="BG328" s="1" t="s">
        <v>74</v>
      </c>
      <c r="BH328" s="1" t="s">
        <v>3467</v>
      </c>
      <c r="BI328" s="1" t="s">
        <v>74</v>
      </c>
      <c r="BJ328" s="1" t="s">
        <v>74</v>
      </c>
      <c r="BK328" s="1" t="s">
        <v>74</v>
      </c>
      <c r="BL328" s="1" t="s">
        <v>74</v>
      </c>
      <c r="BM328" s="1" t="s">
        <v>74</v>
      </c>
      <c r="BN328" s="1" t="s">
        <v>74</v>
      </c>
      <c r="BO328" s="1" t="s">
        <v>74</v>
      </c>
      <c r="BP328" s="1" t="s">
        <v>74</v>
      </c>
      <c r="BQ328" s="1" t="s">
        <v>74</v>
      </c>
      <c r="BR328" s="1" t="s">
        <v>74</v>
      </c>
      <c r="BS328" s="1" t="s">
        <v>3468</v>
      </c>
      <c r="BT328" s="1" t="str">
        <f>HYPERLINK("https%3A%2F%2Fwww.webofscience.com%2Fwos%2Fwoscc%2Ffull-record%2FWOS:001437500400001","View Full Record in Web of Science")</f>
        <v>View Full Record in Web of Science</v>
      </c>
    </row>
    <row r="329" ht="12.75" customHeight="1">
      <c r="A329" s="1" t="s">
        <v>72</v>
      </c>
      <c r="B329" s="1" t="s">
        <v>3469</v>
      </c>
      <c r="C329" s="1" t="s">
        <v>74</v>
      </c>
      <c r="D329" s="1" t="s">
        <v>74</v>
      </c>
      <c r="E329" s="1" t="s">
        <v>74</v>
      </c>
      <c r="F329" s="1" t="s">
        <v>3470</v>
      </c>
      <c r="G329" s="1" t="s">
        <v>74</v>
      </c>
      <c r="H329" s="1" t="s">
        <v>74</v>
      </c>
      <c r="I329" s="1" t="s">
        <v>3471</v>
      </c>
      <c r="J329" s="1" t="s">
        <v>3472</v>
      </c>
      <c r="K329" s="1" t="s">
        <v>74</v>
      </c>
      <c r="L329" s="1" t="s">
        <v>74</v>
      </c>
      <c r="M329" s="1" t="s">
        <v>74</v>
      </c>
      <c r="N329" s="1" t="s">
        <v>74</v>
      </c>
      <c r="O329" s="1" t="s">
        <v>74</v>
      </c>
      <c r="P329" s="1" t="s">
        <v>74</v>
      </c>
      <c r="Q329" s="1" t="s">
        <v>74</v>
      </c>
      <c r="R329" s="1" t="s">
        <v>74</v>
      </c>
      <c r="S329" s="1" t="s">
        <v>74</v>
      </c>
      <c r="T329" s="1" t="s">
        <v>74</v>
      </c>
      <c r="U329" s="1" t="s">
        <v>74</v>
      </c>
      <c r="V329" s="1" t="s">
        <v>3473</v>
      </c>
      <c r="W329" s="1" t="s">
        <v>74</v>
      </c>
      <c r="X329" s="1" t="s">
        <v>74</v>
      </c>
      <c r="Y329" s="1" t="s">
        <v>74</v>
      </c>
      <c r="Z329" s="1" t="s">
        <v>74</v>
      </c>
      <c r="AA329" s="1" t="s">
        <v>3474</v>
      </c>
      <c r="AB329" s="1" t="s">
        <v>3475</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3476</v>
      </c>
      <c r="AP329" s="1" t="s">
        <v>3477</v>
      </c>
      <c r="AQ329" s="1" t="s">
        <v>74</v>
      </c>
      <c r="AR329" s="1" t="s">
        <v>74</v>
      </c>
      <c r="AS329" s="1" t="s">
        <v>74</v>
      </c>
      <c r="AT329" s="1" t="s">
        <v>1082</v>
      </c>
      <c r="AU329" s="1">
        <v>2024.0</v>
      </c>
      <c r="AV329" s="1">
        <v>38.0</v>
      </c>
      <c r="AW329" s="1">
        <v>11.0</v>
      </c>
      <c r="AX329" s="1" t="s">
        <v>74</v>
      </c>
      <c r="AY329" s="1" t="s">
        <v>74</v>
      </c>
      <c r="AZ329" s="1" t="s">
        <v>74</v>
      </c>
      <c r="BA329" s="1" t="s">
        <v>74</v>
      </c>
      <c r="BB329" s="1" t="s">
        <v>74</v>
      </c>
      <c r="BC329" s="1" t="s">
        <v>74</v>
      </c>
      <c r="BD329" s="1" t="s">
        <v>74</v>
      </c>
      <c r="BE329" s="1" t="s">
        <v>3478</v>
      </c>
      <c r="BF329" s="2" t="str">
        <f>HYPERLINK("http://dx.doi.org/10.1002/aoc.7684","http://dx.doi.org/10.1002/aoc.7684")</f>
        <v>http://dx.doi.org/10.1002/aoc.7684</v>
      </c>
      <c r="BG329" s="1" t="s">
        <v>74</v>
      </c>
      <c r="BH329" s="1" t="s">
        <v>3479</v>
      </c>
      <c r="BI329" s="1" t="s">
        <v>74</v>
      </c>
      <c r="BJ329" s="1" t="s">
        <v>74</v>
      </c>
      <c r="BK329" s="1" t="s">
        <v>74</v>
      </c>
      <c r="BL329" s="1" t="s">
        <v>74</v>
      </c>
      <c r="BM329" s="1" t="s">
        <v>74</v>
      </c>
      <c r="BN329" s="1" t="s">
        <v>74</v>
      </c>
      <c r="BO329" s="1" t="s">
        <v>74</v>
      </c>
      <c r="BP329" s="1" t="s">
        <v>74</v>
      </c>
      <c r="BQ329" s="1" t="s">
        <v>74</v>
      </c>
      <c r="BR329" s="1" t="s">
        <v>74</v>
      </c>
      <c r="BS329" s="1" t="s">
        <v>3480</v>
      </c>
      <c r="BT329" s="1" t="str">
        <f>HYPERLINK("https%3A%2F%2Fwww.webofscience.com%2Fwos%2Fwoscc%2Ffull-record%2FWOS:001289327000001","View Full Record in Web of Science")</f>
        <v>View Full Record in Web of Science</v>
      </c>
    </row>
    <row r="330" ht="12.75" customHeight="1">
      <c r="A330" s="1" t="s">
        <v>72</v>
      </c>
      <c r="B330" s="1" t="s">
        <v>3481</v>
      </c>
      <c r="C330" s="1" t="s">
        <v>74</v>
      </c>
      <c r="D330" s="1" t="s">
        <v>74</v>
      </c>
      <c r="E330" s="1" t="s">
        <v>74</v>
      </c>
      <c r="F330" s="1" t="s">
        <v>3482</v>
      </c>
      <c r="G330" s="1" t="s">
        <v>74</v>
      </c>
      <c r="H330" s="1" t="s">
        <v>74</v>
      </c>
      <c r="I330" s="1" t="s">
        <v>3483</v>
      </c>
      <c r="J330" s="1" t="s">
        <v>3484</v>
      </c>
      <c r="K330" s="1" t="s">
        <v>74</v>
      </c>
      <c r="L330" s="1" t="s">
        <v>74</v>
      </c>
      <c r="M330" s="1" t="s">
        <v>74</v>
      </c>
      <c r="N330" s="1" t="s">
        <v>74</v>
      </c>
      <c r="O330" s="1" t="s">
        <v>74</v>
      </c>
      <c r="P330" s="1" t="s">
        <v>74</v>
      </c>
      <c r="Q330" s="1" t="s">
        <v>74</v>
      </c>
      <c r="R330" s="1" t="s">
        <v>74</v>
      </c>
      <c r="S330" s="1" t="s">
        <v>74</v>
      </c>
      <c r="T330" s="1" t="s">
        <v>74</v>
      </c>
      <c r="U330" s="1" t="s">
        <v>74</v>
      </c>
      <c r="V330" s="1" t="s">
        <v>3485</v>
      </c>
      <c r="W330" s="1" t="s">
        <v>74</v>
      </c>
      <c r="X330" s="1" t="s">
        <v>74</v>
      </c>
      <c r="Y330" s="1" t="s">
        <v>74</v>
      </c>
      <c r="Z330" s="1" t="s">
        <v>74</v>
      </c>
      <c r="AA330" s="1" t="s">
        <v>3486</v>
      </c>
      <c r="AB330" s="1" t="s">
        <v>3487</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3488</v>
      </c>
      <c r="AP330" s="1" t="s">
        <v>74</v>
      </c>
      <c r="AQ330" s="1" t="s">
        <v>74</v>
      </c>
      <c r="AR330" s="1" t="s">
        <v>74</v>
      </c>
      <c r="AS330" s="1" t="s">
        <v>74</v>
      </c>
      <c r="AT330" s="1" t="s">
        <v>3489</v>
      </c>
      <c r="AU330" s="1">
        <v>2024.0</v>
      </c>
      <c r="AV330" s="1">
        <v>43.0</v>
      </c>
      <c r="AW330" s="1">
        <v>5.0</v>
      </c>
      <c r="AX330" s="1" t="s">
        <v>74</v>
      </c>
      <c r="AY330" s="1" t="s">
        <v>74</v>
      </c>
      <c r="AZ330" s="1" t="s">
        <v>74</v>
      </c>
      <c r="BA330" s="1" t="s">
        <v>74</v>
      </c>
      <c r="BB330" s="1" t="s">
        <v>74</v>
      </c>
      <c r="BC330" s="1" t="s">
        <v>74</v>
      </c>
      <c r="BD330" s="1">
        <v>114144.0</v>
      </c>
      <c r="BE330" s="1" t="s">
        <v>3490</v>
      </c>
      <c r="BF330" s="2" t="str">
        <f>HYPERLINK("http://dx.doi.org/10.1016/j.celrep.2024.114144","http://dx.doi.org/10.1016/j.celrep.2024.114144")</f>
        <v>http://dx.doi.org/10.1016/j.celrep.2024.114144</v>
      </c>
      <c r="BG330" s="1" t="s">
        <v>74</v>
      </c>
      <c r="BH330" s="1" t="s">
        <v>3491</v>
      </c>
      <c r="BI330" s="1" t="s">
        <v>74</v>
      </c>
      <c r="BJ330" s="1" t="s">
        <v>74</v>
      </c>
      <c r="BK330" s="1" t="s">
        <v>74</v>
      </c>
      <c r="BL330" s="1" t="s">
        <v>74</v>
      </c>
      <c r="BM330" s="1" t="s">
        <v>74</v>
      </c>
      <c r="BN330" s="1">
        <v>3.8656874E7</v>
      </c>
      <c r="BO330" s="1" t="s">
        <v>74</v>
      </c>
      <c r="BP330" s="1" t="s">
        <v>74</v>
      </c>
      <c r="BQ330" s="1" t="s">
        <v>74</v>
      </c>
      <c r="BR330" s="1" t="s">
        <v>74</v>
      </c>
      <c r="BS330" s="1" t="s">
        <v>3492</v>
      </c>
      <c r="BT330" s="1" t="str">
        <f>HYPERLINK("https%3A%2F%2Fwww.webofscience.com%2Fwos%2Fwoscc%2Ffull-record%2FWOS:001295847100001","View Full Record in Web of Science")</f>
        <v>View Full Record in Web of Science</v>
      </c>
    </row>
    <row r="331" ht="12.75" customHeight="1">
      <c r="A331" s="1" t="s">
        <v>72</v>
      </c>
      <c r="B331" s="1" t="s">
        <v>3493</v>
      </c>
      <c r="C331" s="1" t="s">
        <v>74</v>
      </c>
      <c r="D331" s="1" t="s">
        <v>74</v>
      </c>
      <c r="E331" s="1" t="s">
        <v>74</v>
      </c>
      <c r="F331" s="1" t="s">
        <v>3494</v>
      </c>
      <c r="G331" s="1" t="s">
        <v>74</v>
      </c>
      <c r="H331" s="1" t="s">
        <v>74</v>
      </c>
      <c r="I331" s="1" t="s">
        <v>3495</v>
      </c>
      <c r="J331" s="1" t="s">
        <v>3496</v>
      </c>
      <c r="K331" s="1" t="s">
        <v>74</v>
      </c>
      <c r="L331" s="1" t="s">
        <v>74</v>
      </c>
      <c r="M331" s="1" t="s">
        <v>74</v>
      </c>
      <c r="N331" s="1" t="s">
        <v>74</v>
      </c>
      <c r="O331" s="1" t="s">
        <v>74</v>
      </c>
      <c r="P331" s="1" t="s">
        <v>74</v>
      </c>
      <c r="Q331" s="1" t="s">
        <v>74</v>
      </c>
      <c r="R331" s="1" t="s">
        <v>74</v>
      </c>
      <c r="S331" s="1" t="s">
        <v>74</v>
      </c>
      <c r="T331" s="1" t="s">
        <v>74</v>
      </c>
      <c r="U331" s="1" t="s">
        <v>74</v>
      </c>
      <c r="V331" s="1" t="s">
        <v>3497</v>
      </c>
      <c r="W331" s="1" t="s">
        <v>74</v>
      </c>
      <c r="X331" s="1" t="s">
        <v>74</v>
      </c>
      <c r="Y331" s="1" t="s">
        <v>74</v>
      </c>
      <c r="Z331" s="1" t="s">
        <v>74</v>
      </c>
      <c r="AA331" s="1" t="s">
        <v>74</v>
      </c>
      <c r="AB331" s="1" t="s">
        <v>3498</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74</v>
      </c>
      <c r="AP331" s="1" t="s">
        <v>3499</v>
      </c>
      <c r="AQ331" s="1" t="s">
        <v>74</v>
      </c>
      <c r="AR331" s="1" t="s">
        <v>74</v>
      </c>
      <c r="AS331" s="1" t="s">
        <v>74</v>
      </c>
      <c r="AT331" s="1" t="s">
        <v>308</v>
      </c>
      <c r="AU331" s="1">
        <v>2024.0</v>
      </c>
      <c r="AV331" s="1">
        <v>8.0</v>
      </c>
      <c r="AW331" s="1">
        <v>2.0</v>
      </c>
      <c r="AX331" s="1" t="s">
        <v>74</v>
      </c>
      <c r="AY331" s="1" t="s">
        <v>74</v>
      </c>
      <c r="AZ331" s="1" t="s">
        <v>74</v>
      </c>
      <c r="BA331" s="1" t="s">
        <v>74</v>
      </c>
      <c r="BB331" s="1" t="s">
        <v>74</v>
      </c>
      <c r="BC331" s="1" t="s">
        <v>74</v>
      </c>
      <c r="BD331" s="1">
        <v>24.0</v>
      </c>
      <c r="BE331" s="1" t="s">
        <v>3500</v>
      </c>
      <c r="BF331" s="2" t="str">
        <f>HYPERLINK("http://dx.doi.org/10.3390/colloids8020024","http://dx.doi.org/10.3390/colloids8020024")</f>
        <v>http://dx.doi.org/10.3390/colloids8020024</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3501</v>
      </c>
      <c r="BT331" s="1" t="str">
        <f>HYPERLINK("https%3A%2F%2Fwww.webofscience.com%2Fwos%2Fwoscc%2Ffull-record%2FWOS:001211268500001","View Full Record in Web of Science")</f>
        <v>View Full Record in Web of Science</v>
      </c>
    </row>
    <row r="332" ht="12.75" customHeight="1">
      <c r="A332" s="1" t="s">
        <v>72</v>
      </c>
      <c r="B332" s="1" t="s">
        <v>3502</v>
      </c>
      <c r="C332" s="1" t="s">
        <v>74</v>
      </c>
      <c r="D332" s="1" t="s">
        <v>74</v>
      </c>
      <c r="E332" s="1" t="s">
        <v>74</v>
      </c>
      <c r="F332" s="1" t="s">
        <v>3503</v>
      </c>
      <c r="G332" s="1" t="s">
        <v>74</v>
      </c>
      <c r="H332" s="1" t="s">
        <v>74</v>
      </c>
      <c r="I332" s="1" t="s">
        <v>3504</v>
      </c>
      <c r="J332" s="1" t="s">
        <v>3505</v>
      </c>
      <c r="K332" s="1" t="s">
        <v>74</v>
      </c>
      <c r="L332" s="1" t="s">
        <v>74</v>
      </c>
      <c r="M332" s="1" t="s">
        <v>74</v>
      </c>
      <c r="N332" s="1" t="s">
        <v>74</v>
      </c>
      <c r="O332" s="1" t="s">
        <v>74</v>
      </c>
      <c r="P332" s="1" t="s">
        <v>74</v>
      </c>
      <c r="Q332" s="1" t="s">
        <v>74</v>
      </c>
      <c r="R332" s="1" t="s">
        <v>74</v>
      </c>
      <c r="S332" s="1" t="s">
        <v>74</v>
      </c>
      <c r="T332" s="1" t="s">
        <v>74</v>
      </c>
      <c r="U332" s="1" t="s">
        <v>74</v>
      </c>
      <c r="V332" s="1" t="s">
        <v>3506</v>
      </c>
      <c r="W332" s="1" t="s">
        <v>74</v>
      </c>
      <c r="X332" s="1" t="s">
        <v>74</v>
      </c>
      <c r="Y332" s="1" t="s">
        <v>74</v>
      </c>
      <c r="Z332" s="1" t="s">
        <v>74</v>
      </c>
      <c r="AA332" s="1" t="s">
        <v>3507</v>
      </c>
      <c r="AB332" s="1" t="s">
        <v>3508</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3509</v>
      </c>
      <c r="AP332" s="1" t="s">
        <v>3510</v>
      </c>
      <c r="AQ332" s="1" t="s">
        <v>74</v>
      </c>
      <c r="AR332" s="1" t="s">
        <v>74</v>
      </c>
      <c r="AS332" s="1" t="s">
        <v>74</v>
      </c>
      <c r="AT332" s="1" t="s">
        <v>74</v>
      </c>
      <c r="AU332" s="1">
        <v>2024.0</v>
      </c>
      <c r="AV332" s="1">
        <v>32.0</v>
      </c>
      <c r="AW332" s="1">
        <v>3.0</v>
      </c>
      <c r="AX332" s="1" t="s">
        <v>74</v>
      </c>
      <c r="AY332" s="1" t="s">
        <v>74</v>
      </c>
      <c r="AZ332" s="1" t="s">
        <v>74</v>
      </c>
      <c r="BA332" s="1" t="s">
        <v>74</v>
      </c>
      <c r="BB332" s="1">
        <v>199.0</v>
      </c>
      <c r="BC332" s="1">
        <v>208.0</v>
      </c>
      <c r="BD332" s="1" t="s">
        <v>74</v>
      </c>
      <c r="BE332" s="1" t="s">
        <v>3511</v>
      </c>
      <c r="BF332" s="2" t="str">
        <f>HYPERLINK("http://dx.doi.org/10.3233/IES-230073","http://dx.doi.org/10.3233/IES-230073")</f>
        <v>http://dx.doi.org/10.3233/IES-230073</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3512</v>
      </c>
      <c r="BT332" s="1" t="str">
        <f>HYPERLINK("https%3A%2F%2Fwww.webofscience.com%2Fwos%2Fwoscc%2Ffull-record%2FWOS:001265081600002","View Full Record in Web of Science")</f>
        <v>View Full Record in Web of Science</v>
      </c>
    </row>
    <row r="333" ht="12.75" customHeight="1">
      <c r="A333" s="1" t="s">
        <v>154</v>
      </c>
      <c r="B333" s="1" t="s">
        <v>3513</v>
      </c>
      <c r="C333" s="1" t="s">
        <v>74</v>
      </c>
      <c r="D333" s="1" t="s">
        <v>74</v>
      </c>
      <c r="E333" s="1" t="s">
        <v>323</v>
      </c>
      <c r="F333" s="1" t="s">
        <v>3514</v>
      </c>
      <c r="G333" s="1" t="s">
        <v>74</v>
      </c>
      <c r="H333" s="1" t="s">
        <v>74</v>
      </c>
      <c r="I333" s="1" t="s">
        <v>3515</v>
      </c>
      <c r="J333" s="1" t="s">
        <v>711</v>
      </c>
      <c r="K333" s="1" t="s">
        <v>712</v>
      </c>
      <c r="L333" s="1" t="s">
        <v>74</v>
      </c>
      <c r="M333" s="1" t="s">
        <v>74</v>
      </c>
      <c r="N333" s="1" t="s">
        <v>74</v>
      </c>
      <c r="O333" s="1" t="s">
        <v>713</v>
      </c>
      <c r="P333" s="1" t="s">
        <v>714</v>
      </c>
      <c r="Q333" s="1" t="s">
        <v>715</v>
      </c>
      <c r="R333" s="1" t="s">
        <v>74</v>
      </c>
      <c r="S333" s="1" t="s">
        <v>74</v>
      </c>
      <c r="T333" s="1" t="s">
        <v>74</v>
      </c>
      <c r="U333" s="1" t="s">
        <v>74</v>
      </c>
      <c r="V333" s="1" t="s">
        <v>3516</v>
      </c>
      <c r="W333" s="1" t="s">
        <v>74</v>
      </c>
      <c r="X333" s="1" t="s">
        <v>74</v>
      </c>
      <c r="Y333" s="1" t="s">
        <v>74</v>
      </c>
      <c r="Z333" s="1" t="s">
        <v>74</v>
      </c>
      <c r="AA333" s="1" t="s">
        <v>3517</v>
      </c>
      <c r="AB333" s="1" t="s">
        <v>3518</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718</v>
      </c>
      <c r="AP333" s="1" t="s">
        <v>74</v>
      </c>
      <c r="AQ333" s="1" t="s">
        <v>719</v>
      </c>
      <c r="AR333" s="1" t="s">
        <v>74</v>
      </c>
      <c r="AS333" s="1" t="s">
        <v>74</v>
      </c>
      <c r="AT333" s="1" t="s">
        <v>74</v>
      </c>
      <c r="AU333" s="1">
        <v>2024.0</v>
      </c>
      <c r="AV333" s="1" t="s">
        <v>74</v>
      </c>
      <c r="AW333" s="1" t="s">
        <v>74</v>
      </c>
      <c r="AX333" s="1" t="s">
        <v>74</v>
      </c>
      <c r="AY333" s="1" t="s">
        <v>74</v>
      </c>
      <c r="AZ333" s="1" t="s">
        <v>74</v>
      </c>
      <c r="BA333" s="1" t="s">
        <v>74</v>
      </c>
      <c r="BB333" s="1">
        <v>330.0</v>
      </c>
      <c r="BC333" s="1">
        <v>335.0</v>
      </c>
      <c r="BD333" s="1" t="s">
        <v>74</v>
      </c>
      <c r="BE333" s="1" t="s">
        <v>3519</v>
      </c>
      <c r="BF333" s="2" t="str">
        <f>HYPERLINK("http://dx.doi.org/10.1109/CSNDSP60683.2024.10636616","http://dx.doi.org/10.1109/CSNDSP60683.2024.10636616")</f>
        <v>http://dx.doi.org/10.1109/CSNDSP60683.2024.10636616</v>
      </c>
      <c r="BG333" s="1" t="s">
        <v>74</v>
      </c>
      <c r="BH333" s="1" t="s">
        <v>74</v>
      </c>
      <c r="BI333" s="1" t="s">
        <v>74</v>
      </c>
      <c r="BJ333" s="1" t="s">
        <v>74</v>
      </c>
      <c r="BK333" s="1" t="s">
        <v>74</v>
      </c>
      <c r="BL333" s="1" t="s">
        <v>74</v>
      </c>
      <c r="BM333" s="1" t="s">
        <v>74</v>
      </c>
      <c r="BN333" s="1" t="s">
        <v>74</v>
      </c>
      <c r="BO333" s="1" t="s">
        <v>74</v>
      </c>
      <c r="BP333" s="1" t="s">
        <v>74</v>
      </c>
      <c r="BQ333" s="1" t="s">
        <v>74</v>
      </c>
      <c r="BR333" s="1" t="s">
        <v>74</v>
      </c>
      <c r="BS333" s="1" t="s">
        <v>3520</v>
      </c>
      <c r="BT333" s="1" t="str">
        <f>HYPERLINK("https%3A%2F%2Fwww.webofscience.com%2Fwos%2Fwoscc%2Ffull-record%2FWOS:001324588800063","View Full Record in Web of Science")</f>
        <v>View Full Record in Web of Science</v>
      </c>
    </row>
    <row r="334" ht="12.75" customHeight="1">
      <c r="A334" s="1" t="s">
        <v>1844</v>
      </c>
      <c r="B334" s="1" t="s">
        <v>3521</v>
      </c>
      <c r="C334" s="1" t="s">
        <v>3521</v>
      </c>
      <c r="D334" s="1" t="s">
        <v>74</v>
      </c>
      <c r="E334" s="1" t="s">
        <v>74</v>
      </c>
      <c r="F334" s="1" t="s">
        <v>3522</v>
      </c>
      <c r="G334" s="1" t="s">
        <v>3521</v>
      </c>
      <c r="H334" s="1" t="s">
        <v>74</v>
      </c>
      <c r="I334" s="1" t="s">
        <v>3523</v>
      </c>
      <c r="J334" s="1" t="s">
        <v>3524</v>
      </c>
      <c r="K334" s="1" t="s">
        <v>3525</v>
      </c>
      <c r="L334" s="1" t="s">
        <v>74</v>
      </c>
      <c r="M334" s="1" t="s">
        <v>74</v>
      </c>
      <c r="N334" s="1" t="s">
        <v>74</v>
      </c>
      <c r="O334" s="1" t="s">
        <v>74</v>
      </c>
      <c r="P334" s="1" t="s">
        <v>74</v>
      </c>
      <c r="Q334" s="1" t="s">
        <v>74</v>
      </c>
      <c r="R334" s="1" t="s">
        <v>74</v>
      </c>
      <c r="S334" s="1" t="s">
        <v>74</v>
      </c>
      <c r="T334" s="1" t="s">
        <v>74</v>
      </c>
      <c r="U334" s="1" t="s">
        <v>74</v>
      </c>
      <c r="V334" s="1" t="s">
        <v>74</v>
      </c>
      <c r="W334" s="1" t="s">
        <v>74</v>
      </c>
      <c r="X334" s="1" t="s">
        <v>74</v>
      </c>
      <c r="Y334" s="1" t="s">
        <v>74</v>
      </c>
      <c r="Z334" s="1" t="s">
        <v>74</v>
      </c>
      <c r="AA334" s="1" t="s">
        <v>3526</v>
      </c>
      <c r="AB334" s="1" t="s">
        <v>74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74</v>
      </c>
      <c r="AP334" s="1" t="s">
        <v>74</v>
      </c>
      <c r="AQ334" s="1" t="s">
        <v>3527</v>
      </c>
      <c r="AR334" s="1" t="s">
        <v>74</v>
      </c>
      <c r="AS334" s="1" t="s">
        <v>74</v>
      </c>
      <c r="AT334" s="1" t="s">
        <v>74</v>
      </c>
      <c r="AU334" s="1">
        <v>2023.0</v>
      </c>
      <c r="AV334" s="1" t="s">
        <v>74</v>
      </c>
      <c r="AW334" s="1" t="s">
        <v>74</v>
      </c>
      <c r="AX334" s="1" t="s">
        <v>74</v>
      </c>
      <c r="AY334" s="1" t="s">
        <v>74</v>
      </c>
      <c r="AZ334" s="1" t="s">
        <v>74</v>
      </c>
      <c r="BA334" s="1" t="s">
        <v>74</v>
      </c>
      <c r="BB334" s="1">
        <v>1.0</v>
      </c>
      <c r="BC334" s="1">
        <v>28.0</v>
      </c>
      <c r="BD334" s="1" t="s">
        <v>74</v>
      </c>
      <c r="BE334" s="1" t="s">
        <v>3528</v>
      </c>
      <c r="BF334" s="2" t="str">
        <f>HYPERLINK("http://dx.doi.org/10.4324/9781003355557-1","http://dx.doi.org/10.4324/9781003355557-1")</f>
        <v>http://dx.doi.org/10.4324/9781003355557-1</v>
      </c>
      <c r="BG334" s="1" t="s">
        <v>3529</v>
      </c>
      <c r="BH334" s="1" t="s">
        <v>74</v>
      </c>
      <c r="BI334" s="1" t="s">
        <v>74</v>
      </c>
      <c r="BJ334" s="1" t="s">
        <v>74</v>
      </c>
      <c r="BK334" s="1" t="s">
        <v>74</v>
      </c>
      <c r="BL334" s="1" t="s">
        <v>74</v>
      </c>
      <c r="BM334" s="1" t="s">
        <v>74</v>
      </c>
      <c r="BN334" s="1" t="s">
        <v>74</v>
      </c>
      <c r="BO334" s="1" t="s">
        <v>74</v>
      </c>
      <c r="BP334" s="1" t="s">
        <v>74</v>
      </c>
      <c r="BQ334" s="1" t="s">
        <v>74</v>
      </c>
      <c r="BR334" s="1" t="s">
        <v>74</v>
      </c>
      <c r="BS334" s="1" t="s">
        <v>3530</v>
      </c>
      <c r="BT334" s="1" t="str">
        <f>HYPERLINK("https%3A%2F%2Fwww.webofscience.com%2Fwos%2Fwoscc%2Ffull-record%2FWOS:001198018700001","View Full Record in Web of Science")</f>
        <v>View Full Record in Web of Science</v>
      </c>
    </row>
    <row r="335" ht="12.75" customHeight="1">
      <c r="A335" s="1" t="s">
        <v>72</v>
      </c>
      <c r="B335" s="1" t="s">
        <v>3531</v>
      </c>
      <c r="C335" s="1" t="s">
        <v>74</v>
      </c>
      <c r="D335" s="1" t="s">
        <v>74</v>
      </c>
      <c r="E335" s="1" t="s">
        <v>74</v>
      </c>
      <c r="F335" s="1" t="s">
        <v>3532</v>
      </c>
      <c r="G335" s="1" t="s">
        <v>74</v>
      </c>
      <c r="H335" s="1" t="s">
        <v>74</v>
      </c>
      <c r="I335" s="1" t="s">
        <v>3533</v>
      </c>
      <c r="J335" s="1" t="s">
        <v>526</v>
      </c>
      <c r="K335" s="1" t="s">
        <v>74</v>
      </c>
      <c r="L335" s="1" t="s">
        <v>74</v>
      </c>
      <c r="M335" s="1" t="s">
        <v>74</v>
      </c>
      <c r="N335" s="1" t="s">
        <v>74</v>
      </c>
      <c r="O335" s="1" t="s">
        <v>74</v>
      </c>
      <c r="P335" s="1" t="s">
        <v>74</v>
      </c>
      <c r="Q335" s="1" t="s">
        <v>74</v>
      </c>
      <c r="R335" s="1" t="s">
        <v>74</v>
      </c>
      <c r="S335" s="1" t="s">
        <v>74</v>
      </c>
      <c r="T335" s="1" t="s">
        <v>74</v>
      </c>
      <c r="U335" s="1" t="s">
        <v>74</v>
      </c>
      <c r="V335" s="1" t="s">
        <v>3534</v>
      </c>
      <c r="W335" s="1" t="s">
        <v>74</v>
      </c>
      <c r="X335" s="1" t="s">
        <v>74</v>
      </c>
      <c r="Y335" s="1" t="s">
        <v>74</v>
      </c>
      <c r="Z335" s="1" t="s">
        <v>74</v>
      </c>
      <c r="AA335" s="1" t="s">
        <v>3535</v>
      </c>
      <c r="AB335" s="1" t="s">
        <v>3536</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529</v>
      </c>
      <c r="AP335" s="1" t="s">
        <v>530</v>
      </c>
      <c r="AQ335" s="1" t="s">
        <v>74</v>
      </c>
      <c r="AR335" s="1" t="s">
        <v>74</v>
      </c>
      <c r="AS335" s="1" t="s">
        <v>74</v>
      </c>
      <c r="AT335" s="1" t="s">
        <v>3537</v>
      </c>
      <c r="AU335" s="1">
        <v>2022.0</v>
      </c>
      <c r="AV335" s="1">
        <v>299.0</v>
      </c>
      <c r="AW335" s="1" t="s">
        <v>74</v>
      </c>
      <c r="AX335" s="1" t="s">
        <v>74</v>
      </c>
      <c r="AY335" s="1" t="s">
        <v>74</v>
      </c>
      <c r="AZ335" s="1" t="s">
        <v>74</v>
      </c>
      <c r="BA335" s="1" t="s">
        <v>74</v>
      </c>
      <c r="BB335" s="1" t="s">
        <v>74</v>
      </c>
      <c r="BC335" s="1" t="s">
        <v>74</v>
      </c>
      <c r="BD335" s="1">
        <v>121708.0</v>
      </c>
      <c r="BE335" s="1" t="s">
        <v>3538</v>
      </c>
      <c r="BF335" s="2" t="str">
        <f>HYPERLINK("http://dx.doi.org/10.1016/j.seppur.2022.121708","http://dx.doi.org/10.1016/j.seppur.2022.121708")</f>
        <v>http://dx.doi.org/10.1016/j.seppur.2022.121708</v>
      </c>
      <c r="BG335" s="1" t="s">
        <v>74</v>
      </c>
      <c r="BH335" s="1" t="s">
        <v>3539</v>
      </c>
      <c r="BI335" s="1" t="s">
        <v>74</v>
      </c>
      <c r="BJ335" s="1" t="s">
        <v>74</v>
      </c>
      <c r="BK335" s="1" t="s">
        <v>74</v>
      </c>
      <c r="BL335" s="1" t="s">
        <v>74</v>
      </c>
      <c r="BM335" s="1" t="s">
        <v>74</v>
      </c>
      <c r="BN335" s="1" t="s">
        <v>74</v>
      </c>
      <c r="BO335" s="1" t="s">
        <v>74</v>
      </c>
      <c r="BP335" s="1" t="s">
        <v>74</v>
      </c>
      <c r="BQ335" s="1" t="s">
        <v>74</v>
      </c>
      <c r="BR335" s="1" t="s">
        <v>74</v>
      </c>
      <c r="BS335" s="1" t="s">
        <v>3540</v>
      </c>
      <c r="BT335" s="1" t="str">
        <f>HYPERLINK("https%3A%2F%2Fwww.webofscience.com%2Fwos%2Fwoscc%2Ffull-record%2FWOS:000831686800004","View Full Record in Web of Science")</f>
        <v>View Full Record in Web of Science</v>
      </c>
    </row>
    <row r="336" ht="12.75" customHeight="1">
      <c r="A336" s="1" t="s">
        <v>72</v>
      </c>
      <c r="B336" s="1" t="s">
        <v>3541</v>
      </c>
      <c r="C336" s="1" t="s">
        <v>74</v>
      </c>
      <c r="D336" s="1" t="s">
        <v>74</v>
      </c>
      <c r="E336" s="1" t="s">
        <v>74</v>
      </c>
      <c r="F336" s="1" t="s">
        <v>3542</v>
      </c>
      <c r="G336" s="1" t="s">
        <v>74</v>
      </c>
      <c r="H336" s="1" t="s">
        <v>74</v>
      </c>
      <c r="I336" s="1" t="s">
        <v>3543</v>
      </c>
      <c r="J336" s="1" t="s">
        <v>3544</v>
      </c>
      <c r="K336" s="1" t="s">
        <v>74</v>
      </c>
      <c r="L336" s="1" t="s">
        <v>74</v>
      </c>
      <c r="M336" s="1" t="s">
        <v>74</v>
      </c>
      <c r="N336" s="1" t="s">
        <v>74</v>
      </c>
      <c r="O336" s="1" t="s">
        <v>74</v>
      </c>
      <c r="P336" s="1" t="s">
        <v>74</v>
      </c>
      <c r="Q336" s="1" t="s">
        <v>74</v>
      </c>
      <c r="R336" s="1" t="s">
        <v>74</v>
      </c>
      <c r="S336" s="1" t="s">
        <v>74</v>
      </c>
      <c r="T336" s="1" t="s">
        <v>74</v>
      </c>
      <c r="U336" s="1" t="s">
        <v>74</v>
      </c>
      <c r="V336" s="1" t="s">
        <v>3545</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3546</v>
      </c>
      <c r="AP336" s="1" t="s">
        <v>74</v>
      </c>
      <c r="AQ336" s="1" t="s">
        <v>74</v>
      </c>
      <c r="AR336" s="1" t="s">
        <v>74</v>
      </c>
      <c r="AS336" s="1" t="s">
        <v>74</v>
      </c>
      <c r="AT336" s="1" t="s">
        <v>3547</v>
      </c>
      <c r="AU336" s="1">
        <v>2021.0</v>
      </c>
      <c r="AV336" s="1">
        <v>14.0</v>
      </c>
      <c r="AW336" s="1">
        <v>40.0</v>
      </c>
      <c r="AX336" s="1" t="s">
        <v>74</v>
      </c>
      <c r="AY336" s="1" t="s">
        <v>74</v>
      </c>
      <c r="AZ336" s="1" t="s">
        <v>74</v>
      </c>
      <c r="BA336" s="1" t="s">
        <v>74</v>
      </c>
      <c r="BB336" s="1">
        <v>38.0</v>
      </c>
      <c r="BC336" s="1">
        <v>59.0</v>
      </c>
      <c r="BD336" s="1" t="s">
        <v>74</v>
      </c>
      <c r="BE336" s="1" t="s">
        <v>74</v>
      </c>
      <c r="BF336" s="1" t="s">
        <v>74</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3548</v>
      </c>
      <c r="BT336" s="1" t="str">
        <f>HYPERLINK("https%3A%2F%2Fwww.webofscience.com%2Fwos%2Fwoscc%2Ffull-record%2FWOS:000636429300004","View Full Record in Web of Science")</f>
        <v>View Full Record in Web of Science</v>
      </c>
    </row>
    <row r="337" ht="12.75" customHeight="1">
      <c r="A337" s="1" t="s">
        <v>72</v>
      </c>
      <c r="B337" s="1" t="s">
        <v>3549</v>
      </c>
      <c r="C337" s="1" t="s">
        <v>74</v>
      </c>
      <c r="D337" s="1" t="s">
        <v>74</v>
      </c>
      <c r="E337" s="1" t="s">
        <v>74</v>
      </c>
      <c r="F337" s="1" t="s">
        <v>3550</v>
      </c>
      <c r="G337" s="1" t="s">
        <v>74</v>
      </c>
      <c r="H337" s="1" t="s">
        <v>74</v>
      </c>
      <c r="I337" s="1" t="s">
        <v>3551</v>
      </c>
      <c r="J337" s="1" t="s">
        <v>3552</v>
      </c>
      <c r="K337" s="1" t="s">
        <v>74</v>
      </c>
      <c r="L337" s="1" t="s">
        <v>74</v>
      </c>
      <c r="M337" s="1" t="s">
        <v>74</v>
      </c>
      <c r="N337" s="1" t="s">
        <v>74</v>
      </c>
      <c r="O337" s="1" t="s">
        <v>74</v>
      </c>
      <c r="P337" s="1" t="s">
        <v>74</v>
      </c>
      <c r="Q337" s="1" t="s">
        <v>74</v>
      </c>
      <c r="R337" s="1" t="s">
        <v>74</v>
      </c>
      <c r="S337" s="1" t="s">
        <v>74</v>
      </c>
      <c r="T337" s="1" t="s">
        <v>74</v>
      </c>
      <c r="U337" s="1" t="s">
        <v>74</v>
      </c>
      <c r="V337" s="1" t="s">
        <v>3553</v>
      </c>
      <c r="W337" s="1" t="s">
        <v>74</v>
      </c>
      <c r="X337" s="1" t="s">
        <v>74</v>
      </c>
      <c r="Y337" s="1" t="s">
        <v>74</v>
      </c>
      <c r="Z337" s="1" t="s">
        <v>74</v>
      </c>
      <c r="AA337" s="1" t="s">
        <v>3554</v>
      </c>
      <c r="AB337" s="1" t="s">
        <v>3555</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74</v>
      </c>
      <c r="AP337" s="1" t="s">
        <v>3556</v>
      </c>
      <c r="AQ337" s="1" t="s">
        <v>74</v>
      </c>
      <c r="AR337" s="1" t="s">
        <v>74</v>
      </c>
      <c r="AS337" s="1" t="s">
        <v>74</v>
      </c>
      <c r="AT337" s="1" t="s">
        <v>1178</v>
      </c>
      <c r="AU337" s="1">
        <v>2021.0</v>
      </c>
      <c r="AV337" s="1">
        <v>5.0</v>
      </c>
      <c r="AW337" s="1">
        <v>20.0</v>
      </c>
      <c r="AX337" s="1" t="s">
        <v>74</v>
      </c>
      <c r="AY337" s="1" t="s">
        <v>74</v>
      </c>
      <c r="AZ337" s="1" t="s">
        <v>74</v>
      </c>
      <c r="BA337" s="1" t="s">
        <v>74</v>
      </c>
      <c r="BB337" s="1">
        <v>7529.0</v>
      </c>
      <c r="BC337" s="1">
        <v>7539.0</v>
      </c>
      <c r="BD337" s="1" t="s">
        <v>74</v>
      </c>
      <c r="BE337" s="1" t="s">
        <v>3557</v>
      </c>
      <c r="BF337" s="2" t="str">
        <f>HYPERLINK("http://dx.doi.org/10.1039/d1qm00918d","http://dx.doi.org/10.1039/d1qm00918d")</f>
        <v>http://dx.doi.org/10.1039/d1qm00918d</v>
      </c>
      <c r="BG337" s="1" t="s">
        <v>74</v>
      </c>
      <c r="BH337" s="1" t="s">
        <v>3558</v>
      </c>
      <c r="BI337" s="1" t="s">
        <v>74</v>
      </c>
      <c r="BJ337" s="1" t="s">
        <v>74</v>
      </c>
      <c r="BK337" s="1" t="s">
        <v>74</v>
      </c>
      <c r="BL337" s="1" t="s">
        <v>74</v>
      </c>
      <c r="BM337" s="1" t="s">
        <v>74</v>
      </c>
      <c r="BN337" s="1" t="s">
        <v>74</v>
      </c>
      <c r="BO337" s="1" t="s">
        <v>74</v>
      </c>
      <c r="BP337" s="1" t="s">
        <v>74</v>
      </c>
      <c r="BQ337" s="1" t="s">
        <v>74</v>
      </c>
      <c r="BR337" s="1" t="s">
        <v>74</v>
      </c>
      <c r="BS337" s="1" t="s">
        <v>3559</v>
      </c>
      <c r="BT337" s="1" t="str">
        <f>HYPERLINK("https%3A%2F%2Fwww.webofscience.com%2Fwos%2Fwoscc%2Ffull-record%2FWOS:000693161000001","View Full Record in Web of Science")</f>
        <v>View Full Record in Web of Science</v>
      </c>
    </row>
    <row r="338" ht="12.75" customHeight="1">
      <c r="A338" s="1" t="s">
        <v>72</v>
      </c>
      <c r="B338" s="1" t="s">
        <v>3560</v>
      </c>
      <c r="C338" s="1" t="s">
        <v>74</v>
      </c>
      <c r="D338" s="1" t="s">
        <v>74</v>
      </c>
      <c r="E338" s="1" t="s">
        <v>74</v>
      </c>
      <c r="F338" s="1" t="s">
        <v>3561</v>
      </c>
      <c r="G338" s="1" t="s">
        <v>74</v>
      </c>
      <c r="H338" s="1" t="s">
        <v>74</v>
      </c>
      <c r="I338" s="1" t="s">
        <v>3562</v>
      </c>
      <c r="J338" s="1" t="s">
        <v>1676</v>
      </c>
      <c r="K338" s="1" t="s">
        <v>74</v>
      </c>
      <c r="L338" s="1" t="s">
        <v>74</v>
      </c>
      <c r="M338" s="1" t="s">
        <v>74</v>
      </c>
      <c r="N338" s="1" t="s">
        <v>74</v>
      </c>
      <c r="O338" s="1" t="s">
        <v>74</v>
      </c>
      <c r="P338" s="1" t="s">
        <v>74</v>
      </c>
      <c r="Q338" s="1" t="s">
        <v>74</v>
      </c>
      <c r="R338" s="1" t="s">
        <v>74</v>
      </c>
      <c r="S338" s="1" t="s">
        <v>74</v>
      </c>
      <c r="T338" s="1" t="s">
        <v>74</v>
      </c>
      <c r="U338" s="1" t="s">
        <v>74</v>
      </c>
      <c r="V338" s="1" t="s">
        <v>3563</v>
      </c>
      <c r="W338" s="1" t="s">
        <v>74</v>
      </c>
      <c r="X338" s="1" t="s">
        <v>74</v>
      </c>
      <c r="Y338" s="1" t="s">
        <v>74</v>
      </c>
      <c r="Z338" s="1" t="s">
        <v>74</v>
      </c>
      <c r="AA338" s="1" t="s">
        <v>3564</v>
      </c>
      <c r="AB338" s="1" t="s">
        <v>3565</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1680</v>
      </c>
      <c r="AP338" s="1" t="s">
        <v>74</v>
      </c>
      <c r="AQ338" s="1" t="s">
        <v>74</v>
      </c>
      <c r="AR338" s="1" t="s">
        <v>74</v>
      </c>
      <c r="AS338" s="1" t="s">
        <v>74</v>
      </c>
      <c r="AT338" s="1" t="s">
        <v>385</v>
      </c>
      <c r="AU338" s="1">
        <v>2021.0</v>
      </c>
      <c r="AV338" s="1">
        <v>27.0</v>
      </c>
      <c r="AW338" s="1" t="s">
        <v>74</v>
      </c>
      <c r="AX338" s="1" t="s">
        <v>74</v>
      </c>
      <c r="AY338" s="1" t="s">
        <v>74</v>
      </c>
      <c r="AZ338" s="1" t="s">
        <v>74</v>
      </c>
      <c r="BA338" s="1" t="s">
        <v>74</v>
      </c>
      <c r="BB338" s="1" t="s">
        <v>74</v>
      </c>
      <c r="BC338" s="1" t="s">
        <v>74</v>
      </c>
      <c r="BD338" s="1">
        <v>100687.0</v>
      </c>
      <c r="BE338" s="1" t="s">
        <v>3566</v>
      </c>
      <c r="BF338" s="2" t="str">
        <f>HYPERLINK("http://dx.doi.org/10.1016/j.coelec.2021.100687","http://dx.doi.org/10.1016/j.coelec.2021.100687")</f>
        <v>http://dx.doi.org/10.1016/j.coelec.2021.100687</v>
      </c>
      <c r="BG338" s="1" t="s">
        <v>74</v>
      </c>
      <c r="BH338" s="1" t="s">
        <v>3567</v>
      </c>
      <c r="BI338" s="1" t="s">
        <v>74</v>
      </c>
      <c r="BJ338" s="1" t="s">
        <v>74</v>
      </c>
      <c r="BK338" s="1" t="s">
        <v>74</v>
      </c>
      <c r="BL338" s="1" t="s">
        <v>74</v>
      </c>
      <c r="BM338" s="1" t="s">
        <v>74</v>
      </c>
      <c r="BN338" s="1" t="s">
        <v>74</v>
      </c>
      <c r="BO338" s="1" t="s">
        <v>74</v>
      </c>
      <c r="BP338" s="1" t="s">
        <v>74</v>
      </c>
      <c r="BQ338" s="1" t="s">
        <v>74</v>
      </c>
      <c r="BR338" s="1" t="s">
        <v>74</v>
      </c>
      <c r="BS338" s="1" t="s">
        <v>3568</v>
      </c>
      <c r="BT338" s="1" t="str">
        <f>HYPERLINK("https%3A%2F%2Fwww.webofscience.com%2Fwos%2Fwoscc%2Ffull-record%2FWOS:000662265900008","View Full Record in Web of Science")</f>
        <v>View Full Record in Web of Science</v>
      </c>
    </row>
    <row r="339" ht="12.75" customHeight="1">
      <c r="A339" s="1" t="s">
        <v>154</v>
      </c>
      <c r="B339" s="1" t="s">
        <v>3569</v>
      </c>
      <c r="C339" s="1" t="s">
        <v>74</v>
      </c>
      <c r="D339" s="1" t="s">
        <v>74</v>
      </c>
      <c r="E339" s="1" t="s">
        <v>323</v>
      </c>
      <c r="F339" s="1" t="s">
        <v>3570</v>
      </c>
      <c r="G339" s="1" t="s">
        <v>74</v>
      </c>
      <c r="H339" s="1" t="s">
        <v>74</v>
      </c>
      <c r="I339" s="1" t="s">
        <v>3571</v>
      </c>
      <c r="J339" s="1" t="s">
        <v>3572</v>
      </c>
      <c r="K339" s="1" t="s">
        <v>74</v>
      </c>
      <c r="L339" s="1" t="s">
        <v>74</v>
      </c>
      <c r="M339" s="1" t="s">
        <v>74</v>
      </c>
      <c r="N339" s="1" t="s">
        <v>74</v>
      </c>
      <c r="O339" s="1" t="s">
        <v>3573</v>
      </c>
      <c r="P339" s="1" t="s">
        <v>3574</v>
      </c>
      <c r="Q339" s="1" t="s">
        <v>1242</v>
      </c>
      <c r="R339" s="1" t="s">
        <v>323</v>
      </c>
      <c r="S339" s="1" t="s">
        <v>74</v>
      </c>
      <c r="T339" s="1" t="s">
        <v>74</v>
      </c>
      <c r="U339" s="1" t="s">
        <v>74</v>
      </c>
      <c r="V339" s="1" t="s">
        <v>3575</v>
      </c>
      <c r="W339" s="1" t="s">
        <v>74</v>
      </c>
      <c r="X339" s="1" t="s">
        <v>74</v>
      </c>
      <c r="Y339" s="1" t="s">
        <v>74</v>
      </c>
      <c r="Z339" s="1" t="s">
        <v>74</v>
      </c>
      <c r="AA339" s="1" t="s">
        <v>3576</v>
      </c>
      <c r="AB339" s="1" t="s">
        <v>555</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74</v>
      </c>
      <c r="AP339" s="1" t="s">
        <v>74</v>
      </c>
      <c r="AQ339" s="1" t="s">
        <v>3577</v>
      </c>
      <c r="AR339" s="1" t="s">
        <v>74</v>
      </c>
      <c r="AS339" s="1" t="s">
        <v>74</v>
      </c>
      <c r="AT339" s="1" t="s">
        <v>74</v>
      </c>
      <c r="AU339" s="1">
        <v>2021.0</v>
      </c>
      <c r="AV339" s="1" t="s">
        <v>74</v>
      </c>
      <c r="AW339" s="1" t="s">
        <v>74</v>
      </c>
      <c r="AX339" s="1" t="s">
        <v>74</v>
      </c>
      <c r="AY339" s="1" t="s">
        <v>74</v>
      </c>
      <c r="AZ339" s="1" t="s">
        <v>74</v>
      </c>
      <c r="BA339" s="1" t="s">
        <v>74</v>
      </c>
      <c r="BB339" s="1" t="s">
        <v>74</v>
      </c>
      <c r="BC339" s="1" t="s">
        <v>74</v>
      </c>
      <c r="BD339" s="1" t="s">
        <v>74</v>
      </c>
      <c r="BE339" s="1" t="s">
        <v>3578</v>
      </c>
      <c r="BF339" s="2" t="str">
        <f>HYPERLINK("http://dx.doi.org/10.1109/ICDCM50975.2021.9504612","http://dx.doi.org/10.1109/ICDCM50975.2021.9504612")</f>
        <v>http://dx.doi.org/10.1109/ICDCM50975.2021.9504612</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3579</v>
      </c>
      <c r="BT339" s="1" t="str">
        <f>HYPERLINK("https%3A%2F%2Fwww.webofscience.com%2Fwos%2Fwoscc%2Ffull-record%2FWOS:000793860700004","View Full Record in Web of Science")</f>
        <v>View Full Record in Web of Science</v>
      </c>
    </row>
    <row r="340" ht="12.75" customHeight="1">
      <c r="A340" s="1" t="s">
        <v>72</v>
      </c>
      <c r="B340" s="1" t="s">
        <v>3580</v>
      </c>
      <c r="C340" s="1" t="s">
        <v>74</v>
      </c>
      <c r="D340" s="1" t="s">
        <v>74</v>
      </c>
      <c r="E340" s="1" t="s">
        <v>74</v>
      </c>
      <c r="F340" s="1" t="s">
        <v>3581</v>
      </c>
      <c r="G340" s="1" t="s">
        <v>74</v>
      </c>
      <c r="H340" s="1" t="s">
        <v>74</v>
      </c>
      <c r="I340" s="1" t="s">
        <v>3582</v>
      </c>
      <c r="J340" s="1" t="s">
        <v>3583</v>
      </c>
      <c r="K340" s="1" t="s">
        <v>74</v>
      </c>
      <c r="L340" s="1" t="s">
        <v>74</v>
      </c>
      <c r="M340" s="1" t="s">
        <v>74</v>
      </c>
      <c r="N340" s="1" t="s">
        <v>74</v>
      </c>
      <c r="O340" s="1" t="s">
        <v>74</v>
      </c>
      <c r="P340" s="1" t="s">
        <v>74</v>
      </c>
      <c r="Q340" s="1" t="s">
        <v>74</v>
      </c>
      <c r="R340" s="1" t="s">
        <v>74</v>
      </c>
      <c r="S340" s="1" t="s">
        <v>74</v>
      </c>
      <c r="T340" s="1" t="s">
        <v>74</v>
      </c>
      <c r="U340" s="1" t="s">
        <v>74</v>
      </c>
      <c r="V340" s="1" t="s">
        <v>3584</v>
      </c>
      <c r="W340" s="1" t="s">
        <v>74</v>
      </c>
      <c r="X340" s="1" t="s">
        <v>74</v>
      </c>
      <c r="Y340" s="1" t="s">
        <v>74</v>
      </c>
      <c r="Z340" s="1" t="s">
        <v>74</v>
      </c>
      <c r="AA340" s="1" t="s">
        <v>3585</v>
      </c>
      <c r="AB340" s="1" t="s">
        <v>3586</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74</v>
      </c>
      <c r="AP340" s="1" t="s">
        <v>3587</v>
      </c>
      <c r="AQ340" s="1" t="s">
        <v>74</v>
      </c>
      <c r="AR340" s="1" t="s">
        <v>74</v>
      </c>
      <c r="AS340" s="1" t="s">
        <v>74</v>
      </c>
      <c r="AT340" s="1" t="s">
        <v>822</v>
      </c>
      <c r="AU340" s="1">
        <v>2021.0</v>
      </c>
      <c r="AV340" s="1">
        <v>13.0</v>
      </c>
      <c r="AW340" s="1">
        <v>2.0</v>
      </c>
      <c r="AX340" s="1" t="s">
        <v>74</v>
      </c>
      <c r="AY340" s="1" t="s">
        <v>74</v>
      </c>
      <c r="AZ340" s="1" t="s">
        <v>74</v>
      </c>
      <c r="BA340" s="1" t="s">
        <v>74</v>
      </c>
      <c r="BB340" s="1" t="s">
        <v>74</v>
      </c>
      <c r="BC340" s="1" t="s">
        <v>74</v>
      </c>
      <c r="BD340" s="1">
        <v>264.0</v>
      </c>
      <c r="BE340" s="1" t="s">
        <v>3588</v>
      </c>
      <c r="BF340" s="2" t="str">
        <f>HYPERLINK("http://dx.doi.org/10.3390/cancers13020264","http://dx.doi.org/10.3390/cancers13020264")</f>
        <v>http://dx.doi.org/10.3390/cancers13020264</v>
      </c>
      <c r="BG340" s="1" t="s">
        <v>74</v>
      </c>
      <c r="BH340" s="1" t="s">
        <v>74</v>
      </c>
      <c r="BI340" s="1" t="s">
        <v>74</v>
      </c>
      <c r="BJ340" s="1" t="s">
        <v>74</v>
      </c>
      <c r="BK340" s="1" t="s">
        <v>74</v>
      </c>
      <c r="BL340" s="1" t="s">
        <v>74</v>
      </c>
      <c r="BM340" s="1" t="s">
        <v>74</v>
      </c>
      <c r="BN340" s="1">
        <v>3.3445739E7</v>
      </c>
      <c r="BO340" s="1" t="s">
        <v>74</v>
      </c>
      <c r="BP340" s="1" t="s">
        <v>74</v>
      </c>
      <c r="BQ340" s="1" t="s">
        <v>74</v>
      </c>
      <c r="BR340" s="1" t="s">
        <v>74</v>
      </c>
      <c r="BS340" s="1" t="s">
        <v>3589</v>
      </c>
      <c r="BT340" s="1" t="str">
        <f>HYPERLINK("https%3A%2F%2Fwww.webofscience.com%2Fwos%2Fwoscc%2Ffull-record%2FWOS:000611114300001","View Full Record in Web of Science")</f>
        <v>View Full Record in Web of Science</v>
      </c>
    </row>
    <row r="341" ht="12.75" customHeight="1">
      <c r="A341" s="1" t="s">
        <v>72</v>
      </c>
      <c r="B341" s="1" t="s">
        <v>3590</v>
      </c>
      <c r="C341" s="1" t="s">
        <v>74</v>
      </c>
      <c r="D341" s="1" t="s">
        <v>74</v>
      </c>
      <c r="E341" s="1" t="s">
        <v>74</v>
      </c>
      <c r="F341" s="1" t="s">
        <v>3591</v>
      </c>
      <c r="G341" s="1" t="s">
        <v>74</v>
      </c>
      <c r="H341" s="1" t="s">
        <v>74</v>
      </c>
      <c r="I341" s="1" t="s">
        <v>3592</v>
      </c>
      <c r="J341" s="1" t="s">
        <v>3593</v>
      </c>
      <c r="K341" s="1" t="s">
        <v>74</v>
      </c>
      <c r="L341" s="1" t="s">
        <v>74</v>
      </c>
      <c r="M341" s="1" t="s">
        <v>74</v>
      </c>
      <c r="N341" s="1" t="s">
        <v>74</v>
      </c>
      <c r="O341" s="1" t="s">
        <v>74</v>
      </c>
      <c r="P341" s="1" t="s">
        <v>74</v>
      </c>
      <c r="Q341" s="1" t="s">
        <v>74</v>
      </c>
      <c r="R341" s="1" t="s">
        <v>74</v>
      </c>
      <c r="S341" s="1" t="s">
        <v>74</v>
      </c>
      <c r="T341" s="1" t="s">
        <v>74</v>
      </c>
      <c r="U341" s="1" t="s">
        <v>74</v>
      </c>
      <c r="V341" s="1" t="s">
        <v>3594</v>
      </c>
      <c r="W341" s="1" t="s">
        <v>74</v>
      </c>
      <c r="X341" s="1" t="s">
        <v>74</v>
      </c>
      <c r="Y341" s="1" t="s">
        <v>74</v>
      </c>
      <c r="Z341" s="1" t="s">
        <v>74</v>
      </c>
      <c r="AA341" s="1" t="s">
        <v>3595</v>
      </c>
      <c r="AB341" s="1" t="s">
        <v>3596</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3597</v>
      </c>
      <c r="AP341" s="1" t="s">
        <v>3598</v>
      </c>
      <c r="AQ341" s="1" t="s">
        <v>74</v>
      </c>
      <c r="AR341" s="1" t="s">
        <v>74</v>
      </c>
      <c r="AS341" s="1" t="s">
        <v>74</v>
      </c>
      <c r="AT341" s="1" t="s">
        <v>3599</v>
      </c>
      <c r="AU341" s="1">
        <v>2020.0</v>
      </c>
      <c r="AV341" s="1">
        <v>125.0</v>
      </c>
      <c r="AW341" s="1">
        <v>25.0</v>
      </c>
      <c r="AX341" s="1" t="s">
        <v>74</v>
      </c>
      <c r="AY341" s="1" t="s">
        <v>74</v>
      </c>
      <c r="AZ341" s="1" t="s">
        <v>74</v>
      </c>
      <c r="BA341" s="1" t="s">
        <v>74</v>
      </c>
      <c r="BB341" s="1" t="s">
        <v>74</v>
      </c>
      <c r="BC341" s="1" t="s">
        <v>74</v>
      </c>
      <c r="BD341" s="1">
        <v>254505.0</v>
      </c>
      <c r="BE341" s="1" t="s">
        <v>3600</v>
      </c>
      <c r="BF341" s="2" t="str">
        <f>HYPERLINK("http://dx.doi.org/10.1103/PhysRevLett.125.254505","http://dx.doi.org/10.1103/PhysRevLett.125.254505")</f>
        <v>http://dx.doi.org/10.1103/PhysRevLett.125.254505</v>
      </c>
      <c r="BG341" s="1" t="s">
        <v>74</v>
      </c>
      <c r="BH341" s="1" t="s">
        <v>74</v>
      </c>
      <c r="BI341" s="1" t="s">
        <v>74</v>
      </c>
      <c r="BJ341" s="1" t="s">
        <v>74</v>
      </c>
      <c r="BK341" s="1" t="s">
        <v>74</v>
      </c>
      <c r="BL341" s="1" t="s">
        <v>74</v>
      </c>
      <c r="BM341" s="1" t="s">
        <v>74</v>
      </c>
      <c r="BN341" s="1">
        <v>3.341635E7</v>
      </c>
      <c r="BO341" s="1" t="s">
        <v>74</v>
      </c>
      <c r="BP341" s="1" t="s">
        <v>74</v>
      </c>
      <c r="BQ341" s="1" t="s">
        <v>74</v>
      </c>
      <c r="BR341" s="1" t="s">
        <v>74</v>
      </c>
      <c r="BS341" s="1" t="s">
        <v>3601</v>
      </c>
      <c r="BT341" s="1" t="str">
        <f>HYPERLINK("https%3A%2F%2Fwww.webofscience.com%2Fwos%2Fwoscc%2Ffull-record%2FWOS:000600286000008","View Full Record in Web of Science")</f>
        <v>View Full Record in Web of Science</v>
      </c>
    </row>
    <row r="342" ht="12.75" customHeight="1">
      <c r="A342" s="1" t="s">
        <v>72</v>
      </c>
      <c r="B342" s="1" t="s">
        <v>3602</v>
      </c>
      <c r="C342" s="1" t="s">
        <v>74</v>
      </c>
      <c r="D342" s="1" t="s">
        <v>74</v>
      </c>
      <c r="E342" s="1" t="s">
        <v>74</v>
      </c>
      <c r="F342" s="1" t="s">
        <v>3603</v>
      </c>
      <c r="G342" s="1" t="s">
        <v>74</v>
      </c>
      <c r="H342" s="1" t="s">
        <v>74</v>
      </c>
      <c r="I342" s="1" t="s">
        <v>3604</v>
      </c>
      <c r="J342" s="1" t="s">
        <v>3605</v>
      </c>
      <c r="K342" s="1" t="s">
        <v>74</v>
      </c>
      <c r="L342" s="1" t="s">
        <v>74</v>
      </c>
      <c r="M342" s="1" t="s">
        <v>74</v>
      </c>
      <c r="N342" s="1" t="s">
        <v>74</v>
      </c>
      <c r="O342" s="1" t="s">
        <v>74</v>
      </c>
      <c r="P342" s="1" t="s">
        <v>74</v>
      </c>
      <c r="Q342" s="1" t="s">
        <v>74</v>
      </c>
      <c r="R342" s="1" t="s">
        <v>74</v>
      </c>
      <c r="S342" s="1" t="s">
        <v>74</v>
      </c>
      <c r="T342" s="1" t="s">
        <v>74</v>
      </c>
      <c r="U342" s="1" t="s">
        <v>74</v>
      </c>
      <c r="V342" s="1" t="s">
        <v>3606</v>
      </c>
      <c r="W342" s="1" t="s">
        <v>74</v>
      </c>
      <c r="X342" s="1" t="s">
        <v>74</v>
      </c>
      <c r="Y342" s="1" t="s">
        <v>74</v>
      </c>
      <c r="Z342" s="1" t="s">
        <v>74</v>
      </c>
      <c r="AA342" s="1" t="s">
        <v>3607</v>
      </c>
      <c r="AB342" s="1" t="s">
        <v>3608</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3609</v>
      </c>
      <c r="AP342" s="1" t="s">
        <v>3610</v>
      </c>
      <c r="AQ342" s="1" t="s">
        <v>74</v>
      </c>
      <c r="AR342" s="1" t="s">
        <v>74</v>
      </c>
      <c r="AS342" s="1" t="s">
        <v>74</v>
      </c>
      <c r="AT342" s="1" t="s">
        <v>94</v>
      </c>
      <c r="AU342" s="1">
        <v>2020.0</v>
      </c>
      <c r="AV342" s="1">
        <v>54.0</v>
      </c>
      <c r="AW342" s="1">
        <v>3.0</v>
      </c>
      <c r="AX342" s="1" t="s">
        <v>74</v>
      </c>
      <c r="AY342" s="1" t="s">
        <v>74</v>
      </c>
      <c r="AZ342" s="1" t="s">
        <v>74</v>
      </c>
      <c r="BA342" s="1" t="s">
        <v>74</v>
      </c>
      <c r="BB342" s="1">
        <v>351.0</v>
      </c>
      <c r="BC342" s="1">
        <v>358.0</v>
      </c>
      <c r="BD342" s="1" t="s">
        <v>3611</v>
      </c>
      <c r="BE342" s="1" t="s">
        <v>3612</v>
      </c>
      <c r="BF342" s="2" t="str">
        <f>HYPERLINK("http://dx.doi.org/10.1017/S0030605318000832","http://dx.doi.org/10.1017/S0030605318000832")</f>
        <v>http://dx.doi.org/10.1017/S0030605318000832</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3613</v>
      </c>
      <c r="BT342" s="1" t="str">
        <f>HYPERLINK("https%3A%2F%2Fwww.webofscience.com%2Fwos%2Fwoscc%2Ffull-record%2FWOS:000527984100008","View Full Record in Web of Science")</f>
        <v>View Full Record in Web of Science</v>
      </c>
    </row>
    <row r="343" ht="12.75" customHeight="1">
      <c r="A343" s="1" t="s">
        <v>72</v>
      </c>
      <c r="B343" s="1" t="s">
        <v>3614</v>
      </c>
      <c r="C343" s="1" t="s">
        <v>74</v>
      </c>
      <c r="D343" s="1" t="s">
        <v>74</v>
      </c>
      <c r="E343" s="1" t="s">
        <v>74</v>
      </c>
      <c r="F343" s="1" t="s">
        <v>3615</v>
      </c>
      <c r="G343" s="1" t="s">
        <v>74</v>
      </c>
      <c r="H343" s="1" t="s">
        <v>74</v>
      </c>
      <c r="I343" s="1" t="s">
        <v>3616</v>
      </c>
      <c r="J343" s="1" t="s">
        <v>3617</v>
      </c>
      <c r="K343" s="1" t="s">
        <v>74</v>
      </c>
      <c r="L343" s="1" t="s">
        <v>74</v>
      </c>
      <c r="M343" s="1" t="s">
        <v>74</v>
      </c>
      <c r="N343" s="1" t="s">
        <v>74</v>
      </c>
      <c r="O343" s="1" t="s">
        <v>74</v>
      </c>
      <c r="P343" s="1" t="s">
        <v>74</v>
      </c>
      <c r="Q343" s="1" t="s">
        <v>74</v>
      </c>
      <c r="R343" s="1" t="s">
        <v>74</v>
      </c>
      <c r="S343" s="1" t="s">
        <v>74</v>
      </c>
      <c r="T343" s="1" t="s">
        <v>74</v>
      </c>
      <c r="U343" s="1" t="s">
        <v>74</v>
      </c>
      <c r="V343" s="1" t="s">
        <v>3618</v>
      </c>
      <c r="W343" s="1" t="s">
        <v>74</v>
      </c>
      <c r="X343" s="1" t="s">
        <v>74</v>
      </c>
      <c r="Y343" s="1" t="s">
        <v>74</v>
      </c>
      <c r="Z343" s="1" t="s">
        <v>74</v>
      </c>
      <c r="AA343" s="1" t="s">
        <v>3619</v>
      </c>
      <c r="AB343" s="1" t="s">
        <v>3620</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3621</v>
      </c>
      <c r="AP343" s="1" t="s">
        <v>3622</v>
      </c>
      <c r="AQ343" s="1" t="s">
        <v>74</v>
      </c>
      <c r="AR343" s="1" t="s">
        <v>74</v>
      </c>
      <c r="AS343" s="1" t="s">
        <v>74</v>
      </c>
      <c r="AT343" s="1" t="s">
        <v>3623</v>
      </c>
      <c r="AU343" s="1">
        <v>2020.0</v>
      </c>
      <c r="AV343" s="1">
        <v>32.0</v>
      </c>
      <c r="AW343" s="1">
        <v>17.0</v>
      </c>
      <c r="AX343" s="1" t="s">
        <v>74</v>
      </c>
      <c r="AY343" s="1" t="s">
        <v>74</v>
      </c>
      <c r="AZ343" s="1" t="s">
        <v>74</v>
      </c>
      <c r="BA343" s="1" t="s">
        <v>74</v>
      </c>
      <c r="BB343" s="1" t="s">
        <v>74</v>
      </c>
      <c r="BC343" s="1" t="s">
        <v>74</v>
      </c>
      <c r="BD343" s="1">
        <v>175801.0</v>
      </c>
      <c r="BE343" s="1" t="s">
        <v>3624</v>
      </c>
      <c r="BF343" s="2" t="str">
        <f>HYPERLINK("http://dx.doi.org/10.1088/1361-648X/ab6aec","http://dx.doi.org/10.1088/1361-648X/ab6aec")</f>
        <v>http://dx.doi.org/10.1088/1361-648X/ab6aec</v>
      </c>
      <c r="BG343" s="1" t="s">
        <v>74</v>
      </c>
      <c r="BH343" s="1" t="s">
        <v>74</v>
      </c>
      <c r="BI343" s="1" t="s">
        <v>74</v>
      </c>
      <c r="BJ343" s="1" t="s">
        <v>74</v>
      </c>
      <c r="BK343" s="1" t="s">
        <v>74</v>
      </c>
      <c r="BL343" s="1" t="s">
        <v>74</v>
      </c>
      <c r="BM343" s="1" t="s">
        <v>74</v>
      </c>
      <c r="BN343" s="1">
        <v>3.1931481E7</v>
      </c>
      <c r="BO343" s="1" t="s">
        <v>74</v>
      </c>
      <c r="BP343" s="1" t="s">
        <v>74</v>
      </c>
      <c r="BQ343" s="1" t="s">
        <v>74</v>
      </c>
      <c r="BR343" s="1" t="s">
        <v>74</v>
      </c>
      <c r="BS343" s="1" t="s">
        <v>3625</v>
      </c>
      <c r="BT343" s="1" t="str">
        <f>HYPERLINK("https%3A%2F%2Fwww.webofscience.com%2Fwos%2Fwoscc%2Ffull-record%2FWOS:000520168700001","View Full Record in Web of Science")</f>
        <v>View Full Record in Web of Science</v>
      </c>
    </row>
    <row r="344" ht="12.75" customHeight="1">
      <c r="A344" s="1" t="s">
        <v>72</v>
      </c>
      <c r="B344" s="1" t="s">
        <v>3626</v>
      </c>
      <c r="C344" s="1" t="s">
        <v>74</v>
      </c>
      <c r="D344" s="1" t="s">
        <v>74</v>
      </c>
      <c r="E344" s="1" t="s">
        <v>74</v>
      </c>
      <c r="F344" s="1" t="s">
        <v>3627</v>
      </c>
      <c r="G344" s="1" t="s">
        <v>74</v>
      </c>
      <c r="H344" s="1" t="s">
        <v>74</v>
      </c>
      <c r="I344" s="1" t="s">
        <v>3628</v>
      </c>
      <c r="J344" s="1" t="s">
        <v>3629</v>
      </c>
      <c r="K344" s="1" t="s">
        <v>74</v>
      </c>
      <c r="L344" s="1" t="s">
        <v>74</v>
      </c>
      <c r="M344" s="1" t="s">
        <v>74</v>
      </c>
      <c r="N344" s="1" t="s">
        <v>74</v>
      </c>
      <c r="O344" s="1" t="s">
        <v>74</v>
      </c>
      <c r="P344" s="1" t="s">
        <v>74</v>
      </c>
      <c r="Q344" s="1" t="s">
        <v>74</v>
      </c>
      <c r="R344" s="1" t="s">
        <v>74</v>
      </c>
      <c r="S344" s="1" t="s">
        <v>74</v>
      </c>
      <c r="T344" s="1" t="s">
        <v>74</v>
      </c>
      <c r="U344" s="1" t="s">
        <v>74</v>
      </c>
      <c r="V344" s="1" t="s">
        <v>3630</v>
      </c>
      <c r="W344" s="1" t="s">
        <v>74</v>
      </c>
      <c r="X344" s="1" t="s">
        <v>74</v>
      </c>
      <c r="Y344" s="1" t="s">
        <v>74</v>
      </c>
      <c r="Z344" s="1" t="s">
        <v>74</v>
      </c>
      <c r="AA344" s="1" t="s">
        <v>3631</v>
      </c>
      <c r="AB344" s="1" t="s">
        <v>3632</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3633</v>
      </c>
      <c r="AP344" s="1" t="s">
        <v>74</v>
      </c>
      <c r="AQ344" s="1" t="s">
        <v>74</v>
      </c>
      <c r="AR344" s="1" t="s">
        <v>74</v>
      </c>
      <c r="AS344" s="1" t="s">
        <v>74</v>
      </c>
      <c r="AT344" s="1" t="s">
        <v>176</v>
      </c>
      <c r="AU344" s="1">
        <v>2020.0</v>
      </c>
      <c r="AV344" s="1">
        <v>22.0</v>
      </c>
      <c r="AW344" s="1">
        <v>3.0</v>
      </c>
      <c r="AX344" s="1" t="s">
        <v>74</v>
      </c>
      <c r="AY344" s="1" t="s">
        <v>74</v>
      </c>
      <c r="AZ344" s="1" t="s">
        <v>74</v>
      </c>
      <c r="BA344" s="1" t="s">
        <v>74</v>
      </c>
      <c r="BB344" s="1" t="s">
        <v>74</v>
      </c>
      <c r="BC344" s="1" t="s">
        <v>74</v>
      </c>
      <c r="BD344" s="1">
        <v>33034.0</v>
      </c>
      <c r="BE344" s="1" t="s">
        <v>3634</v>
      </c>
      <c r="BF344" s="2" t="str">
        <f>HYPERLINK("http://dx.doi.org/10.1088/1367-2630/ab78b0","http://dx.doi.org/10.1088/1367-2630/ab78b0")</f>
        <v>http://dx.doi.org/10.1088/1367-2630/ab78b0</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3635</v>
      </c>
      <c r="BT344" s="1" t="str">
        <f>HYPERLINK("https%3A%2F%2Fwww.webofscience.com%2Fwos%2Fwoscc%2Ffull-record%2FWOS:000522284400001","View Full Record in Web of Science")</f>
        <v>View Full Record in Web of Science</v>
      </c>
    </row>
    <row r="345" ht="12.75" customHeight="1">
      <c r="A345" s="1" t="s">
        <v>72</v>
      </c>
      <c r="B345" s="1" t="s">
        <v>3636</v>
      </c>
      <c r="C345" s="1" t="s">
        <v>74</v>
      </c>
      <c r="D345" s="1" t="s">
        <v>74</v>
      </c>
      <c r="E345" s="1" t="s">
        <v>74</v>
      </c>
      <c r="F345" s="1" t="s">
        <v>3637</v>
      </c>
      <c r="G345" s="1" t="s">
        <v>74</v>
      </c>
      <c r="H345" s="1" t="s">
        <v>74</v>
      </c>
      <c r="I345" s="1" t="s">
        <v>3638</v>
      </c>
      <c r="J345" s="1" t="s">
        <v>3639</v>
      </c>
      <c r="K345" s="1" t="s">
        <v>74</v>
      </c>
      <c r="L345" s="1" t="s">
        <v>74</v>
      </c>
      <c r="M345" s="1" t="s">
        <v>74</v>
      </c>
      <c r="N345" s="1" t="s">
        <v>74</v>
      </c>
      <c r="O345" s="1" t="s">
        <v>74</v>
      </c>
      <c r="P345" s="1" t="s">
        <v>74</v>
      </c>
      <c r="Q345" s="1" t="s">
        <v>74</v>
      </c>
      <c r="R345" s="1" t="s">
        <v>74</v>
      </c>
      <c r="S345" s="1" t="s">
        <v>74</v>
      </c>
      <c r="T345" s="1" t="s">
        <v>74</v>
      </c>
      <c r="U345" s="1" t="s">
        <v>74</v>
      </c>
      <c r="V345" s="1" t="s">
        <v>3640</v>
      </c>
      <c r="W345" s="1" t="s">
        <v>74</v>
      </c>
      <c r="X345" s="1" t="s">
        <v>74</v>
      </c>
      <c r="Y345" s="1" t="s">
        <v>74</v>
      </c>
      <c r="Z345" s="1" t="s">
        <v>74</v>
      </c>
      <c r="AA345" s="1" t="s">
        <v>3641</v>
      </c>
      <c r="AB345" s="1" t="s">
        <v>3642</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3643</v>
      </c>
      <c r="AP345" s="1" t="s">
        <v>3644</v>
      </c>
      <c r="AQ345" s="1" t="s">
        <v>74</v>
      </c>
      <c r="AR345" s="1" t="s">
        <v>74</v>
      </c>
      <c r="AS345" s="1" t="s">
        <v>74</v>
      </c>
      <c r="AT345" s="1" t="s">
        <v>83</v>
      </c>
      <c r="AU345" s="1">
        <v>2018.0</v>
      </c>
      <c r="AV345" s="1">
        <v>226.0</v>
      </c>
      <c r="AW345" s="1" t="s">
        <v>74</v>
      </c>
      <c r="AX345" s="1" t="s">
        <v>74</v>
      </c>
      <c r="AY345" s="1" t="s">
        <v>74</v>
      </c>
      <c r="AZ345" s="1" t="s">
        <v>74</v>
      </c>
      <c r="BA345" s="1" t="s">
        <v>74</v>
      </c>
      <c r="BB345" s="1">
        <v>22.0</v>
      </c>
      <c r="BC345" s="1">
        <v>31.0</v>
      </c>
      <c r="BD345" s="1" t="s">
        <v>74</v>
      </c>
      <c r="BE345" s="1" t="s">
        <v>3645</v>
      </c>
      <c r="BF345" s="2" t="str">
        <f>HYPERLINK("http://dx.doi.org/10.1016/j.cbpa.2018.07.006","http://dx.doi.org/10.1016/j.cbpa.2018.07.006")</f>
        <v>http://dx.doi.org/10.1016/j.cbpa.2018.07.006</v>
      </c>
      <c r="BG345" s="1" t="s">
        <v>74</v>
      </c>
      <c r="BH345" s="1" t="s">
        <v>74</v>
      </c>
      <c r="BI345" s="1" t="s">
        <v>74</v>
      </c>
      <c r="BJ345" s="1" t="s">
        <v>74</v>
      </c>
      <c r="BK345" s="1" t="s">
        <v>74</v>
      </c>
      <c r="BL345" s="1" t="s">
        <v>74</v>
      </c>
      <c r="BM345" s="1" t="s">
        <v>74</v>
      </c>
      <c r="BN345" s="1">
        <v>3.0031149E7</v>
      </c>
      <c r="BO345" s="1" t="s">
        <v>74</v>
      </c>
      <c r="BP345" s="1" t="s">
        <v>74</v>
      </c>
      <c r="BQ345" s="1" t="s">
        <v>74</v>
      </c>
      <c r="BR345" s="1" t="s">
        <v>74</v>
      </c>
      <c r="BS345" s="1" t="s">
        <v>3646</v>
      </c>
      <c r="BT345" s="1" t="str">
        <f>HYPERLINK("https%3A%2F%2Fwww.webofscience.com%2Fwos%2Fwoscc%2Ffull-record%2FWOS:000447114200004","View Full Record in Web of Science")</f>
        <v>View Full Record in Web of Science</v>
      </c>
    </row>
    <row r="346" ht="12.75" customHeight="1">
      <c r="A346" s="1" t="s">
        <v>72</v>
      </c>
      <c r="B346" s="1" t="s">
        <v>3647</v>
      </c>
      <c r="C346" s="1" t="s">
        <v>74</v>
      </c>
      <c r="D346" s="1" t="s">
        <v>74</v>
      </c>
      <c r="E346" s="1" t="s">
        <v>74</v>
      </c>
      <c r="F346" s="1" t="s">
        <v>3648</v>
      </c>
      <c r="G346" s="1" t="s">
        <v>74</v>
      </c>
      <c r="H346" s="1" t="s">
        <v>74</v>
      </c>
      <c r="I346" s="1" t="s">
        <v>3649</v>
      </c>
      <c r="J346" s="1" t="s">
        <v>3650</v>
      </c>
      <c r="K346" s="1" t="s">
        <v>74</v>
      </c>
      <c r="L346" s="1" t="s">
        <v>74</v>
      </c>
      <c r="M346" s="1" t="s">
        <v>74</v>
      </c>
      <c r="N346" s="1" t="s">
        <v>74</v>
      </c>
      <c r="O346" s="1" t="s">
        <v>74</v>
      </c>
      <c r="P346" s="1" t="s">
        <v>74</v>
      </c>
      <c r="Q346" s="1" t="s">
        <v>74</v>
      </c>
      <c r="R346" s="1" t="s">
        <v>74</v>
      </c>
      <c r="S346" s="1" t="s">
        <v>74</v>
      </c>
      <c r="T346" s="1" t="s">
        <v>74</v>
      </c>
      <c r="U346" s="1" t="s">
        <v>74</v>
      </c>
      <c r="V346" s="1" t="s">
        <v>3651</v>
      </c>
      <c r="W346" s="1" t="s">
        <v>74</v>
      </c>
      <c r="X346" s="1" t="s">
        <v>74</v>
      </c>
      <c r="Y346" s="1" t="s">
        <v>74</v>
      </c>
      <c r="Z346" s="1" t="s">
        <v>74</v>
      </c>
      <c r="AA346" s="1" t="s">
        <v>3652</v>
      </c>
      <c r="AB346" s="1" t="s">
        <v>3653</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74</v>
      </c>
      <c r="AP346" s="1" t="s">
        <v>3654</v>
      </c>
      <c r="AQ346" s="1" t="s">
        <v>74</v>
      </c>
      <c r="AR346" s="1" t="s">
        <v>74</v>
      </c>
      <c r="AS346" s="1" t="s">
        <v>74</v>
      </c>
      <c r="AT346" s="1" t="s">
        <v>151</v>
      </c>
      <c r="AU346" s="1">
        <v>2018.0</v>
      </c>
      <c r="AV346" s="1">
        <v>18.0</v>
      </c>
      <c r="AW346" s="1">
        <v>10.0</v>
      </c>
      <c r="AX346" s="1" t="s">
        <v>74</v>
      </c>
      <c r="AY346" s="1" t="s">
        <v>74</v>
      </c>
      <c r="AZ346" s="1" t="s">
        <v>74</v>
      </c>
      <c r="BA346" s="1" t="s">
        <v>74</v>
      </c>
      <c r="BB346" s="1" t="s">
        <v>74</v>
      </c>
      <c r="BC346" s="1" t="s">
        <v>74</v>
      </c>
      <c r="BD346" s="1">
        <v>3409.0</v>
      </c>
      <c r="BE346" s="1" t="s">
        <v>3655</v>
      </c>
      <c r="BF346" s="2" t="str">
        <f>HYPERLINK("http://dx.doi.org/10.3390/s18103409","http://dx.doi.org/10.3390/s18103409")</f>
        <v>http://dx.doi.org/10.3390/s18103409</v>
      </c>
      <c r="BG346" s="1" t="s">
        <v>74</v>
      </c>
      <c r="BH346" s="1" t="s">
        <v>74</v>
      </c>
      <c r="BI346" s="1" t="s">
        <v>74</v>
      </c>
      <c r="BJ346" s="1" t="s">
        <v>74</v>
      </c>
      <c r="BK346" s="1" t="s">
        <v>74</v>
      </c>
      <c r="BL346" s="1" t="s">
        <v>74</v>
      </c>
      <c r="BM346" s="1" t="s">
        <v>74</v>
      </c>
      <c r="BN346" s="1">
        <v>3.0314352E7</v>
      </c>
      <c r="BO346" s="1" t="s">
        <v>74</v>
      </c>
      <c r="BP346" s="1" t="s">
        <v>74</v>
      </c>
      <c r="BQ346" s="1" t="s">
        <v>74</v>
      </c>
      <c r="BR346" s="1" t="s">
        <v>74</v>
      </c>
      <c r="BS346" s="1" t="s">
        <v>3656</v>
      </c>
      <c r="BT346" s="1" t="str">
        <f>HYPERLINK("https%3A%2F%2Fwww.webofscience.com%2Fwos%2Fwoscc%2Ffull-record%2FWOS:000448661500237","View Full Record in Web of Science")</f>
        <v>View Full Record in Web of Science</v>
      </c>
    </row>
    <row r="347" ht="12.75" customHeight="1">
      <c r="A347" s="1" t="s">
        <v>72</v>
      </c>
      <c r="B347" s="1" t="s">
        <v>3657</v>
      </c>
      <c r="C347" s="1" t="s">
        <v>74</v>
      </c>
      <c r="D347" s="1" t="s">
        <v>74</v>
      </c>
      <c r="E347" s="1" t="s">
        <v>74</v>
      </c>
      <c r="F347" s="1" t="s">
        <v>3658</v>
      </c>
      <c r="G347" s="1" t="s">
        <v>74</v>
      </c>
      <c r="H347" s="1" t="s">
        <v>74</v>
      </c>
      <c r="I347" s="1" t="s">
        <v>3659</v>
      </c>
      <c r="J347" s="1" t="s">
        <v>182</v>
      </c>
      <c r="K347" s="1" t="s">
        <v>74</v>
      </c>
      <c r="L347" s="1" t="s">
        <v>74</v>
      </c>
      <c r="M347" s="1" t="s">
        <v>74</v>
      </c>
      <c r="N347" s="1" t="s">
        <v>74</v>
      </c>
      <c r="O347" s="1" t="s">
        <v>74</v>
      </c>
      <c r="P347" s="1" t="s">
        <v>74</v>
      </c>
      <c r="Q347" s="1" t="s">
        <v>74</v>
      </c>
      <c r="R347" s="1" t="s">
        <v>74</v>
      </c>
      <c r="S347" s="1" t="s">
        <v>74</v>
      </c>
      <c r="T347" s="1" t="s">
        <v>74</v>
      </c>
      <c r="U347" s="1" t="s">
        <v>74</v>
      </c>
      <c r="V347" s="1" t="s">
        <v>3660</v>
      </c>
      <c r="W347" s="1" t="s">
        <v>74</v>
      </c>
      <c r="X347" s="1" t="s">
        <v>74</v>
      </c>
      <c r="Y347" s="1" t="s">
        <v>74</v>
      </c>
      <c r="Z347" s="1" t="s">
        <v>74</v>
      </c>
      <c r="AA347" s="1" t="s">
        <v>3661</v>
      </c>
      <c r="AB347" s="1" t="s">
        <v>3662</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186</v>
      </c>
      <c r="AP347" s="1" t="s">
        <v>74</v>
      </c>
      <c r="AQ347" s="1" t="s">
        <v>74</v>
      </c>
      <c r="AR347" s="1" t="s">
        <v>74</v>
      </c>
      <c r="AS347" s="1" t="s">
        <v>74</v>
      </c>
      <c r="AT347" s="1" t="s">
        <v>1533</v>
      </c>
      <c r="AU347" s="1">
        <v>2018.0</v>
      </c>
      <c r="AV347" s="1">
        <v>13.0</v>
      </c>
      <c r="AW347" s="1">
        <v>2.0</v>
      </c>
      <c r="AX347" s="1" t="s">
        <v>74</v>
      </c>
      <c r="AY347" s="1" t="s">
        <v>74</v>
      </c>
      <c r="AZ347" s="1" t="s">
        <v>74</v>
      </c>
      <c r="BA347" s="1" t="s">
        <v>74</v>
      </c>
      <c r="BB347" s="1" t="s">
        <v>74</v>
      </c>
      <c r="BC347" s="1" t="s">
        <v>74</v>
      </c>
      <c r="BD347" s="1" t="s">
        <v>3663</v>
      </c>
      <c r="BE347" s="1" t="s">
        <v>3664</v>
      </c>
      <c r="BF347" s="2" t="str">
        <f>HYPERLINK("http://dx.doi.org/10.1371/journal.pone.0192383","http://dx.doi.org/10.1371/journal.pone.0192383")</f>
        <v>http://dx.doi.org/10.1371/journal.pone.0192383</v>
      </c>
      <c r="BG347" s="1" t="s">
        <v>74</v>
      </c>
      <c r="BH347" s="1" t="s">
        <v>74</v>
      </c>
      <c r="BI347" s="1" t="s">
        <v>74</v>
      </c>
      <c r="BJ347" s="1" t="s">
        <v>74</v>
      </c>
      <c r="BK347" s="1" t="s">
        <v>74</v>
      </c>
      <c r="BL347" s="1" t="s">
        <v>74</v>
      </c>
      <c r="BM347" s="1" t="s">
        <v>74</v>
      </c>
      <c r="BN347" s="1">
        <v>2.9432462E7</v>
      </c>
      <c r="BO347" s="1" t="s">
        <v>74</v>
      </c>
      <c r="BP347" s="1" t="s">
        <v>74</v>
      </c>
      <c r="BQ347" s="1" t="s">
        <v>74</v>
      </c>
      <c r="BR347" s="1" t="s">
        <v>74</v>
      </c>
      <c r="BS347" s="1" t="s">
        <v>3665</v>
      </c>
      <c r="BT347" s="1" t="str">
        <f>HYPERLINK("https%3A%2F%2Fwww.webofscience.com%2Fwos%2Fwoscc%2Ffull-record%2FWOS:000424814300022","View Full Record in Web of Science")</f>
        <v>View Full Record in Web of Science</v>
      </c>
    </row>
    <row r="348" ht="12.75" customHeight="1">
      <c r="A348" s="1" t="s">
        <v>72</v>
      </c>
      <c r="B348" s="1" t="s">
        <v>3666</v>
      </c>
      <c r="C348" s="1" t="s">
        <v>74</v>
      </c>
      <c r="D348" s="1" t="s">
        <v>74</v>
      </c>
      <c r="E348" s="1" t="s">
        <v>74</v>
      </c>
      <c r="F348" s="1" t="s">
        <v>3667</v>
      </c>
      <c r="G348" s="1" t="s">
        <v>74</v>
      </c>
      <c r="H348" s="1" t="s">
        <v>74</v>
      </c>
      <c r="I348" s="1" t="s">
        <v>3668</v>
      </c>
      <c r="J348" s="1" t="s">
        <v>2161</v>
      </c>
      <c r="K348" s="1" t="s">
        <v>74</v>
      </c>
      <c r="L348" s="1" t="s">
        <v>74</v>
      </c>
      <c r="M348" s="1" t="s">
        <v>74</v>
      </c>
      <c r="N348" s="1" t="s">
        <v>74</v>
      </c>
      <c r="O348" s="1" t="s">
        <v>74</v>
      </c>
      <c r="P348" s="1" t="s">
        <v>74</v>
      </c>
      <c r="Q348" s="1" t="s">
        <v>74</v>
      </c>
      <c r="R348" s="1" t="s">
        <v>74</v>
      </c>
      <c r="S348" s="1" t="s">
        <v>74</v>
      </c>
      <c r="T348" s="1" t="s">
        <v>74</v>
      </c>
      <c r="U348" s="1" t="s">
        <v>74</v>
      </c>
      <c r="V348" s="1" t="s">
        <v>3669</v>
      </c>
      <c r="W348" s="1" t="s">
        <v>74</v>
      </c>
      <c r="X348" s="1" t="s">
        <v>74</v>
      </c>
      <c r="Y348" s="1" t="s">
        <v>74</v>
      </c>
      <c r="Z348" s="1" t="s">
        <v>74</v>
      </c>
      <c r="AA348" s="1" t="s">
        <v>1335</v>
      </c>
      <c r="AB348" s="1" t="s">
        <v>3670</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2165</v>
      </c>
      <c r="AP348" s="1" t="s">
        <v>2166</v>
      </c>
      <c r="AQ348" s="1" t="s">
        <v>74</v>
      </c>
      <c r="AR348" s="1" t="s">
        <v>74</v>
      </c>
      <c r="AS348" s="1" t="s">
        <v>74</v>
      </c>
      <c r="AT348" s="1" t="s">
        <v>94</v>
      </c>
      <c r="AU348" s="1">
        <v>2017.0</v>
      </c>
      <c r="AV348" s="1">
        <v>193.0</v>
      </c>
      <c r="AW348" s="1" t="s">
        <v>74</v>
      </c>
      <c r="AX348" s="1" t="s">
        <v>74</v>
      </c>
      <c r="AY348" s="1" t="s">
        <v>74</v>
      </c>
      <c r="AZ348" s="1" t="s">
        <v>74</v>
      </c>
      <c r="BA348" s="1" t="s">
        <v>74</v>
      </c>
      <c r="BB348" s="1">
        <v>1.0</v>
      </c>
      <c r="BC348" s="1">
        <v>10.0</v>
      </c>
      <c r="BD348" s="1" t="s">
        <v>74</v>
      </c>
      <c r="BE348" s="1" t="s">
        <v>3671</v>
      </c>
      <c r="BF348" s="2" t="str">
        <f>HYPERLINK("http://dx.doi.org/10.1016/j.rse.2017.02.018","http://dx.doi.org/10.1016/j.rse.2017.02.018")</f>
        <v>http://dx.doi.org/10.1016/j.rse.2017.02.018</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3672</v>
      </c>
      <c r="BT348" s="1" t="str">
        <f>HYPERLINK("https%3A%2F%2Fwww.webofscience.com%2Fwos%2Fwoscc%2Ffull-record%2FWOS:000400220200001","View Full Record in Web of Science")</f>
        <v>View Full Record in Web of Science</v>
      </c>
    </row>
    <row r="349" ht="12.75" customHeight="1">
      <c r="A349" s="1" t="s">
        <v>72</v>
      </c>
      <c r="B349" s="1" t="s">
        <v>3673</v>
      </c>
      <c r="C349" s="1" t="s">
        <v>74</v>
      </c>
      <c r="D349" s="1" t="s">
        <v>74</v>
      </c>
      <c r="E349" s="1" t="s">
        <v>74</v>
      </c>
      <c r="F349" s="1" t="s">
        <v>3674</v>
      </c>
      <c r="G349" s="1" t="s">
        <v>74</v>
      </c>
      <c r="H349" s="1" t="s">
        <v>74</v>
      </c>
      <c r="I349" s="1" t="s">
        <v>3675</v>
      </c>
      <c r="J349" s="1" t="s">
        <v>3676</v>
      </c>
      <c r="K349" s="1" t="s">
        <v>74</v>
      </c>
      <c r="L349" s="1" t="s">
        <v>74</v>
      </c>
      <c r="M349" s="1" t="s">
        <v>74</v>
      </c>
      <c r="N349" s="1" t="s">
        <v>74</v>
      </c>
      <c r="O349" s="1" t="s">
        <v>3677</v>
      </c>
      <c r="P349" s="1" t="s">
        <v>3678</v>
      </c>
      <c r="Q349" s="1" t="s">
        <v>3679</v>
      </c>
      <c r="R349" s="1" t="s">
        <v>3680</v>
      </c>
      <c r="S349" s="1" t="s">
        <v>3681</v>
      </c>
      <c r="T349" s="1" t="s">
        <v>74</v>
      </c>
      <c r="U349" s="1" t="s">
        <v>74</v>
      </c>
      <c r="V349" s="1" t="s">
        <v>3682</v>
      </c>
      <c r="W349" s="1" t="s">
        <v>74</v>
      </c>
      <c r="X349" s="1" t="s">
        <v>74</v>
      </c>
      <c r="Y349" s="1" t="s">
        <v>74</v>
      </c>
      <c r="Z349" s="1" t="s">
        <v>74</v>
      </c>
      <c r="AA349" s="1" t="s">
        <v>74</v>
      </c>
      <c r="AB349" s="1" t="s">
        <v>3683</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3684</v>
      </c>
      <c r="AP349" s="1" t="s">
        <v>3685</v>
      </c>
      <c r="AQ349" s="1" t="s">
        <v>74</v>
      </c>
      <c r="AR349" s="1" t="s">
        <v>74</v>
      </c>
      <c r="AS349" s="1" t="s">
        <v>74</v>
      </c>
      <c r="AT349" s="1" t="s">
        <v>3686</v>
      </c>
      <c r="AU349" s="1">
        <v>2015.0</v>
      </c>
      <c r="AV349" s="1">
        <v>30.0</v>
      </c>
      <c r="AW349" s="1">
        <v>4.0</v>
      </c>
      <c r="AX349" s="1" t="s">
        <v>74</v>
      </c>
      <c r="AY349" s="1" t="s">
        <v>74</v>
      </c>
      <c r="AZ349" s="1" t="s">
        <v>1350</v>
      </c>
      <c r="BA349" s="1" t="s">
        <v>74</v>
      </c>
      <c r="BB349" s="1">
        <v>485.0</v>
      </c>
      <c r="BC349" s="1">
        <v>500.0</v>
      </c>
      <c r="BD349" s="1" t="s">
        <v>74</v>
      </c>
      <c r="BE349" s="1" t="s">
        <v>3687</v>
      </c>
      <c r="BF349" s="2" t="str">
        <f>HYPERLINK("http://dx.doi.org/10.1080/14689367.2015.1081156","http://dx.doi.org/10.1080/14689367.2015.1081156")</f>
        <v>http://dx.doi.org/10.1080/14689367.2015.1081156</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3688</v>
      </c>
      <c r="BT349" s="1" t="str">
        <f>HYPERLINK("https%3A%2F%2Fwww.webofscience.com%2Fwos%2Fwoscc%2Ffull-record%2FWOS:000365703100010","View Full Record in Web of Science")</f>
        <v>View Full Record in Web of Science</v>
      </c>
    </row>
    <row r="350" ht="12.75" customHeight="1">
      <c r="A350" s="1" t="s">
        <v>72</v>
      </c>
      <c r="B350" s="1" t="s">
        <v>3689</v>
      </c>
      <c r="C350" s="1" t="s">
        <v>74</v>
      </c>
      <c r="D350" s="1" t="s">
        <v>74</v>
      </c>
      <c r="E350" s="1" t="s">
        <v>74</v>
      </c>
      <c r="F350" s="1" t="s">
        <v>3690</v>
      </c>
      <c r="G350" s="1" t="s">
        <v>74</v>
      </c>
      <c r="H350" s="1" t="s">
        <v>74</v>
      </c>
      <c r="I350" s="1" t="s">
        <v>3691</v>
      </c>
      <c r="J350" s="1" t="s">
        <v>3692</v>
      </c>
      <c r="K350" s="1" t="s">
        <v>74</v>
      </c>
      <c r="L350" s="1" t="s">
        <v>74</v>
      </c>
      <c r="M350" s="1" t="s">
        <v>74</v>
      </c>
      <c r="N350" s="1" t="s">
        <v>74</v>
      </c>
      <c r="O350" s="1" t="s">
        <v>74</v>
      </c>
      <c r="P350" s="1" t="s">
        <v>74</v>
      </c>
      <c r="Q350" s="1" t="s">
        <v>74</v>
      </c>
      <c r="R350" s="1" t="s">
        <v>74</v>
      </c>
      <c r="S350" s="1" t="s">
        <v>74</v>
      </c>
      <c r="T350" s="1" t="s">
        <v>74</v>
      </c>
      <c r="U350" s="1" t="s">
        <v>74</v>
      </c>
      <c r="V350" s="1" t="s">
        <v>3693</v>
      </c>
      <c r="W350" s="1" t="s">
        <v>74</v>
      </c>
      <c r="X350" s="1" t="s">
        <v>74</v>
      </c>
      <c r="Y350" s="1" t="s">
        <v>74</v>
      </c>
      <c r="Z350" s="1" t="s">
        <v>74</v>
      </c>
      <c r="AA350" s="1" t="s">
        <v>3694</v>
      </c>
      <c r="AB350" s="1" t="s">
        <v>3695</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3696</v>
      </c>
      <c r="AP350" s="1" t="s">
        <v>3697</v>
      </c>
      <c r="AQ350" s="1" t="s">
        <v>74</v>
      </c>
      <c r="AR350" s="1" t="s">
        <v>74</v>
      </c>
      <c r="AS350" s="1" t="s">
        <v>74</v>
      </c>
      <c r="AT350" s="1" t="s">
        <v>151</v>
      </c>
      <c r="AU350" s="1">
        <v>2015.0</v>
      </c>
      <c r="AV350" s="1">
        <v>32.0</v>
      </c>
      <c r="AW350" s="1">
        <v>4.0</v>
      </c>
      <c r="AX350" s="1" t="s">
        <v>74</v>
      </c>
      <c r="AY350" s="1" t="s">
        <v>74</v>
      </c>
      <c r="AZ350" s="1" t="s">
        <v>74</v>
      </c>
      <c r="BA350" s="1" t="s">
        <v>74</v>
      </c>
      <c r="BB350" s="1">
        <v>1500.0</v>
      </c>
      <c r="BC350" s="1">
        <v>1509.0</v>
      </c>
      <c r="BD350" s="1" t="s">
        <v>74</v>
      </c>
      <c r="BE350" s="1" t="s">
        <v>3698</v>
      </c>
      <c r="BF350" s="2" t="str">
        <f>HYPERLINK("http://dx.doi.org/10.3305/nh.2015.32.4.9185","http://dx.doi.org/10.3305/nh.2015.32.4.9185")</f>
        <v>http://dx.doi.org/10.3305/nh.2015.32.4.9185</v>
      </c>
      <c r="BG350" s="1" t="s">
        <v>74</v>
      </c>
      <c r="BH350" s="1" t="s">
        <v>74</v>
      </c>
      <c r="BI350" s="1" t="s">
        <v>74</v>
      </c>
      <c r="BJ350" s="1" t="s">
        <v>74</v>
      </c>
      <c r="BK350" s="1" t="s">
        <v>74</v>
      </c>
      <c r="BL350" s="1" t="s">
        <v>74</v>
      </c>
      <c r="BM350" s="1" t="s">
        <v>74</v>
      </c>
      <c r="BN350" s="1">
        <v>2.654551E7</v>
      </c>
      <c r="BO350" s="1" t="s">
        <v>74</v>
      </c>
      <c r="BP350" s="1" t="s">
        <v>74</v>
      </c>
      <c r="BQ350" s="1" t="s">
        <v>74</v>
      </c>
      <c r="BR350" s="1" t="s">
        <v>74</v>
      </c>
      <c r="BS350" s="1" t="s">
        <v>3699</v>
      </c>
      <c r="BT350" s="1" t="str">
        <f>HYPERLINK("https%3A%2F%2Fwww.webofscience.com%2Fwos%2Fwoscc%2Ffull-record%2FWOS:000363001400012","View Full Record in Web of Science")</f>
        <v>View Full Record in Web of Science</v>
      </c>
    </row>
    <row r="351" ht="12.75" customHeight="1">
      <c r="A351" s="1" t="s">
        <v>72</v>
      </c>
      <c r="B351" s="1" t="s">
        <v>3700</v>
      </c>
      <c r="C351" s="1" t="s">
        <v>74</v>
      </c>
      <c r="D351" s="1" t="s">
        <v>74</v>
      </c>
      <c r="E351" s="1" t="s">
        <v>74</v>
      </c>
      <c r="F351" s="1" t="s">
        <v>3701</v>
      </c>
      <c r="G351" s="1" t="s">
        <v>74</v>
      </c>
      <c r="H351" s="1" t="s">
        <v>74</v>
      </c>
      <c r="I351" s="1" t="s">
        <v>3702</v>
      </c>
      <c r="J351" s="1" t="s">
        <v>182</v>
      </c>
      <c r="K351" s="1" t="s">
        <v>74</v>
      </c>
      <c r="L351" s="1" t="s">
        <v>74</v>
      </c>
      <c r="M351" s="1" t="s">
        <v>74</v>
      </c>
      <c r="N351" s="1" t="s">
        <v>74</v>
      </c>
      <c r="O351" s="1" t="s">
        <v>74</v>
      </c>
      <c r="P351" s="1" t="s">
        <v>74</v>
      </c>
      <c r="Q351" s="1" t="s">
        <v>74</v>
      </c>
      <c r="R351" s="1" t="s">
        <v>74</v>
      </c>
      <c r="S351" s="1" t="s">
        <v>74</v>
      </c>
      <c r="T351" s="1" t="s">
        <v>74</v>
      </c>
      <c r="U351" s="1" t="s">
        <v>74</v>
      </c>
      <c r="V351" s="1" t="s">
        <v>3703</v>
      </c>
      <c r="W351" s="1" t="s">
        <v>74</v>
      </c>
      <c r="X351" s="1" t="s">
        <v>74</v>
      </c>
      <c r="Y351" s="1" t="s">
        <v>74</v>
      </c>
      <c r="Z351" s="1" t="s">
        <v>74</v>
      </c>
      <c r="AA351" s="1" t="s">
        <v>3704</v>
      </c>
      <c r="AB351" s="1" t="s">
        <v>3705</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186</v>
      </c>
      <c r="AP351" s="1" t="s">
        <v>74</v>
      </c>
      <c r="AQ351" s="1" t="s">
        <v>74</v>
      </c>
      <c r="AR351" s="1" t="s">
        <v>74</v>
      </c>
      <c r="AS351" s="1" t="s">
        <v>74</v>
      </c>
      <c r="AT351" s="1" t="s">
        <v>3706</v>
      </c>
      <c r="AU351" s="1">
        <v>2015.0</v>
      </c>
      <c r="AV351" s="1">
        <v>10.0</v>
      </c>
      <c r="AW351" s="1">
        <v>6.0</v>
      </c>
      <c r="AX351" s="1" t="s">
        <v>74</v>
      </c>
      <c r="AY351" s="1" t="s">
        <v>74</v>
      </c>
      <c r="AZ351" s="1" t="s">
        <v>74</v>
      </c>
      <c r="BA351" s="1" t="s">
        <v>74</v>
      </c>
      <c r="BB351" s="1" t="s">
        <v>74</v>
      </c>
      <c r="BC351" s="1" t="s">
        <v>74</v>
      </c>
      <c r="BD351" s="1" t="s">
        <v>3707</v>
      </c>
      <c r="BE351" s="1" t="s">
        <v>3708</v>
      </c>
      <c r="BF351" s="2" t="str">
        <f>HYPERLINK("http://dx.doi.org/10.1371/journal.pone.0130713","http://dx.doi.org/10.1371/journal.pone.0130713")</f>
        <v>http://dx.doi.org/10.1371/journal.pone.0130713</v>
      </c>
      <c r="BG351" s="1" t="s">
        <v>74</v>
      </c>
      <c r="BH351" s="1" t="s">
        <v>74</v>
      </c>
      <c r="BI351" s="1" t="s">
        <v>74</v>
      </c>
      <c r="BJ351" s="1" t="s">
        <v>74</v>
      </c>
      <c r="BK351" s="1" t="s">
        <v>74</v>
      </c>
      <c r="BL351" s="1" t="s">
        <v>74</v>
      </c>
      <c r="BM351" s="1" t="s">
        <v>74</v>
      </c>
      <c r="BN351" s="1">
        <v>2.6125939E7</v>
      </c>
      <c r="BO351" s="1" t="s">
        <v>74</v>
      </c>
      <c r="BP351" s="1" t="s">
        <v>74</v>
      </c>
      <c r="BQ351" s="1" t="s">
        <v>74</v>
      </c>
      <c r="BR351" s="1" t="s">
        <v>74</v>
      </c>
      <c r="BS351" s="1" t="s">
        <v>3709</v>
      </c>
      <c r="BT351" s="1" t="str">
        <f>HYPERLINK("https%3A%2F%2Fwww.webofscience.com%2Fwos%2Fwoscc%2Ffull-record%2FWOS:000358151300023","View Full Record in Web of Science")</f>
        <v>View Full Record in Web of Science</v>
      </c>
    </row>
    <row r="352" ht="12.75" customHeight="1">
      <c r="A352" s="1" t="s">
        <v>72</v>
      </c>
      <c r="B352" s="1" t="s">
        <v>3710</v>
      </c>
      <c r="C352" s="1" t="s">
        <v>74</v>
      </c>
      <c r="D352" s="1" t="s">
        <v>74</v>
      </c>
      <c r="E352" s="1" t="s">
        <v>74</v>
      </c>
      <c r="F352" s="1" t="s">
        <v>3711</v>
      </c>
      <c r="G352" s="1" t="s">
        <v>74</v>
      </c>
      <c r="H352" s="1" t="s">
        <v>74</v>
      </c>
      <c r="I352" s="1" t="s">
        <v>3712</v>
      </c>
      <c r="J352" s="1" t="s">
        <v>3713</v>
      </c>
      <c r="K352" s="1" t="s">
        <v>74</v>
      </c>
      <c r="L352" s="1" t="s">
        <v>74</v>
      </c>
      <c r="M352" s="1" t="s">
        <v>74</v>
      </c>
      <c r="N352" s="1" t="s">
        <v>74</v>
      </c>
      <c r="O352" s="1" t="s">
        <v>74</v>
      </c>
      <c r="P352" s="1" t="s">
        <v>74</v>
      </c>
      <c r="Q352" s="1" t="s">
        <v>74</v>
      </c>
      <c r="R352" s="1" t="s">
        <v>74</v>
      </c>
      <c r="S352" s="1" t="s">
        <v>74</v>
      </c>
      <c r="T352" s="1" t="s">
        <v>74</v>
      </c>
      <c r="U352" s="1" t="s">
        <v>74</v>
      </c>
      <c r="V352" s="1" t="s">
        <v>3714</v>
      </c>
      <c r="W352" s="1" t="s">
        <v>74</v>
      </c>
      <c r="X352" s="1" t="s">
        <v>74</v>
      </c>
      <c r="Y352" s="1" t="s">
        <v>74</v>
      </c>
      <c r="Z352" s="1" t="s">
        <v>74</v>
      </c>
      <c r="AA352" s="1" t="s">
        <v>3715</v>
      </c>
      <c r="AB352" s="1" t="s">
        <v>3716</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3717</v>
      </c>
      <c r="AP352" s="1" t="s">
        <v>3718</v>
      </c>
      <c r="AQ352" s="1" t="s">
        <v>74</v>
      </c>
      <c r="AR352" s="1" t="s">
        <v>74</v>
      </c>
      <c r="AS352" s="1" t="s">
        <v>74</v>
      </c>
      <c r="AT352" s="1" t="s">
        <v>974</v>
      </c>
      <c r="AU352" s="1">
        <v>2014.0</v>
      </c>
      <c r="AV352" s="1">
        <v>287.0</v>
      </c>
      <c r="AW352" s="1">
        <v>10.0</v>
      </c>
      <c r="AX352" s="1" t="s">
        <v>74</v>
      </c>
      <c r="AY352" s="1" t="s">
        <v>74</v>
      </c>
      <c r="AZ352" s="1" t="s">
        <v>74</v>
      </c>
      <c r="BA352" s="1" t="s">
        <v>74</v>
      </c>
      <c r="BB352" s="1">
        <v>1131.0</v>
      </c>
      <c r="BC352" s="1">
        <v>1141.0</v>
      </c>
      <c r="BD352" s="1" t="s">
        <v>74</v>
      </c>
      <c r="BE352" s="1" t="s">
        <v>3719</v>
      </c>
      <c r="BF352" s="2" t="str">
        <f>HYPERLINK("http://dx.doi.org/10.1002/mana.201100285","http://dx.doi.org/10.1002/mana.201100285")</f>
        <v>http://dx.doi.org/10.1002/mana.201100285</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3720</v>
      </c>
      <c r="BT352" s="1" t="str">
        <f>HYPERLINK("https%3A%2F%2Fwww.webofscience.com%2Fwos%2Fwoscc%2Ffull-record%2FWOS:000339011500004","View Full Record in Web of Science")</f>
        <v>View Full Record in Web of Science</v>
      </c>
    </row>
    <row r="353" ht="12.75" customHeight="1">
      <c r="A353" s="1" t="s">
        <v>72</v>
      </c>
      <c r="B353" s="1" t="s">
        <v>3721</v>
      </c>
      <c r="C353" s="1" t="s">
        <v>74</v>
      </c>
      <c r="D353" s="1" t="s">
        <v>74</v>
      </c>
      <c r="E353" s="1" t="s">
        <v>74</v>
      </c>
      <c r="F353" s="1" t="s">
        <v>3722</v>
      </c>
      <c r="G353" s="1" t="s">
        <v>74</v>
      </c>
      <c r="H353" s="1" t="s">
        <v>74</v>
      </c>
      <c r="I353" s="1" t="s">
        <v>3723</v>
      </c>
      <c r="J353" s="1" t="s">
        <v>3724</v>
      </c>
      <c r="K353" s="1" t="s">
        <v>74</v>
      </c>
      <c r="L353" s="1" t="s">
        <v>74</v>
      </c>
      <c r="M353" s="1" t="s">
        <v>74</v>
      </c>
      <c r="N353" s="1" t="s">
        <v>74</v>
      </c>
      <c r="O353" s="1" t="s">
        <v>74</v>
      </c>
      <c r="P353" s="1" t="s">
        <v>74</v>
      </c>
      <c r="Q353" s="1" t="s">
        <v>74</v>
      </c>
      <c r="R353" s="1" t="s">
        <v>74</v>
      </c>
      <c r="S353" s="1" t="s">
        <v>74</v>
      </c>
      <c r="T353" s="1" t="s">
        <v>74</v>
      </c>
      <c r="U353" s="1" t="s">
        <v>74</v>
      </c>
      <c r="V353" s="1" t="s">
        <v>3725</v>
      </c>
      <c r="W353" s="1" t="s">
        <v>74</v>
      </c>
      <c r="X353" s="1" t="s">
        <v>74</v>
      </c>
      <c r="Y353" s="1" t="s">
        <v>74</v>
      </c>
      <c r="Z353" s="1" t="s">
        <v>74</v>
      </c>
      <c r="AA353" s="1" t="s">
        <v>3726</v>
      </c>
      <c r="AB353" s="1" t="s">
        <v>3727</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3728</v>
      </c>
      <c r="AP353" s="1" t="s">
        <v>3729</v>
      </c>
      <c r="AQ353" s="1" t="s">
        <v>74</v>
      </c>
      <c r="AR353" s="1" t="s">
        <v>74</v>
      </c>
      <c r="AS353" s="1" t="s">
        <v>74</v>
      </c>
      <c r="AT353" s="1" t="s">
        <v>3730</v>
      </c>
      <c r="AU353" s="1">
        <v>2014.0</v>
      </c>
      <c r="AV353" s="1">
        <v>21.0</v>
      </c>
      <c r="AW353" s="1">
        <v>2.0</v>
      </c>
      <c r="AX353" s="1" t="s">
        <v>74</v>
      </c>
      <c r="AY353" s="1" t="s">
        <v>74</v>
      </c>
      <c r="AZ353" s="1" t="s">
        <v>74</v>
      </c>
      <c r="BA353" s="1" t="s">
        <v>74</v>
      </c>
      <c r="BB353" s="1">
        <v>107.0</v>
      </c>
      <c r="BC353" s="1">
        <v>112.0</v>
      </c>
      <c r="BD353" s="1" t="s">
        <v>74</v>
      </c>
      <c r="BE353" s="1" t="s">
        <v>3731</v>
      </c>
      <c r="BF353" s="2" t="str">
        <f>HYPERLINK("http://dx.doi.org/10.1080/13504851.2013.842627","http://dx.doi.org/10.1080/13504851.2013.842627")</f>
        <v>http://dx.doi.org/10.1080/13504851.2013.842627</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3732</v>
      </c>
      <c r="BT353" s="1" t="str">
        <f>HYPERLINK("https%3A%2F%2Fwww.webofscience.com%2Fwos%2Fwoscc%2Ffull-record%2FWOS:000325601500009","View Full Record in Web of Science")</f>
        <v>View Full Record in Web of Science</v>
      </c>
    </row>
    <row r="354" ht="12.75" customHeight="1">
      <c r="A354" s="1" t="s">
        <v>72</v>
      </c>
      <c r="B354" s="1" t="s">
        <v>1407</v>
      </c>
      <c r="C354" s="1" t="s">
        <v>74</v>
      </c>
      <c r="D354" s="1" t="s">
        <v>74</v>
      </c>
      <c r="E354" s="1" t="s">
        <v>74</v>
      </c>
      <c r="F354" s="1" t="s">
        <v>1408</v>
      </c>
      <c r="G354" s="1" t="s">
        <v>74</v>
      </c>
      <c r="H354" s="1" t="s">
        <v>74</v>
      </c>
      <c r="I354" s="1" t="s">
        <v>3733</v>
      </c>
      <c r="J354" s="1" t="s">
        <v>1410</v>
      </c>
      <c r="K354" s="1" t="s">
        <v>74</v>
      </c>
      <c r="L354" s="1" t="s">
        <v>74</v>
      </c>
      <c r="M354" s="1" t="s">
        <v>74</v>
      </c>
      <c r="N354" s="1" t="s">
        <v>74</v>
      </c>
      <c r="O354" s="1" t="s">
        <v>74</v>
      </c>
      <c r="P354" s="1" t="s">
        <v>74</v>
      </c>
      <c r="Q354" s="1" t="s">
        <v>74</v>
      </c>
      <c r="R354" s="1" t="s">
        <v>74</v>
      </c>
      <c r="S354" s="1" t="s">
        <v>74</v>
      </c>
      <c r="T354" s="1" t="s">
        <v>74</v>
      </c>
      <c r="U354" s="1" t="s">
        <v>74</v>
      </c>
      <c r="V354" s="1" t="s">
        <v>3734</v>
      </c>
      <c r="W354" s="1" t="s">
        <v>74</v>
      </c>
      <c r="X354" s="1" t="s">
        <v>74</v>
      </c>
      <c r="Y354" s="1" t="s">
        <v>74</v>
      </c>
      <c r="Z354" s="1" t="s">
        <v>74</v>
      </c>
      <c r="AA354" s="1" t="s">
        <v>897</v>
      </c>
      <c r="AB354" s="1" t="s">
        <v>1412</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1413</v>
      </c>
      <c r="AP354" s="1" t="s">
        <v>1414</v>
      </c>
      <c r="AQ354" s="1" t="s">
        <v>74</v>
      </c>
      <c r="AR354" s="1" t="s">
        <v>74</v>
      </c>
      <c r="AS354" s="1" t="s">
        <v>74</v>
      </c>
      <c r="AT354" s="1" t="s">
        <v>822</v>
      </c>
      <c r="AU354" s="1">
        <v>2014.0</v>
      </c>
      <c r="AV354" s="1">
        <v>30.0</v>
      </c>
      <c r="AW354" s="1" t="s">
        <v>74</v>
      </c>
      <c r="AX354" s="1" t="s">
        <v>74</v>
      </c>
      <c r="AY354" s="1" t="s">
        <v>74</v>
      </c>
      <c r="AZ354" s="1" t="s">
        <v>74</v>
      </c>
      <c r="BA354" s="1" t="s">
        <v>74</v>
      </c>
      <c r="BB354" s="1">
        <v>121.0</v>
      </c>
      <c r="BC354" s="1">
        <v>130.0</v>
      </c>
      <c r="BD354" s="1" t="s">
        <v>74</v>
      </c>
      <c r="BE354" s="1" t="s">
        <v>3735</v>
      </c>
      <c r="BF354" s="2" t="str">
        <f>HYPERLINK("http://dx.doi.org/10.1016/j.chb.2013.07.054","http://dx.doi.org/10.1016/j.chb.2013.07.054")</f>
        <v>http://dx.doi.org/10.1016/j.chb.2013.07.054</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3736</v>
      </c>
      <c r="BT354" s="1" t="str">
        <f>HYPERLINK("https%3A%2F%2Fwww.webofscience.com%2Fwos%2Fwoscc%2Ffull-record%2FWOS:000330090900014","View Full Record in Web of Science")</f>
        <v>View Full Record in Web of Science</v>
      </c>
    </row>
    <row r="355" ht="12.75" customHeight="1">
      <c r="A355" s="1" t="s">
        <v>72</v>
      </c>
      <c r="B355" s="1" t="s">
        <v>3737</v>
      </c>
      <c r="C355" s="1" t="s">
        <v>74</v>
      </c>
      <c r="D355" s="1" t="s">
        <v>74</v>
      </c>
      <c r="E355" s="1" t="s">
        <v>74</v>
      </c>
      <c r="F355" s="1" t="s">
        <v>3738</v>
      </c>
      <c r="G355" s="1" t="s">
        <v>74</v>
      </c>
      <c r="H355" s="1" t="s">
        <v>74</v>
      </c>
      <c r="I355" s="1" t="s">
        <v>3739</v>
      </c>
      <c r="J355" s="1" t="s">
        <v>948</v>
      </c>
      <c r="K355" s="1" t="s">
        <v>74</v>
      </c>
      <c r="L355" s="1" t="s">
        <v>74</v>
      </c>
      <c r="M355" s="1" t="s">
        <v>74</v>
      </c>
      <c r="N355" s="1" t="s">
        <v>74</v>
      </c>
      <c r="O355" s="1" t="s">
        <v>74</v>
      </c>
      <c r="P355" s="1" t="s">
        <v>74</v>
      </c>
      <c r="Q355" s="1" t="s">
        <v>74</v>
      </c>
      <c r="R355" s="1" t="s">
        <v>74</v>
      </c>
      <c r="S355" s="1" t="s">
        <v>74</v>
      </c>
      <c r="T355" s="1" t="s">
        <v>74</v>
      </c>
      <c r="U355" s="1" t="s">
        <v>74</v>
      </c>
      <c r="V355" s="1" t="s">
        <v>74</v>
      </c>
      <c r="W355" s="1" t="s">
        <v>74</v>
      </c>
      <c r="X355" s="1" t="s">
        <v>74</v>
      </c>
      <c r="Y355" s="1" t="s">
        <v>74</v>
      </c>
      <c r="Z355" s="1" t="s">
        <v>74</v>
      </c>
      <c r="AA355" s="1" t="s">
        <v>3740</v>
      </c>
      <c r="AB355" s="1" t="s">
        <v>3741</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2687</v>
      </c>
      <c r="AP355" s="1" t="s">
        <v>74</v>
      </c>
      <c r="AQ355" s="1" t="s">
        <v>74</v>
      </c>
      <c r="AR355" s="1" t="s">
        <v>74</v>
      </c>
      <c r="AS355" s="1" t="s">
        <v>74</v>
      </c>
      <c r="AT355" s="1" t="s">
        <v>176</v>
      </c>
      <c r="AU355" s="1">
        <v>2012.0</v>
      </c>
      <c r="AV355" s="1">
        <v>57.0</v>
      </c>
      <c r="AW355" s="1">
        <v>1.0</v>
      </c>
      <c r="AX355" s="1" t="s">
        <v>74</v>
      </c>
      <c r="AY355" s="1" t="s">
        <v>74</v>
      </c>
      <c r="AZ355" s="1" t="s">
        <v>74</v>
      </c>
      <c r="BA355" s="1" t="s">
        <v>74</v>
      </c>
      <c r="BB355" s="1">
        <v>1065.0</v>
      </c>
      <c r="BC355" s="1">
        <v>1065.0</v>
      </c>
      <c r="BD355" s="1" t="s">
        <v>74</v>
      </c>
      <c r="BE355" s="1" t="s">
        <v>74</v>
      </c>
      <c r="BF355" s="1" t="s">
        <v>74</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3742</v>
      </c>
      <c r="BT355" s="1" t="str">
        <f>HYPERLINK("https%3A%2F%2Fwww.webofscience.com%2Fwos%2Fwoscc%2Ffull-record%2FWOS:000302755900023","View Full Record in Web of Science")</f>
        <v>View Full Record in Web of Science</v>
      </c>
    </row>
    <row r="356" ht="12.75" customHeight="1">
      <c r="A356" s="1" t="s">
        <v>72</v>
      </c>
      <c r="B356" s="1" t="s">
        <v>3743</v>
      </c>
      <c r="C356" s="1" t="s">
        <v>74</v>
      </c>
      <c r="D356" s="1" t="s">
        <v>74</v>
      </c>
      <c r="E356" s="1" t="s">
        <v>74</v>
      </c>
      <c r="F356" s="1" t="s">
        <v>3744</v>
      </c>
      <c r="G356" s="1" t="s">
        <v>74</v>
      </c>
      <c r="H356" s="1" t="s">
        <v>74</v>
      </c>
      <c r="I356" s="1" t="s">
        <v>3745</v>
      </c>
      <c r="J356" s="1" t="s">
        <v>2086</v>
      </c>
      <c r="K356" s="1" t="s">
        <v>74</v>
      </c>
      <c r="L356" s="1" t="s">
        <v>74</v>
      </c>
      <c r="M356" s="1" t="s">
        <v>74</v>
      </c>
      <c r="N356" s="1" t="s">
        <v>74</v>
      </c>
      <c r="O356" s="1" t="s">
        <v>74</v>
      </c>
      <c r="P356" s="1" t="s">
        <v>74</v>
      </c>
      <c r="Q356" s="1" t="s">
        <v>74</v>
      </c>
      <c r="R356" s="1" t="s">
        <v>74</v>
      </c>
      <c r="S356" s="1" t="s">
        <v>74</v>
      </c>
      <c r="T356" s="1" t="s">
        <v>74</v>
      </c>
      <c r="U356" s="1" t="s">
        <v>74</v>
      </c>
      <c r="V356" s="1" t="s">
        <v>3746</v>
      </c>
      <c r="W356" s="1" t="s">
        <v>74</v>
      </c>
      <c r="X356" s="1" t="s">
        <v>74</v>
      </c>
      <c r="Y356" s="1" t="s">
        <v>74</v>
      </c>
      <c r="Z356" s="1" t="s">
        <v>74</v>
      </c>
      <c r="AA356" s="1" t="s">
        <v>74</v>
      </c>
      <c r="AB356" s="1" t="s">
        <v>668</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2090</v>
      </c>
      <c r="AP356" s="1" t="s">
        <v>74</v>
      </c>
      <c r="AQ356" s="1" t="s">
        <v>74</v>
      </c>
      <c r="AR356" s="1" t="s">
        <v>74</v>
      </c>
      <c r="AS356" s="1" t="s">
        <v>74</v>
      </c>
      <c r="AT356" s="1" t="s">
        <v>2091</v>
      </c>
      <c r="AU356" s="1">
        <v>2011.0</v>
      </c>
      <c r="AV356" s="1">
        <v>24.0</v>
      </c>
      <c r="AW356" s="1" t="s">
        <v>2092</v>
      </c>
      <c r="AX356" s="1" t="s">
        <v>74</v>
      </c>
      <c r="AY356" s="1" t="s">
        <v>74</v>
      </c>
      <c r="AZ356" s="1" t="s">
        <v>74</v>
      </c>
      <c r="BA356" s="1" t="s">
        <v>74</v>
      </c>
      <c r="BB356" s="1">
        <v>845.0</v>
      </c>
      <c r="BC356" s="1">
        <v>860.0</v>
      </c>
      <c r="BD356" s="1" t="s">
        <v>74</v>
      </c>
      <c r="BE356" s="1" t="s">
        <v>74</v>
      </c>
      <c r="BF356" s="1" t="s">
        <v>74</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3747</v>
      </c>
      <c r="BT356" s="1" t="str">
        <f>HYPERLINK("https%3A%2F%2Fwww.webofscience.com%2Fwos%2Fwoscc%2Ffull-record%2FWOS:000293821200003","View Full Record in Web of Science")</f>
        <v>View Full Record in Web of Science</v>
      </c>
    </row>
    <row r="357" ht="12.75" customHeight="1">
      <c r="A357" s="1" t="s">
        <v>72</v>
      </c>
      <c r="B357" s="1" t="s">
        <v>3748</v>
      </c>
      <c r="C357" s="1" t="s">
        <v>74</v>
      </c>
      <c r="D357" s="1" t="s">
        <v>74</v>
      </c>
      <c r="E357" s="1" t="s">
        <v>74</v>
      </c>
      <c r="F357" s="1" t="s">
        <v>3749</v>
      </c>
      <c r="G357" s="1" t="s">
        <v>74</v>
      </c>
      <c r="H357" s="1" t="s">
        <v>74</v>
      </c>
      <c r="I357" s="1" t="s">
        <v>3750</v>
      </c>
      <c r="J357" s="1" t="s">
        <v>438</v>
      </c>
      <c r="K357" s="1" t="s">
        <v>74</v>
      </c>
      <c r="L357" s="1" t="s">
        <v>74</v>
      </c>
      <c r="M357" s="1" t="s">
        <v>74</v>
      </c>
      <c r="N357" s="1" t="s">
        <v>74</v>
      </c>
      <c r="O357" s="1" t="s">
        <v>74</v>
      </c>
      <c r="P357" s="1" t="s">
        <v>74</v>
      </c>
      <c r="Q357" s="1" t="s">
        <v>74</v>
      </c>
      <c r="R357" s="1" t="s">
        <v>74</v>
      </c>
      <c r="S357" s="1" t="s">
        <v>74</v>
      </c>
      <c r="T357" s="1" t="s">
        <v>74</v>
      </c>
      <c r="U357" s="1" t="s">
        <v>74</v>
      </c>
      <c r="V357" s="1" t="s">
        <v>3751</v>
      </c>
      <c r="W357" s="1" t="s">
        <v>74</v>
      </c>
      <c r="X357" s="1" t="s">
        <v>74</v>
      </c>
      <c r="Y357" s="1" t="s">
        <v>74</v>
      </c>
      <c r="Z357" s="1" t="s">
        <v>74</v>
      </c>
      <c r="AA357" s="1" t="s">
        <v>3752</v>
      </c>
      <c r="AB357" s="1" t="s">
        <v>3753</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442</v>
      </c>
      <c r="AP357" s="1" t="s">
        <v>443</v>
      </c>
      <c r="AQ357" s="1" t="s">
        <v>74</v>
      </c>
      <c r="AR357" s="1" t="s">
        <v>74</v>
      </c>
      <c r="AS357" s="1" t="s">
        <v>74</v>
      </c>
      <c r="AT357" s="1" t="s">
        <v>1493</v>
      </c>
      <c r="AU357" s="1">
        <v>2011.0</v>
      </c>
      <c r="AV357" s="1">
        <v>115.0</v>
      </c>
      <c r="AW357" s="1">
        <v>32.0</v>
      </c>
      <c r="AX357" s="1" t="s">
        <v>74</v>
      </c>
      <c r="AY357" s="1" t="s">
        <v>74</v>
      </c>
      <c r="AZ357" s="1" t="s">
        <v>74</v>
      </c>
      <c r="BA357" s="1" t="s">
        <v>74</v>
      </c>
      <c r="BB357" s="1">
        <v>16052.0</v>
      </c>
      <c r="BC357" s="1">
        <v>16062.0</v>
      </c>
      <c r="BD357" s="1" t="s">
        <v>74</v>
      </c>
      <c r="BE357" s="1" t="s">
        <v>3754</v>
      </c>
      <c r="BF357" s="2" t="str">
        <f>HYPERLINK("http://dx.doi.org/10.1021/jp2041026","http://dx.doi.org/10.1021/jp2041026")</f>
        <v>http://dx.doi.org/10.1021/jp2041026</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3755</v>
      </c>
      <c r="BT357" s="1" t="str">
        <f>HYPERLINK("https%3A%2F%2Fwww.webofscience.com%2Fwos%2Fwoscc%2Ffull-record%2FWOS:000293758700042","View Full Record in Web of Science")</f>
        <v>View Full Record in Web of Science</v>
      </c>
    </row>
    <row r="358" ht="12.75" customHeight="1">
      <c r="A358" s="1" t="s">
        <v>72</v>
      </c>
      <c r="B358" s="1" t="s">
        <v>3756</v>
      </c>
      <c r="C358" s="1" t="s">
        <v>74</v>
      </c>
      <c r="D358" s="1" t="s">
        <v>74</v>
      </c>
      <c r="E358" s="1" t="s">
        <v>74</v>
      </c>
      <c r="F358" s="1" t="s">
        <v>3757</v>
      </c>
      <c r="G358" s="1" t="s">
        <v>74</v>
      </c>
      <c r="H358" s="1" t="s">
        <v>74</v>
      </c>
      <c r="I358" s="1" t="s">
        <v>3758</v>
      </c>
      <c r="J358" s="1" t="s">
        <v>3759</v>
      </c>
      <c r="K358" s="1" t="s">
        <v>74</v>
      </c>
      <c r="L358" s="1" t="s">
        <v>74</v>
      </c>
      <c r="M358" s="1" t="s">
        <v>74</v>
      </c>
      <c r="N358" s="1" t="s">
        <v>74</v>
      </c>
      <c r="O358" s="1" t="s">
        <v>74</v>
      </c>
      <c r="P358" s="1" t="s">
        <v>74</v>
      </c>
      <c r="Q358" s="1" t="s">
        <v>74</v>
      </c>
      <c r="R358" s="1" t="s">
        <v>74</v>
      </c>
      <c r="S358" s="1" t="s">
        <v>74</v>
      </c>
      <c r="T358" s="1" t="s">
        <v>74</v>
      </c>
      <c r="U358" s="1" t="s">
        <v>74</v>
      </c>
      <c r="V358" s="1" t="s">
        <v>3760</v>
      </c>
      <c r="W358" s="1" t="s">
        <v>74</v>
      </c>
      <c r="X358" s="1" t="s">
        <v>74</v>
      </c>
      <c r="Y358" s="1" t="s">
        <v>74</v>
      </c>
      <c r="Z358" s="1" t="s">
        <v>74</v>
      </c>
      <c r="AA358" s="1" t="s">
        <v>3761</v>
      </c>
      <c r="AB358" s="1" t="s">
        <v>3762</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3763</v>
      </c>
      <c r="AP358" s="1" t="s">
        <v>74</v>
      </c>
      <c r="AQ358" s="1" t="s">
        <v>74</v>
      </c>
      <c r="AR358" s="1" t="s">
        <v>74</v>
      </c>
      <c r="AS358" s="1" t="s">
        <v>74</v>
      </c>
      <c r="AT358" s="1" t="s">
        <v>2406</v>
      </c>
      <c r="AU358" s="1">
        <v>2010.0</v>
      </c>
      <c r="AV358" s="1">
        <v>26.0</v>
      </c>
      <c r="AW358" s="1">
        <v>14.0</v>
      </c>
      <c r="AX358" s="1" t="s">
        <v>74</v>
      </c>
      <c r="AY358" s="1" t="s">
        <v>74</v>
      </c>
      <c r="AZ358" s="1" t="s">
        <v>74</v>
      </c>
      <c r="BA358" s="1" t="s">
        <v>74</v>
      </c>
      <c r="BB358" s="1">
        <v>12026.0</v>
      </c>
      <c r="BC358" s="1">
        <v>12032.0</v>
      </c>
      <c r="BD358" s="1" t="s">
        <v>74</v>
      </c>
      <c r="BE358" s="1" t="s">
        <v>3764</v>
      </c>
      <c r="BF358" s="2" t="str">
        <f>HYPERLINK("http://dx.doi.org/10.1021/la1014237","http://dx.doi.org/10.1021/la1014237")</f>
        <v>http://dx.doi.org/10.1021/la1014237</v>
      </c>
      <c r="BG358" s="1" t="s">
        <v>74</v>
      </c>
      <c r="BH358" s="1" t="s">
        <v>74</v>
      </c>
      <c r="BI358" s="1" t="s">
        <v>74</v>
      </c>
      <c r="BJ358" s="1" t="s">
        <v>74</v>
      </c>
      <c r="BK358" s="1" t="s">
        <v>74</v>
      </c>
      <c r="BL358" s="1" t="s">
        <v>74</v>
      </c>
      <c r="BM358" s="1" t="s">
        <v>74</v>
      </c>
      <c r="BN358" s="1">
        <v>2.0557062E7</v>
      </c>
      <c r="BO358" s="1" t="s">
        <v>74</v>
      </c>
      <c r="BP358" s="1" t="s">
        <v>74</v>
      </c>
      <c r="BQ358" s="1" t="s">
        <v>74</v>
      </c>
      <c r="BR358" s="1" t="s">
        <v>74</v>
      </c>
      <c r="BS358" s="1" t="s">
        <v>3765</v>
      </c>
      <c r="BT358" s="1" t="str">
        <f>HYPERLINK("https%3A%2F%2Fwww.webofscience.com%2Fwos%2Fwoscc%2Ffull-record%2FWOS:000279756700061","View Full Record in Web of Science")</f>
        <v>View Full Record in Web of Science</v>
      </c>
    </row>
    <row r="359" ht="12.75" customHeight="1">
      <c r="A359" s="1" t="s">
        <v>72</v>
      </c>
      <c r="B359" s="1" t="s">
        <v>3766</v>
      </c>
      <c r="C359" s="1" t="s">
        <v>74</v>
      </c>
      <c r="D359" s="1" t="s">
        <v>74</v>
      </c>
      <c r="E359" s="1" t="s">
        <v>74</v>
      </c>
      <c r="F359" s="1" t="s">
        <v>3767</v>
      </c>
      <c r="G359" s="1" t="s">
        <v>74</v>
      </c>
      <c r="H359" s="1" t="s">
        <v>74</v>
      </c>
      <c r="I359" s="1" t="s">
        <v>3768</v>
      </c>
      <c r="J359" s="1" t="s">
        <v>3769</v>
      </c>
      <c r="K359" s="1" t="s">
        <v>74</v>
      </c>
      <c r="L359" s="1" t="s">
        <v>74</v>
      </c>
      <c r="M359" s="1" t="s">
        <v>74</v>
      </c>
      <c r="N359" s="1" t="s">
        <v>74</v>
      </c>
      <c r="O359" s="1" t="s">
        <v>74</v>
      </c>
      <c r="P359" s="1" t="s">
        <v>74</v>
      </c>
      <c r="Q359" s="1" t="s">
        <v>74</v>
      </c>
      <c r="R359" s="1" t="s">
        <v>74</v>
      </c>
      <c r="S359" s="1" t="s">
        <v>74</v>
      </c>
      <c r="T359" s="1" t="s">
        <v>74</v>
      </c>
      <c r="U359" s="1" t="s">
        <v>74</v>
      </c>
      <c r="V359" s="1" t="s">
        <v>3770</v>
      </c>
      <c r="W359" s="1" t="s">
        <v>74</v>
      </c>
      <c r="X359" s="1" t="s">
        <v>74</v>
      </c>
      <c r="Y359" s="1" t="s">
        <v>74</v>
      </c>
      <c r="Z359" s="1" t="s">
        <v>74</v>
      </c>
      <c r="AA359" s="1" t="s">
        <v>3771</v>
      </c>
      <c r="AB359" s="1" t="s">
        <v>3772</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3773</v>
      </c>
      <c r="AP359" s="1" t="s">
        <v>3774</v>
      </c>
      <c r="AQ359" s="1" t="s">
        <v>74</v>
      </c>
      <c r="AR359" s="1" t="s">
        <v>74</v>
      </c>
      <c r="AS359" s="1" t="s">
        <v>74</v>
      </c>
      <c r="AT359" s="1" t="s">
        <v>74</v>
      </c>
      <c r="AU359" s="1">
        <v>2006.0</v>
      </c>
      <c r="AV359" s="1">
        <v>141.0</v>
      </c>
      <c r="AW359" s="1">
        <v>1.0</v>
      </c>
      <c r="AX359" s="1" t="s">
        <v>74</v>
      </c>
      <c r="AY359" s="1" t="s">
        <v>74</v>
      </c>
      <c r="AZ359" s="1" t="s">
        <v>74</v>
      </c>
      <c r="BA359" s="1" t="s">
        <v>74</v>
      </c>
      <c r="BB359" s="1">
        <v>223.0</v>
      </c>
      <c r="BC359" s="1">
        <v>231.0</v>
      </c>
      <c r="BD359" s="1" t="s">
        <v>74</v>
      </c>
      <c r="BE359" s="1" t="s">
        <v>3775</v>
      </c>
      <c r="BF359" s="2" t="str">
        <f>HYPERLINK("http://dx.doi.org/10.1016/j.neuroscience.2006.03.046","http://dx.doi.org/10.1016/j.neuroscience.2006.03.046")</f>
        <v>http://dx.doi.org/10.1016/j.neuroscience.2006.03.046</v>
      </c>
      <c r="BG359" s="1" t="s">
        <v>74</v>
      </c>
      <c r="BH359" s="1" t="s">
        <v>74</v>
      </c>
      <c r="BI359" s="1" t="s">
        <v>74</v>
      </c>
      <c r="BJ359" s="1" t="s">
        <v>74</v>
      </c>
      <c r="BK359" s="1" t="s">
        <v>74</v>
      </c>
      <c r="BL359" s="1" t="s">
        <v>74</v>
      </c>
      <c r="BM359" s="1" t="s">
        <v>74</v>
      </c>
      <c r="BN359" s="1">
        <v>1.6675136E7</v>
      </c>
      <c r="BO359" s="1" t="s">
        <v>74</v>
      </c>
      <c r="BP359" s="1" t="s">
        <v>74</v>
      </c>
      <c r="BQ359" s="1" t="s">
        <v>74</v>
      </c>
      <c r="BR359" s="1" t="s">
        <v>74</v>
      </c>
      <c r="BS359" s="1" t="s">
        <v>3776</v>
      </c>
      <c r="BT359" s="1" t="str">
        <f>HYPERLINK("https%3A%2F%2Fwww.webofscience.com%2Fwos%2Fwoscc%2Ffull-record%2FWOS:000239033300022","View Full Record in Web of Science")</f>
        <v>View Full Record in Web of Science</v>
      </c>
    </row>
    <row r="360" ht="12.75" customHeight="1">
      <c r="A360" s="1" t="s">
        <v>72</v>
      </c>
      <c r="B360" s="1" t="s">
        <v>3777</v>
      </c>
      <c r="C360" s="1" t="s">
        <v>74</v>
      </c>
      <c r="D360" s="1" t="s">
        <v>74</v>
      </c>
      <c r="E360" s="1" t="s">
        <v>74</v>
      </c>
      <c r="F360" s="1" t="s">
        <v>3777</v>
      </c>
      <c r="G360" s="1" t="s">
        <v>74</v>
      </c>
      <c r="H360" s="1" t="s">
        <v>74</v>
      </c>
      <c r="I360" s="1" t="s">
        <v>3778</v>
      </c>
      <c r="J360" s="1" t="s">
        <v>472</v>
      </c>
      <c r="K360" s="1" t="s">
        <v>74</v>
      </c>
      <c r="L360" s="1" t="s">
        <v>74</v>
      </c>
      <c r="M360" s="1" t="s">
        <v>74</v>
      </c>
      <c r="N360" s="1" t="s">
        <v>74</v>
      </c>
      <c r="O360" s="1" t="s">
        <v>74</v>
      </c>
      <c r="P360" s="1" t="s">
        <v>74</v>
      </c>
      <c r="Q360" s="1" t="s">
        <v>74</v>
      </c>
      <c r="R360" s="1" t="s">
        <v>74</v>
      </c>
      <c r="S360" s="1" t="s">
        <v>74</v>
      </c>
      <c r="T360" s="1" t="s">
        <v>74</v>
      </c>
      <c r="U360" s="1" t="s">
        <v>74</v>
      </c>
      <c r="V360" s="1" t="s">
        <v>3779</v>
      </c>
      <c r="W360" s="1" t="s">
        <v>74</v>
      </c>
      <c r="X360" s="1" t="s">
        <v>74</v>
      </c>
      <c r="Y360" s="1" t="s">
        <v>74</v>
      </c>
      <c r="Z360" s="1" t="s">
        <v>74</v>
      </c>
      <c r="AA360" s="1" t="s">
        <v>3780</v>
      </c>
      <c r="AB360" s="1" t="s">
        <v>3781</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3782</v>
      </c>
      <c r="AP360" s="1" t="s">
        <v>3783</v>
      </c>
      <c r="AQ360" s="1" t="s">
        <v>74</v>
      </c>
      <c r="AR360" s="1" t="s">
        <v>74</v>
      </c>
      <c r="AS360" s="1" t="s">
        <v>74</v>
      </c>
      <c r="AT360" s="1" t="s">
        <v>385</v>
      </c>
      <c r="AU360" s="1">
        <v>2005.0</v>
      </c>
      <c r="AV360" s="1">
        <v>71.0</v>
      </c>
      <c r="AW360" s="1">
        <v>6.0</v>
      </c>
      <c r="AX360" s="1">
        <v>1.0</v>
      </c>
      <c r="AY360" s="1" t="s">
        <v>74</v>
      </c>
      <c r="AZ360" s="1" t="s">
        <v>74</v>
      </c>
      <c r="BA360" s="1" t="s">
        <v>74</v>
      </c>
      <c r="BB360" s="1" t="s">
        <v>74</v>
      </c>
      <c r="BC360" s="1" t="s">
        <v>74</v>
      </c>
      <c r="BD360" s="1">
        <v>61911.0</v>
      </c>
      <c r="BE360" s="1" t="s">
        <v>3784</v>
      </c>
      <c r="BF360" s="2" t="str">
        <f>HYPERLINK("http://dx.doi.org/10.1103/PhysRevE.71.061911","http://dx.doi.org/10.1103/PhysRevE.71.061911")</f>
        <v>http://dx.doi.org/10.1103/PhysRevE.71.061911</v>
      </c>
      <c r="BG360" s="1" t="s">
        <v>74</v>
      </c>
      <c r="BH360" s="1" t="s">
        <v>74</v>
      </c>
      <c r="BI360" s="1" t="s">
        <v>74</v>
      </c>
      <c r="BJ360" s="1" t="s">
        <v>74</v>
      </c>
      <c r="BK360" s="1" t="s">
        <v>74</v>
      </c>
      <c r="BL360" s="1" t="s">
        <v>74</v>
      </c>
      <c r="BM360" s="1" t="s">
        <v>74</v>
      </c>
      <c r="BN360" s="1">
        <v>1.6089769E7</v>
      </c>
      <c r="BO360" s="1" t="s">
        <v>74</v>
      </c>
      <c r="BP360" s="1" t="s">
        <v>74</v>
      </c>
      <c r="BQ360" s="1" t="s">
        <v>74</v>
      </c>
      <c r="BR360" s="1" t="s">
        <v>74</v>
      </c>
      <c r="BS360" s="1" t="s">
        <v>3785</v>
      </c>
      <c r="BT360" s="1" t="str">
        <f>HYPERLINK("https%3A%2F%2Fwww.webofscience.com%2Fwos%2Fwoscc%2Ffull-record%2FWOS:000230274500061","View Full Record in Web of Science")</f>
        <v>View Full Record in Web of Science</v>
      </c>
    </row>
    <row r="361" ht="12.75" customHeight="1">
      <c r="A361" s="1" t="s">
        <v>72</v>
      </c>
      <c r="B361" s="1" t="s">
        <v>3786</v>
      </c>
      <c r="C361" s="1" t="s">
        <v>74</v>
      </c>
      <c r="D361" s="1" t="s">
        <v>74</v>
      </c>
      <c r="E361" s="1" t="s">
        <v>74</v>
      </c>
      <c r="F361" s="1" t="s">
        <v>3786</v>
      </c>
      <c r="G361" s="1" t="s">
        <v>74</v>
      </c>
      <c r="H361" s="1" t="s">
        <v>74</v>
      </c>
      <c r="I361" s="1" t="s">
        <v>3787</v>
      </c>
      <c r="J361" s="1" t="s">
        <v>3788</v>
      </c>
      <c r="K361" s="1" t="s">
        <v>74</v>
      </c>
      <c r="L361" s="1" t="s">
        <v>74</v>
      </c>
      <c r="M361" s="1" t="s">
        <v>74</v>
      </c>
      <c r="N361" s="1" t="s">
        <v>74</v>
      </c>
      <c r="O361" s="1" t="s">
        <v>3789</v>
      </c>
      <c r="P361" s="1" t="s">
        <v>3790</v>
      </c>
      <c r="Q361" s="1" t="s">
        <v>3791</v>
      </c>
      <c r="R361" s="1" t="s">
        <v>74</v>
      </c>
      <c r="S361" s="1" t="s">
        <v>74</v>
      </c>
      <c r="T361" s="1" t="s">
        <v>74</v>
      </c>
      <c r="U361" s="1" t="s">
        <v>74</v>
      </c>
      <c r="V361" s="1" t="s">
        <v>3792</v>
      </c>
      <c r="W361" s="1" t="s">
        <v>74</v>
      </c>
      <c r="X361" s="1" t="s">
        <v>74</v>
      </c>
      <c r="Y361" s="1" t="s">
        <v>74</v>
      </c>
      <c r="Z361" s="1" t="s">
        <v>74</v>
      </c>
      <c r="AA361" s="1" t="s">
        <v>3793</v>
      </c>
      <c r="AB361" s="1" t="s">
        <v>3794</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3795</v>
      </c>
      <c r="AP361" s="1" t="s">
        <v>74</v>
      </c>
      <c r="AQ361" s="1" t="s">
        <v>74</v>
      </c>
      <c r="AR361" s="1" t="s">
        <v>74</v>
      </c>
      <c r="AS361" s="1" t="s">
        <v>74</v>
      </c>
      <c r="AT361" s="1" t="s">
        <v>83</v>
      </c>
      <c r="AU361" s="1">
        <v>1998.0</v>
      </c>
      <c r="AV361" s="1">
        <v>44.0</v>
      </c>
      <c r="AW361" s="1" t="s">
        <v>74</v>
      </c>
      <c r="AX361" s="1" t="s">
        <v>74</v>
      </c>
      <c r="AY361" s="1">
        <v>3.0</v>
      </c>
      <c r="AZ361" s="1" t="s">
        <v>74</v>
      </c>
      <c r="BA361" s="1" t="s">
        <v>74</v>
      </c>
      <c r="BB361" s="1">
        <v>244.0</v>
      </c>
      <c r="BC361" s="1">
        <v>246.0</v>
      </c>
      <c r="BD361" s="1" t="s">
        <v>74</v>
      </c>
      <c r="BE361" s="1" t="s">
        <v>74</v>
      </c>
      <c r="BF361" s="1" t="s">
        <v>74</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3796</v>
      </c>
      <c r="BT361" s="1" t="str">
        <f>HYPERLINK("https%3A%2F%2Fwww.webofscience.com%2Fwos%2Fwoscc%2Ffull-record%2FWOS:000077675900064","View Full Record in Web of Science")</f>
        <v>View Full Record in Web of Science</v>
      </c>
    </row>
    <row r="362" ht="12.75" customHeight="1">
      <c r="A362" s="1" t="s">
        <v>72</v>
      </c>
      <c r="B362" s="1" t="s">
        <v>3797</v>
      </c>
      <c r="C362" s="1" t="s">
        <v>74</v>
      </c>
      <c r="D362" s="1" t="s">
        <v>74</v>
      </c>
      <c r="E362" s="1" t="s">
        <v>74</v>
      </c>
      <c r="F362" s="1" t="s">
        <v>3797</v>
      </c>
      <c r="G362" s="1" t="s">
        <v>74</v>
      </c>
      <c r="H362" s="1" t="s">
        <v>74</v>
      </c>
      <c r="I362" s="1" t="s">
        <v>3798</v>
      </c>
      <c r="J362" s="1" t="s">
        <v>3799</v>
      </c>
      <c r="K362" s="1" t="s">
        <v>74</v>
      </c>
      <c r="L362" s="1" t="s">
        <v>74</v>
      </c>
      <c r="M362" s="1" t="s">
        <v>74</v>
      </c>
      <c r="N362" s="1" t="s">
        <v>74</v>
      </c>
      <c r="O362" s="1" t="s">
        <v>74</v>
      </c>
      <c r="P362" s="1" t="s">
        <v>74</v>
      </c>
      <c r="Q362" s="1" t="s">
        <v>74</v>
      </c>
      <c r="R362" s="1" t="s">
        <v>74</v>
      </c>
      <c r="S362" s="1" t="s">
        <v>74</v>
      </c>
      <c r="T362" s="1" t="s">
        <v>74</v>
      </c>
      <c r="U362" s="1" t="s">
        <v>74</v>
      </c>
      <c r="V362" s="1" t="s">
        <v>3800</v>
      </c>
      <c r="W362" s="1" t="s">
        <v>74</v>
      </c>
      <c r="X362" s="1" t="s">
        <v>74</v>
      </c>
      <c r="Y362" s="1" t="s">
        <v>74</v>
      </c>
      <c r="Z362" s="1" t="s">
        <v>74</v>
      </c>
      <c r="AA362" s="1" t="s">
        <v>3801</v>
      </c>
      <c r="AB362" s="1" t="s">
        <v>3802</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3803</v>
      </c>
      <c r="AP362" s="1" t="s">
        <v>74</v>
      </c>
      <c r="AQ362" s="1" t="s">
        <v>74</v>
      </c>
      <c r="AR362" s="1" t="s">
        <v>74</v>
      </c>
      <c r="AS362" s="1" t="s">
        <v>74</v>
      </c>
      <c r="AT362" s="1" t="s">
        <v>1533</v>
      </c>
      <c r="AU362" s="1">
        <v>1996.0</v>
      </c>
      <c r="AV362" s="1">
        <v>211.0</v>
      </c>
      <c r="AW362" s="1">
        <v>3.0</v>
      </c>
      <c r="AX362" s="1" t="s">
        <v>74</v>
      </c>
      <c r="AY362" s="1" t="s">
        <v>74</v>
      </c>
      <c r="AZ362" s="1" t="s">
        <v>74</v>
      </c>
      <c r="BA362" s="1" t="s">
        <v>74</v>
      </c>
      <c r="BB362" s="1">
        <v>143.0</v>
      </c>
      <c r="BC362" s="1">
        <v>147.0</v>
      </c>
      <c r="BD362" s="1" t="s">
        <v>74</v>
      </c>
      <c r="BE362" s="1" t="s">
        <v>3804</v>
      </c>
      <c r="BF362" s="2" t="str">
        <f>HYPERLINK("http://dx.doi.org/10.1016/0375-9601(95)00958-2","http://dx.doi.org/10.1016/0375-9601(95)00958-2")</f>
        <v>http://dx.doi.org/10.1016/0375-9601(95)00958-2</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3805</v>
      </c>
      <c r="BT362" s="1" t="str">
        <f>HYPERLINK("https%3A%2F%2Fwww.webofscience.com%2Fwos%2Fwoscc%2Ffull-record%2FWOS:A1996TV38800004","View Full Record in Web of Science")</f>
        <v>View Full Record in Web of Science</v>
      </c>
    </row>
    <row r="363" ht="12.75" customHeight="1">
      <c r="A363" s="1" t="s">
        <v>72</v>
      </c>
      <c r="B363" s="1" t="s">
        <v>3806</v>
      </c>
      <c r="C363" s="1" t="s">
        <v>74</v>
      </c>
      <c r="D363" s="1" t="s">
        <v>74</v>
      </c>
      <c r="E363" s="1" t="s">
        <v>74</v>
      </c>
      <c r="F363" s="1" t="s">
        <v>3807</v>
      </c>
      <c r="G363" s="1" t="s">
        <v>74</v>
      </c>
      <c r="H363" s="1" t="s">
        <v>74</v>
      </c>
      <c r="I363" s="1" t="s">
        <v>3808</v>
      </c>
      <c r="J363" s="1" t="s">
        <v>3809</v>
      </c>
      <c r="K363" s="1" t="s">
        <v>74</v>
      </c>
      <c r="L363" s="1" t="s">
        <v>74</v>
      </c>
      <c r="M363" s="1" t="s">
        <v>74</v>
      </c>
      <c r="N363" s="1" t="s">
        <v>74</v>
      </c>
      <c r="O363" s="1" t="s">
        <v>74</v>
      </c>
      <c r="P363" s="1" t="s">
        <v>74</v>
      </c>
      <c r="Q363" s="1" t="s">
        <v>74</v>
      </c>
      <c r="R363" s="1" t="s">
        <v>74</v>
      </c>
      <c r="S363" s="1" t="s">
        <v>74</v>
      </c>
      <c r="T363" s="1" t="s">
        <v>74</v>
      </c>
      <c r="U363" s="1" t="s">
        <v>74</v>
      </c>
      <c r="V363" s="1" t="s">
        <v>3810</v>
      </c>
      <c r="W363" s="1" t="s">
        <v>74</v>
      </c>
      <c r="X363" s="1" t="s">
        <v>74</v>
      </c>
      <c r="Y363" s="1" t="s">
        <v>74</v>
      </c>
      <c r="Z363" s="1" t="s">
        <v>74</v>
      </c>
      <c r="AA363" s="1" t="s">
        <v>3811</v>
      </c>
      <c r="AB363" s="1" t="s">
        <v>3812</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3813</v>
      </c>
      <c r="AP363" s="1" t="s">
        <v>3814</v>
      </c>
      <c r="AQ363" s="1" t="s">
        <v>74</v>
      </c>
      <c r="AR363" s="1" t="s">
        <v>74</v>
      </c>
      <c r="AS363" s="1" t="s">
        <v>74</v>
      </c>
      <c r="AT363" s="1" t="s">
        <v>83</v>
      </c>
      <c r="AU363" s="1">
        <v>2024.0</v>
      </c>
      <c r="AV363" s="1">
        <v>82.0</v>
      </c>
      <c r="AW363" s="1" t="s">
        <v>74</v>
      </c>
      <c r="AX363" s="1" t="s">
        <v>74</v>
      </c>
      <c r="AY363" s="1" t="s">
        <v>74</v>
      </c>
      <c r="AZ363" s="1" t="s">
        <v>74</v>
      </c>
      <c r="BA363" s="1" t="s">
        <v>74</v>
      </c>
      <c r="BB363" s="1" t="s">
        <v>74</v>
      </c>
      <c r="BC363" s="1" t="s">
        <v>74</v>
      </c>
      <c r="BD363" s="1">
        <v>126745.0</v>
      </c>
      <c r="BE363" s="1" t="s">
        <v>3815</v>
      </c>
      <c r="BF363" s="2" t="str">
        <f>HYPERLINK("http://dx.doi.org/10.1016/j.jnc.2024.126745","http://dx.doi.org/10.1016/j.jnc.2024.126745")</f>
        <v>http://dx.doi.org/10.1016/j.jnc.2024.126745</v>
      </c>
      <c r="BG363" s="1" t="s">
        <v>74</v>
      </c>
      <c r="BH363" s="1" t="s">
        <v>1566</v>
      </c>
      <c r="BI363" s="1" t="s">
        <v>74</v>
      </c>
      <c r="BJ363" s="1" t="s">
        <v>74</v>
      </c>
      <c r="BK363" s="1" t="s">
        <v>74</v>
      </c>
      <c r="BL363" s="1" t="s">
        <v>74</v>
      </c>
      <c r="BM363" s="1" t="s">
        <v>74</v>
      </c>
      <c r="BN363" s="1" t="s">
        <v>74</v>
      </c>
      <c r="BO363" s="1" t="s">
        <v>74</v>
      </c>
      <c r="BP363" s="1" t="s">
        <v>74</v>
      </c>
      <c r="BQ363" s="1" t="s">
        <v>74</v>
      </c>
      <c r="BR363" s="1" t="s">
        <v>74</v>
      </c>
      <c r="BS363" s="1" t="s">
        <v>3816</v>
      </c>
      <c r="BT363" s="1" t="str">
        <f>HYPERLINK("https%3A%2F%2Fwww.webofscience.com%2Fwos%2Fwoscc%2Ffull-record%2FWOS:001334166200001","View Full Record in Web of Science")</f>
        <v>View Full Record in Web of Science</v>
      </c>
    </row>
    <row r="364" ht="12.75" customHeight="1">
      <c r="A364" s="1" t="s">
        <v>72</v>
      </c>
      <c r="B364" s="1" t="s">
        <v>3817</v>
      </c>
      <c r="C364" s="1" t="s">
        <v>74</v>
      </c>
      <c r="D364" s="1" t="s">
        <v>74</v>
      </c>
      <c r="E364" s="1" t="s">
        <v>74</v>
      </c>
      <c r="F364" s="1" t="s">
        <v>3818</v>
      </c>
      <c r="G364" s="1" t="s">
        <v>74</v>
      </c>
      <c r="H364" s="1" t="s">
        <v>74</v>
      </c>
      <c r="I364" s="1" t="s">
        <v>3819</v>
      </c>
      <c r="J364" s="1" t="s">
        <v>1590</v>
      </c>
      <c r="K364" s="1" t="s">
        <v>74</v>
      </c>
      <c r="L364" s="1" t="s">
        <v>74</v>
      </c>
      <c r="M364" s="1" t="s">
        <v>74</v>
      </c>
      <c r="N364" s="1" t="s">
        <v>74</v>
      </c>
      <c r="O364" s="1" t="s">
        <v>74</v>
      </c>
      <c r="P364" s="1" t="s">
        <v>74</v>
      </c>
      <c r="Q364" s="1" t="s">
        <v>74</v>
      </c>
      <c r="R364" s="1" t="s">
        <v>74</v>
      </c>
      <c r="S364" s="1" t="s">
        <v>74</v>
      </c>
      <c r="T364" s="1" t="s">
        <v>74</v>
      </c>
      <c r="U364" s="1" t="s">
        <v>74</v>
      </c>
      <c r="V364" s="1" t="s">
        <v>3820</v>
      </c>
      <c r="W364" s="1" t="s">
        <v>74</v>
      </c>
      <c r="X364" s="1" t="s">
        <v>74</v>
      </c>
      <c r="Y364" s="1" t="s">
        <v>74</v>
      </c>
      <c r="Z364" s="1" t="s">
        <v>74</v>
      </c>
      <c r="AA364" s="1" t="s">
        <v>3821</v>
      </c>
      <c r="AB364" s="1" t="s">
        <v>3822</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74</v>
      </c>
      <c r="AP364" s="1" t="s">
        <v>1594</v>
      </c>
      <c r="AQ364" s="1" t="s">
        <v>74</v>
      </c>
      <c r="AR364" s="1" t="s">
        <v>74</v>
      </c>
      <c r="AS364" s="1" t="s">
        <v>74</v>
      </c>
      <c r="AT364" s="1" t="s">
        <v>385</v>
      </c>
      <c r="AU364" s="1">
        <v>2024.0</v>
      </c>
      <c r="AV364" s="1">
        <v>14.0</v>
      </c>
      <c r="AW364" s="1">
        <v>12.0</v>
      </c>
      <c r="AX364" s="1" t="s">
        <v>74</v>
      </c>
      <c r="AY364" s="1" t="s">
        <v>74</v>
      </c>
      <c r="AZ364" s="1" t="s">
        <v>74</v>
      </c>
      <c r="BA364" s="1" t="s">
        <v>74</v>
      </c>
      <c r="BB364" s="1" t="s">
        <v>74</v>
      </c>
      <c r="BC364" s="1" t="s">
        <v>74</v>
      </c>
      <c r="BD364" s="1">
        <v>1022.0</v>
      </c>
      <c r="BE364" s="1" t="s">
        <v>3823</v>
      </c>
      <c r="BF364" s="2" t="str">
        <f>HYPERLINK("http://dx.doi.org/10.3390/nano14121022","http://dx.doi.org/10.3390/nano14121022")</f>
        <v>http://dx.doi.org/10.3390/nano14121022</v>
      </c>
      <c r="BG364" s="1" t="s">
        <v>74</v>
      </c>
      <c r="BH364" s="1" t="s">
        <v>74</v>
      </c>
      <c r="BI364" s="1" t="s">
        <v>74</v>
      </c>
      <c r="BJ364" s="1" t="s">
        <v>74</v>
      </c>
      <c r="BK364" s="1" t="s">
        <v>74</v>
      </c>
      <c r="BL364" s="1" t="s">
        <v>74</v>
      </c>
      <c r="BM364" s="1" t="s">
        <v>74</v>
      </c>
      <c r="BN364" s="1">
        <v>3.8921898E7</v>
      </c>
      <c r="BO364" s="1" t="s">
        <v>74</v>
      </c>
      <c r="BP364" s="1" t="s">
        <v>74</v>
      </c>
      <c r="BQ364" s="1" t="s">
        <v>74</v>
      </c>
      <c r="BR364" s="1" t="s">
        <v>74</v>
      </c>
      <c r="BS364" s="1" t="s">
        <v>3824</v>
      </c>
      <c r="BT364" s="1" t="str">
        <f>HYPERLINK("https%3A%2F%2Fwww.webofscience.com%2Fwos%2Fwoscc%2Ffull-record%2FWOS:001257237000001","View Full Record in Web of Science")</f>
        <v>View Full Record in Web of Science</v>
      </c>
    </row>
    <row r="365" ht="12.75" customHeight="1">
      <c r="A365" s="1" t="s">
        <v>72</v>
      </c>
      <c r="B365" s="1" t="s">
        <v>3825</v>
      </c>
      <c r="C365" s="1" t="s">
        <v>74</v>
      </c>
      <c r="D365" s="1" t="s">
        <v>74</v>
      </c>
      <c r="E365" s="1" t="s">
        <v>74</v>
      </c>
      <c r="F365" s="1" t="s">
        <v>3826</v>
      </c>
      <c r="G365" s="1" t="s">
        <v>74</v>
      </c>
      <c r="H365" s="1" t="s">
        <v>74</v>
      </c>
      <c r="I365" s="1" t="s">
        <v>3827</v>
      </c>
      <c r="J365" s="1" t="s">
        <v>3828</v>
      </c>
      <c r="K365" s="1" t="s">
        <v>74</v>
      </c>
      <c r="L365" s="1" t="s">
        <v>74</v>
      </c>
      <c r="M365" s="1" t="s">
        <v>74</v>
      </c>
      <c r="N365" s="1" t="s">
        <v>74</v>
      </c>
      <c r="O365" s="1" t="s">
        <v>74</v>
      </c>
      <c r="P365" s="1" t="s">
        <v>74</v>
      </c>
      <c r="Q365" s="1" t="s">
        <v>74</v>
      </c>
      <c r="R365" s="1" t="s">
        <v>74</v>
      </c>
      <c r="S365" s="1" t="s">
        <v>74</v>
      </c>
      <c r="T365" s="1" t="s">
        <v>74</v>
      </c>
      <c r="U365" s="1" t="s">
        <v>74</v>
      </c>
      <c r="V365" s="1" t="s">
        <v>74</v>
      </c>
      <c r="W365" s="1" t="s">
        <v>74</v>
      </c>
      <c r="X365" s="1" t="s">
        <v>74</v>
      </c>
      <c r="Y365" s="1" t="s">
        <v>74</v>
      </c>
      <c r="Z365" s="1" t="s">
        <v>74</v>
      </c>
      <c r="AA365" s="1" t="s">
        <v>74</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74</v>
      </c>
      <c r="AP365" s="1" t="s">
        <v>3829</v>
      </c>
      <c r="AQ365" s="1" t="s">
        <v>74</v>
      </c>
      <c r="AR365" s="1" t="s">
        <v>74</v>
      </c>
      <c r="AS365" s="1" t="s">
        <v>74</v>
      </c>
      <c r="AT365" s="1" t="s">
        <v>3830</v>
      </c>
      <c r="AU365" s="1">
        <v>2024.0</v>
      </c>
      <c r="AV365" s="1">
        <v>15.0</v>
      </c>
      <c r="AW365" s="1" t="s">
        <v>74</v>
      </c>
      <c r="AX365" s="1" t="s">
        <v>74</v>
      </c>
      <c r="AY365" s="1" t="s">
        <v>74</v>
      </c>
      <c r="AZ365" s="1" t="s">
        <v>74</v>
      </c>
      <c r="BA365" s="1" t="s">
        <v>74</v>
      </c>
      <c r="BB365" s="1" t="s">
        <v>74</v>
      </c>
      <c r="BC365" s="1" t="s">
        <v>74</v>
      </c>
      <c r="BD365" s="1">
        <v>1403768.0</v>
      </c>
      <c r="BE365" s="1" t="s">
        <v>3831</v>
      </c>
      <c r="BF365" s="2" t="str">
        <f>HYPERLINK("http://dx.doi.org/10.3389/fphys.2024.1403768","http://dx.doi.org/10.3389/fphys.2024.1403768")</f>
        <v>http://dx.doi.org/10.3389/fphys.2024.1403768</v>
      </c>
      <c r="BG365" s="1" t="s">
        <v>74</v>
      </c>
      <c r="BH365" s="1" t="s">
        <v>74</v>
      </c>
      <c r="BI365" s="1" t="s">
        <v>74</v>
      </c>
      <c r="BJ365" s="1" t="s">
        <v>74</v>
      </c>
      <c r="BK365" s="1" t="s">
        <v>74</v>
      </c>
      <c r="BL365" s="1" t="s">
        <v>74</v>
      </c>
      <c r="BM365" s="1" t="s">
        <v>74</v>
      </c>
      <c r="BN365" s="1">
        <v>3.8645691E7</v>
      </c>
      <c r="BO365" s="1" t="s">
        <v>74</v>
      </c>
      <c r="BP365" s="1" t="s">
        <v>74</v>
      </c>
      <c r="BQ365" s="1" t="s">
        <v>74</v>
      </c>
      <c r="BR365" s="1" t="s">
        <v>74</v>
      </c>
      <c r="BS365" s="1" t="s">
        <v>3832</v>
      </c>
      <c r="BT365" s="1" t="str">
        <f>HYPERLINK("https%3A%2F%2Fwww.webofscience.com%2Fwos%2Fwoscc%2Ffull-record%2FWOS:001205484900001","View Full Record in Web of Science")</f>
        <v>View Full Record in Web of Science</v>
      </c>
    </row>
    <row r="366" ht="12.75" customHeight="1">
      <c r="A366" s="1" t="s">
        <v>154</v>
      </c>
      <c r="B366" s="1" t="s">
        <v>3833</v>
      </c>
      <c r="C366" s="1" t="s">
        <v>74</v>
      </c>
      <c r="D366" s="1" t="s">
        <v>74</v>
      </c>
      <c r="E366" s="1" t="s">
        <v>323</v>
      </c>
      <c r="F366" s="1" t="s">
        <v>3834</v>
      </c>
      <c r="G366" s="1" t="s">
        <v>74</v>
      </c>
      <c r="H366" s="1" t="s">
        <v>74</v>
      </c>
      <c r="I366" s="1" t="s">
        <v>3835</v>
      </c>
      <c r="J366" s="1" t="s">
        <v>711</v>
      </c>
      <c r="K366" s="1" t="s">
        <v>712</v>
      </c>
      <c r="L366" s="1" t="s">
        <v>74</v>
      </c>
      <c r="M366" s="1" t="s">
        <v>74</v>
      </c>
      <c r="N366" s="1" t="s">
        <v>74</v>
      </c>
      <c r="O366" s="1" t="s">
        <v>713</v>
      </c>
      <c r="P366" s="1" t="s">
        <v>714</v>
      </c>
      <c r="Q366" s="1" t="s">
        <v>715</v>
      </c>
      <c r="R366" s="1" t="s">
        <v>74</v>
      </c>
      <c r="S366" s="1" t="s">
        <v>74</v>
      </c>
      <c r="T366" s="1" t="s">
        <v>74</v>
      </c>
      <c r="U366" s="1" t="s">
        <v>74</v>
      </c>
      <c r="V366" s="1" t="s">
        <v>3836</v>
      </c>
      <c r="W366" s="1" t="s">
        <v>74</v>
      </c>
      <c r="X366" s="1" t="s">
        <v>74</v>
      </c>
      <c r="Y366" s="1" t="s">
        <v>74</v>
      </c>
      <c r="Z366" s="1" t="s">
        <v>74</v>
      </c>
      <c r="AA366" s="1" t="s">
        <v>3837</v>
      </c>
      <c r="AB366" s="1" t="s">
        <v>3838</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718</v>
      </c>
      <c r="AP366" s="1" t="s">
        <v>74</v>
      </c>
      <c r="AQ366" s="1" t="s">
        <v>719</v>
      </c>
      <c r="AR366" s="1" t="s">
        <v>74</v>
      </c>
      <c r="AS366" s="1" t="s">
        <v>74</v>
      </c>
      <c r="AT366" s="1" t="s">
        <v>74</v>
      </c>
      <c r="AU366" s="1">
        <v>2024.0</v>
      </c>
      <c r="AV366" s="1" t="s">
        <v>74</v>
      </c>
      <c r="AW366" s="1" t="s">
        <v>74</v>
      </c>
      <c r="AX366" s="1" t="s">
        <v>74</v>
      </c>
      <c r="AY366" s="1" t="s">
        <v>74</v>
      </c>
      <c r="AZ366" s="1" t="s">
        <v>74</v>
      </c>
      <c r="BA366" s="1" t="s">
        <v>74</v>
      </c>
      <c r="BB366" s="1">
        <v>169.0</v>
      </c>
      <c r="BC366" s="1">
        <v>172.0</v>
      </c>
      <c r="BD366" s="1" t="s">
        <v>74</v>
      </c>
      <c r="BE366" s="1" t="s">
        <v>3839</v>
      </c>
      <c r="BF366" s="2" t="str">
        <f>HYPERLINK("http://dx.doi.org/10.1109/CSNDSP60683.2024.10636573","http://dx.doi.org/10.1109/CSNDSP60683.2024.10636573")</f>
        <v>http://dx.doi.org/10.1109/CSNDSP60683.2024.10636573</v>
      </c>
      <c r="BG366" s="1" t="s">
        <v>74</v>
      </c>
      <c r="BH366" s="1" t="s">
        <v>74</v>
      </c>
      <c r="BI366" s="1" t="s">
        <v>74</v>
      </c>
      <c r="BJ366" s="1" t="s">
        <v>74</v>
      </c>
      <c r="BK366" s="1" t="s">
        <v>74</v>
      </c>
      <c r="BL366" s="1" t="s">
        <v>74</v>
      </c>
      <c r="BM366" s="1" t="s">
        <v>74</v>
      </c>
      <c r="BN366" s="1" t="s">
        <v>74</v>
      </c>
      <c r="BO366" s="1" t="s">
        <v>74</v>
      </c>
      <c r="BP366" s="1" t="s">
        <v>74</v>
      </c>
      <c r="BQ366" s="1" t="s">
        <v>74</v>
      </c>
      <c r="BR366" s="1" t="s">
        <v>74</v>
      </c>
      <c r="BS366" s="1" t="s">
        <v>3840</v>
      </c>
      <c r="BT366" s="1" t="str">
        <f>HYPERLINK("https%3A%2F%2Fwww.webofscience.com%2Fwos%2Fwoscc%2Ffull-record%2FWOS:001324588800032","View Full Record in Web of Science")</f>
        <v>View Full Record in Web of Science</v>
      </c>
    </row>
    <row r="367" ht="12.75" customHeight="1">
      <c r="A367" s="1" t="s">
        <v>72</v>
      </c>
      <c r="B367" s="1" t="s">
        <v>3841</v>
      </c>
      <c r="C367" s="1" t="s">
        <v>74</v>
      </c>
      <c r="D367" s="1" t="s">
        <v>74</v>
      </c>
      <c r="E367" s="1" t="s">
        <v>74</v>
      </c>
      <c r="F367" s="1" t="s">
        <v>3842</v>
      </c>
      <c r="G367" s="1" t="s">
        <v>74</v>
      </c>
      <c r="H367" s="1" t="s">
        <v>74</v>
      </c>
      <c r="I367" s="1" t="s">
        <v>3843</v>
      </c>
      <c r="J367" s="1" t="s">
        <v>3844</v>
      </c>
      <c r="K367" s="1" t="s">
        <v>74</v>
      </c>
      <c r="L367" s="1" t="s">
        <v>74</v>
      </c>
      <c r="M367" s="1" t="s">
        <v>74</v>
      </c>
      <c r="N367" s="1" t="s">
        <v>74</v>
      </c>
      <c r="O367" s="1" t="s">
        <v>74</v>
      </c>
      <c r="P367" s="1" t="s">
        <v>74</v>
      </c>
      <c r="Q367" s="1" t="s">
        <v>74</v>
      </c>
      <c r="R367" s="1" t="s">
        <v>74</v>
      </c>
      <c r="S367" s="1" t="s">
        <v>74</v>
      </c>
      <c r="T367" s="1" t="s">
        <v>74</v>
      </c>
      <c r="U367" s="1" t="s">
        <v>74</v>
      </c>
      <c r="V367" s="1" t="s">
        <v>3845</v>
      </c>
      <c r="W367" s="1" t="s">
        <v>74</v>
      </c>
      <c r="X367" s="1" t="s">
        <v>74</v>
      </c>
      <c r="Y367" s="1" t="s">
        <v>74</v>
      </c>
      <c r="Z367" s="1" t="s">
        <v>74</v>
      </c>
      <c r="AA367" s="1" t="s">
        <v>3846</v>
      </c>
      <c r="AB367" s="1" t="s">
        <v>3847</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3848</v>
      </c>
      <c r="AQ367" s="1" t="s">
        <v>74</v>
      </c>
      <c r="AR367" s="1" t="s">
        <v>74</v>
      </c>
      <c r="AS367" s="1" t="s">
        <v>74</v>
      </c>
      <c r="AT367" s="1" t="s">
        <v>308</v>
      </c>
      <c r="AU367" s="1">
        <v>2023.0</v>
      </c>
      <c r="AV367" s="1">
        <v>9.0</v>
      </c>
      <c r="AW367" s="1">
        <v>4.0</v>
      </c>
      <c r="AX367" s="1" t="s">
        <v>74</v>
      </c>
      <c r="AY367" s="1" t="s">
        <v>74</v>
      </c>
      <c r="AZ367" s="1" t="s">
        <v>74</v>
      </c>
      <c r="BA367" s="1" t="s">
        <v>74</v>
      </c>
      <c r="BB367" s="1" t="s">
        <v>74</v>
      </c>
      <c r="BC367" s="1" t="s">
        <v>74</v>
      </c>
      <c r="BD367" s="1">
        <v>459.0</v>
      </c>
      <c r="BE367" s="1" t="s">
        <v>3849</v>
      </c>
      <c r="BF367" s="2" t="str">
        <f>HYPERLINK("http://dx.doi.org/10.3390/jof9040459","http://dx.doi.org/10.3390/jof9040459")</f>
        <v>http://dx.doi.org/10.3390/jof9040459</v>
      </c>
      <c r="BG367" s="1" t="s">
        <v>74</v>
      </c>
      <c r="BH367" s="1" t="s">
        <v>74</v>
      </c>
      <c r="BI367" s="1" t="s">
        <v>74</v>
      </c>
      <c r="BJ367" s="1" t="s">
        <v>74</v>
      </c>
      <c r="BK367" s="1" t="s">
        <v>74</v>
      </c>
      <c r="BL367" s="1" t="s">
        <v>74</v>
      </c>
      <c r="BM367" s="1" t="s">
        <v>74</v>
      </c>
      <c r="BN367" s="1">
        <v>3.7108913E7</v>
      </c>
      <c r="BO367" s="1" t="s">
        <v>74</v>
      </c>
      <c r="BP367" s="1" t="s">
        <v>74</v>
      </c>
      <c r="BQ367" s="1" t="s">
        <v>74</v>
      </c>
      <c r="BR367" s="1" t="s">
        <v>74</v>
      </c>
      <c r="BS367" s="1" t="s">
        <v>3850</v>
      </c>
      <c r="BT367" s="1" t="str">
        <f>HYPERLINK("https%3A%2F%2Fwww.webofscience.com%2Fwos%2Fwoscc%2Ffull-record%2FWOS:000979214000001","View Full Record in Web of Science")</f>
        <v>View Full Record in Web of Science</v>
      </c>
    </row>
    <row r="368" ht="12.75" customHeight="1">
      <c r="A368" s="1" t="s">
        <v>72</v>
      </c>
      <c r="B368" s="1" t="s">
        <v>3851</v>
      </c>
      <c r="C368" s="1" t="s">
        <v>74</v>
      </c>
      <c r="D368" s="1" t="s">
        <v>74</v>
      </c>
      <c r="E368" s="1" t="s">
        <v>74</v>
      </c>
      <c r="F368" s="1" t="s">
        <v>3852</v>
      </c>
      <c r="G368" s="1" t="s">
        <v>74</v>
      </c>
      <c r="H368" s="1" t="s">
        <v>74</v>
      </c>
      <c r="I368" s="1" t="s">
        <v>3853</v>
      </c>
      <c r="J368" s="1" t="s">
        <v>2365</v>
      </c>
      <c r="K368" s="1" t="s">
        <v>74</v>
      </c>
      <c r="L368" s="1" t="s">
        <v>74</v>
      </c>
      <c r="M368" s="1" t="s">
        <v>74</v>
      </c>
      <c r="N368" s="1" t="s">
        <v>74</v>
      </c>
      <c r="O368" s="1" t="s">
        <v>74</v>
      </c>
      <c r="P368" s="1" t="s">
        <v>74</v>
      </c>
      <c r="Q368" s="1" t="s">
        <v>74</v>
      </c>
      <c r="R368" s="1" t="s">
        <v>74</v>
      </c>
      <c r="S368" s="1" t="s">
        <v>74</v>
      </c>
      <c r="T368" s="1" t="s">
        <v>74</v>
      </c>
      <c r="U368" s="1" t="s">
        <v>74</v>
      </c>
      <c r="V368" s="1" t="s">
        <v>3854</v>
      </c>
      <c r="W368" s="1" t="s">
        <v>74</v>
      </c>
      <c r="X368" s="1" t="s">
        <v>74</v>
      </c>
      <c r="Y368" s="1" t="s">
        <v>74</v>
      </c>
      <c r="Z368" s="1" t="s">
        <v>74</v>
      </c>
      <c r="AA368" s="1" t="s">
        <v>3855</v>
      </c>
      <c r="AB368" s="1" t="s">
        <v>3856</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74</v>
      </c>
      <c r="AP368" s="1" t="s">
        <v>2369</v>
      </c>
      <c r="AQ368" s="1" t="s">
        <v>74</v>
      </c>
      <c r="AR368" s="1" t="s">
        <v>74</v>
      </c>
      <c r="AS368" s="1" t="s">
        <v>74</v>
      </c>
      <c r="AT368" s="1" t="s">
        <v>176</v>
      </c>
      <c r="AU368" s="1">
        <v>2023.0</v>
      </c>
      <c r="AV368" s="1">
        <v>15.0</v>
      </c>
      <c r="AW368" s="1">
        <v>5.0</v>
      </c>
      <c r="AX368" s="1" t="s">
        <v>74</v>
      </c>
      <c r="AY368" s="1" t="s">
        <v>74</v>
      </c>
      <c r="AZ368" s="1" t="s">
        <v>74</v>
      </c>
      <c r="BA368" s="1" t="s">
        <v>74</v>
      </c>
      <c r="BB368" s="1" t="s">
        <v>74</v>
      </c>
      <c r="BC368" s="1" t="s">
        <v>74</v>
      </c>
      <c r="BD368" s="1">
        <v>1081.0</v>
      </c>
      <c r="BE368" s="1" t="s">
        <v>3857</v>
      </c>
      <c r="BF368" s="2" t="str">
        <f>HYPERLINK("http://dx.doi.org/10.3390/polym15051081","http://dx.doi.org/10.3390/polym15051081")</f>
        <v>http://dx.doi.org/10.3390/polym15051081</v>
      </c>
      <c r="BG368" s="1" t="s">
        <v>74</v>
      </c>
      <c r="BH368" s="1" t="s">
        <v>74</v>
      </c>
      <c r="BI368" s="1" t="s">
        <v>74</v>
      </c>
      <c r="BJ368" s="1" t="s">
        <v>74</v>
      </c>
      <c r="BK368" s="1" t="s">
        <v>74</v>
      </c>
      <c r="BL368" s="1" t="s">
        <v>74</v>
      </c>
      <c r="BM368" s="1" t="s">
        <v>74</v>
      </c>
      <c r="BN368" s="1">
        <v>3.6904321E7</v>
      </c>
      <c r="BO368" s="1" t="s">
        <v>74</v>
      </c>
      <c r="BP368" s="1" t="s">
        <v>74</v>
      </c>
      <c r="BQ368" s="1" t="s">
        <v>74</v>
      </c>
      <c r="BR368" s="1" t="s">
        <v>74</v>
      </c>
      <c r="BS368" s="1" t="s">
        <v>3858</v>
      </c>
      <c r="BT368" s="1" t="str">
        <f>HYPERLINK("https%3A%2F%2Fwww.webofscience.com%2Fwos%2Fwoscc%2Ffull-record%2FWOS:000948159300001","View Full Record in Web of Science")</f>
        <v>View Full Record in Web of Science</v>
      </c>
    </row>
    <row r="369" ht="12.75" customHeight="1">
      <c r="A369" s="1" t="s">
        <v>154</v>
      </c>
      <c r="B369" s="1" t="s">
        <v>3859</v>
      </c>
      <c r="C369" s="1" t="s">
        <v>74</v>
      </c>
      <c r="D369" s="1" t="s">
        <v>3860</v>
      </c>
      <c r="E369" s="1" t="s">
        <v>74</v>
      </c>
      <c r="F369" s="1" t="s">
        <v>3861</v>
      </c>
      <c r="G369" s="1" t="s">
        <v>74</v>
      </c>
      <c r="H369" s="1" t="s">
        <v>74</v>
      </c>
      <c r="I369" s="1" t="s">
        <v>3862</v>
      </c>
      <c r="J369" s="1" t="s">
        <v>3863</v>
      </c>
      <c r="K369" s="1" t="s">
        <v>3864</v>
      </c>
      <c r="L369" s="1" t="s">
        <v>74</v>
      </c>
      <c r="M369" s="1" t="s">
        <v>74</v>
      </c>
      <c r="N369" s="1" t="s">
        <v>74</v>
      </c>
      <c r="O369" s="1" t="s">
        <v>3865</v>
      </c>
      <c r="P369" s="1" t="s">
        <v>3866</v>
      </c>
      <c r="Q369" s="1" t="s">
        <v>3867</v>
      </c>
      <c r="R369" s="1" t="s">
        <v>3868</v>
      </c>
      <c r="S369" s="1" t="s">
        <v>74</v>
      </c>
      <c r="T369" s="1" t="s">
        <v>74</v>
      </c>
      <c r="U369" s="1" t="s">
        <v>74</v>
      </c>
      <c r="V369" s="1" t="s">
        <v>3869</v>
      </c>
      <c r="W369" s="1" t="s">
        <v>74</v>
      </c>
      <c r="X369" s="1" t="s">
        <v>74</v>
      </c>
      <c r="Y369" s="1" t="s">
        <v>74</v>
      </c>
      <c r="Z369" s="1" t="s">
        <v>74</v>
      </c>
      <c r="AA369" s="1" t="s">
        <v>3870</v>
      </c>
      <c r="AB369" s="1" t="s">
        <v>3871</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3872</v>
      </c>
      <c r="AP369" s="1" t="s">
        <v>74</v>
      </c>
      <c r="AQ369" s="1" t="s">
        <v>3873</v>
      </c>
      <c r="AR369" s="1" t="s">
        <v>74</v>
      </c>
      <c r="AS369" s="1" t="s">
        <v>74</v>
      </c>
      <c r="AT369" s="1" t="s">
        <v>74</v>
      </c>
      <c r="AU369" s="1">
        <v>2023.0</v>
      </c>
      <c r="AV369" s="1" t="s">
        <v>74</v>
      </c>
      <c r="AW369" s="1" t="s">
        <v>74</v>
      </c>
      <c r="AX369" s="1" t="s">
        <v>74</v>
      </c>
      <c r="AY369" s="1" t="s">
        <v>74</v>
      </c>
      <c r="AZ369" s="1" t="s">
        <v>74</v>
      </c>
      <c r="BA369" s="1" t="s">
        <v>74</v>
      </c>
      <c r="BB369" s="1" t="s">
        <v>74</v>
      </c>
      <c r="BC369" s="1" t="s">
        <v>74</v>
      </c>
      <c r="BD369" s="1" t="s">
        <v>74</v>
      </c>
      <c r="BE369" s="1" t="s">
        <v>3874</v>
      </c>
      <c r="BF369" s="2" t="str">
        <f>HYPERLINK("http://dx.doi.org/10.1109/COLCACI59285.2023.10226128","http://dx.doi.org/10.1109/COLCACI59285.2023.10226128")</f>
        <v>http://dx.doi.org/10.1109/COLCACI59285.2023.10226128</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3875</v>
      </c>
      <c r="BT369" s="1" t="str">
        <f>HYPERLINK("https%3A%2F%2Fwww.webofscience.com%2Fwos%2Fwoscc%2Ffull-record%2FWOS:001062453300019","View Full Record in Web of Science")</f>
        <v>View Full Record in Web of Science</v>
      </c>
    </row>
    <row r="370" ht="12.75" customHeight="1">
      <c r="A370" s="1" t="s">
        <v>72</v>
      </c>
      <c r="B370" s="1" t="s">
        <v>3876</v>
      </c>
      <c r="C370" s="1" t="s">
        <v>74</v>
      </c>
      <c r="D370" s="1" t="s">
        <v>74</v>
      </c>
      <c r="E370" s="1" t="s">
        <v>74</v>
      </c>
      <c r="F370" s="1" t="s">
        <v>3877</v>
      </c>
      <c r="G370" s="1" t="s">
        <v>74</v>
      </c>
      <c r="H370" s="1" t="s">
        <v>74</v>
      </c>
      <c r="I370" s="1" t="s">
        <v>3878</v>
      </c>
      <c r="J370" s="1" t="s">
        <v>2365</v>
      </c>
      <c r="K370" s="1" t="s">
        <v>74</v>
      </c>
      <c r="L370" s="1" t="s">
        <v>74</v>
      </c>
      <c r="M370" s="1" t="s">
        <v>74</v>
      </c>
      <c r="N370" s="1" t="s">
        <v>74</v>
      </c>
      <c r="O370" s="1" t="s">
        <v>74</v>
      </c>
      <c r="P370" s="1" t="s">
        <v>74</v>
      </c>
      <c r="Q370" s="1" t="s">
        <v>74</v>
      </c>
      <c r="R370" s="1" t="s">
        <v>74</v>
      </c>
      <c r="S370" s="1" t="s">
        <v>74</v>
      </c>
      <c r="T370" s="1" t="s">
        <v>74</v>
      </c>
      <c r="U370" s="1" t="s">
        <v>74</v>
      </c>
      <c r="V370" s="1" t="s">
        <v>3879</v>
      </c>
      <c r="W370" s="1" t="s">
        <v>74</v>
      </c>
      <c r="X370" s="1" t="s">
        <v>74</v>
      </c>
      <c r="Y370" s="1" t="s">
        <v>74</v>
      </c>
      <c r="Z370" s="1" t="s">
        <v>74</v>
      </c>
      <c r="AA370" s="1" t="s">
        <v>3880</v>
      </c>
      <c r="AB370" s="1" t="s">
        <v>3881</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74</v>
      </c>
      <c r="AP370" s="1" t="s">
        <v>2369</v>
      </c>
      <c r="AQ370" s="1" t="s">
        <v>74</v>
      </c>
      <c r="AR370" s="1" t="s">
        <v>74</v>
      </c>
      <c r="AS370" s="1" t="s">
        <v>74</v>
      </c>
      <c r="AT370" s="1" t="s">
        <v>83</v>
      </c>
      <c r="AU370" s="1">
        <v>2022.0</v>
      </c>
      <c r="AV370" s="1">
        <v>14.0</v>
      </c>
      <c r="AW370" s="1">
        <v>23.0</v>
      </c>
      <c r="AX370" s="1" t="s">
        <v>74</v>
      </c>
      <c r="AY370" s="1" t="s">
        <v>74</v>
      </c>
      <c r="AZ370" s="1" t="s">
        <v>74</v>
      </c>
      <c r="BA370" s="1" t="s">
        <v>74</v>
      </c>
      <c r="BB370" s="1" t="s">
        <v>74</v>
      </c>
      <c r="BC370" s="1" t="s">
        <v>74</v>
      </c>
      <c r="BD370" s="1">
        <v>5220.0</v>
      </c>
      <c r="BE370" s="1" t="s">
        <v>3882</v>
      </c>
      <c r="BF370" s="2" t="str">
        <f>HYPERLINK("http://dx.doi.org/10.3390/polym14235220","http://dx.doi.org/10.3390/polym14235220")</f>
        <v>http://dx.doi.org/10.3390/polym14235220</v>
      </c>
      <c r="BG370" s="1" t="s">
        <v>74</v>
      </c>
      <c r="BH370" s="1" t="s">
        <v>74</v>
      </c>
      <c r="BI370" s="1" t="s">
        <v>74</v>
      </c>
      <c r="BJ370" s="1" t="s">
        <v>74</v>
      </c>
      <c r="BK370" s="1" t="s">
        <v>74</v>
      </c>
      <c r="BL370" s="1" t="s">
        <v>74</v>
      </c>
      <c r="BM370" s="1" t="s">
        <v>74</v>
      </c>
      <c r="BN370" s="1">
        <v>3.6501616E7</v>
      </c>
      <c r="BO370" s="1" t="s">
        <v>74</v>
      </c>
      <c r="BP370" s="1" t="s">
        <v>74</v>
      </c>
      <c r="BQ370" s="1" t="s">
        <v>74</v>
      </c>
      <c r="BR370" s="1" t="s">
        <v>74</v>
      </c>
      <c r="BS370" s="1" t="s">
        <v>3883</v>
      </c>
      <c r="BT370" s="1" t="str">
        <f>HYPERLINK("https%3A%2F%2Fwww.webofscience.com%2Fwos%2Fwoscc%2Ffull-record%2FWOS:000933653800001","View Full Record in Web of Science")</f>
        <v>View Full Record in Web of Science</v>
      </c>
    </row>
    <row r="371" ht="12.75" customHeight="1">
      <c r="A371" s="1" t="s">
        <v>72</v>
      </c>
      <c r="B371" s="1" t="s">
        <v>3884</v>
      </c>
      <c r="C371" s="1" t="s">
        <v>74</v>
      </c>
      <c r="D371" s="1" t="s">
        <v>74</v>
      </c>
      <c r="E371" s="1" t="s">
        <v>74</v>
      </c>
      <c r="F371" s="1" t="s">
        <v>3885</v>
      </c>
      <c r="G371" s="1" t="s">
        <v>74</v>
      </c>
      <c r="H371" s="1" t="s">
        <v>74</v>
      </c>
      <c r="I371" s="1" t="s">
        <v>3886</v>
      </c>
      <c r="J371" s="1" t="s">
        <v>3887</v>
      </c>
      <c r="K371" s="1" t="s">
        <v>74</v>
      </c>
      <c r="L371" s="1" t="s">
        <v>74</v>
      </c>
      <c r="M371" s="1" t="s">
        <v>74</v>
      </c>
      <c r="N371" s="1" t="s">
        <v>74</v>
      </c>
      <c r="O371" s="1" t="s">
        <v>74</v>
      </c>
      <c r="P371" s="1" t="s">
        <v>74</v>
      </c>
      <c r="Q371" s="1" t="s">
        <v>74</v>
      </c>
      <c r="R371" s="1" t="s">
        <v>74</v>
      </c>
      <c r="S371" s="1" t="s">
        <v>74</v>
      </c>
      <c r="T371" s="1" t="s">
        <v>74</v>
      </c>
      <c r="U371" s="1" t="s">
        <v>74</v>
      </c>
      <c r="V371" s="1" t="s">
        <v>3888</v>
      </c>
      <c r="W371" s="1" t="s">
        <v>74</v>
      </c>
      <c r="X371" s="1" t="s">
        <v>74</v>
      </c>
      <c r="Y371" s="1" t="s">
        <v>74</v>
      </c>
      <c r="Z371" s="1" t="s">
        <v>74</v>
      </c>
      <c r="AA371" s="1" t="s">
        <v>3889</v>
      </c>
      <c r="AB371" s="1" t="s">
        <v>3890</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3891</v>
      </c>
      <c r="AP371" s="1" t="s">
        <v>3892</v>
      </c>
      <c r="AQ371" s="1" t="s">
        <v>74</v>
      </c>
      <c r="AR371" s="1" t="s">
        <v>74</v>
      </c>
      <c r="AS371" s="1" t="s">
        <v>74</v>
      </c>
      <c r="AT371" s="1" t="s">
        <v>3893</v>
      </c>
      <c r="AU371" s="1">
        <v>2022.0</v>
      </c>
      <c r="AV371" s="1">
        <v>22.0</v>
      </c>
      <c r="AW371" s="1">
        <v>4.0</v>
      </c>
      <c r="AX371" s="1" t="s">
        <v>74</v>
      </c>
      <c r="AY371" s="1" t="s">
        <v>74</v>
      </c>
      <c r="AZ371" s="1" t="s">
        <v>74</v>
      </c>
      <c r="BA371" s="1" t="s">
        <v>74</v>
      </c>
      <c r="BB371" s="1">
        <v>541.0</v>
      </c>
      <c r="BC371" s="1">
        <v>557.0</v>
      </c>
      <c r="BD371" s="1" t="s">
        <v>74</v>
      </c>
      <c r="BE371" s="1" t="s">
        <v>3894</v>
      </c>
      <c r="BF371" s="2" t="str">
        <f>HYPERLINK("http://dx.doi.org/10.1080/24748668.2022.2086516","http://dx.doi.org/10.1080/24748668.2022.2086516")</f>
        <v>http://dx.doi.org/10.1080/24748668.2022.2086516</v>
      </c>
      <c r="BG371" s="1" t="s">
        <v>74</v>
      </c>
      <c r="BH371" s="1" t="s">
        <v>732</v>
      </c>
      <c r="BI371" s="1" t="s">
        <v>74</v>
      </c>
      <c r="BJ371" s="1" t="s">
        <v>74</v>
      </c>
      <c r="BK371" s="1" t="s">
        <v>74</v>
      </c>
      <c r="BL371" s="1" t="s">
        <v>74</v>
      </c>
      <c r="BM371" s="1" t="s">
        <v>74</v>
      </c>
      <c r="BN371" s="1" t="s">
        <v>74</v>
      </c>
      <c r="BO371" s="1" t="s">
        <v>74</v>
      </c>
      <c r="BP371" s="1" t="s">
        <v>74</v>
      </c>
      <c r="BQ371" s="1" t="s">
        <v>74</v>
      </c>
      <c r="BR371" s="1" t="s">
        <v>74</v>
      </c>
      <c r="BS371" s="1" t="s">
        <v>3895</v>
      </c>
      <c r="BT371" s="1" t="str">
        <f>HYPERLINK("https%3A%2F%2Fwww.webofscience.com%2Fwos%2Fwoscc%2Ffull-record%2FWOS:000810388700001","View Full Record in Web of Science")</f>
        <v>View Full Record in Web of Science</v>
      </c>
    </row>
    <row r="372" ht="12.75" customHeight="1">
      <c r="A372" s="1" t="s">
        <v>72</v>
      </c>
      <c r="B372" s="1" t="s">
        <v>3896</v>
      </c>
      <c r="C372" s="1" t="s">
        <v>74</v>
      </c>
      <c r="D372" s="1" t="s">
        <v>74</v>
      </c>
      <c r="E372" s="1" t="s">
        <v>74</v>
      </c>
      <c r="F372" s="1" t="s">
        <v>3897</v>
      </c>
      <c r="G372" s="1" t="s">
        <v>74</v>
      </c>
      <c r="H372" s="1" t="s">
        <v>74</v>
      </c>
      <c r="I372" s="1" t="s">
        <v>3898</v>
      </c>
      <c r="J372" s="1" t="s">
        <v>2487</v>
      </c>
      <c r="K372" s="1" t="s">
        <v>74</v>
      </c>
      <c r="L372" s="1" t="s">
        <v>74</v>
      </c>
      <c r="M372" s="1" t="s">
        <v>74</v>
      </c>
      <c r="N372" s="1" t="s">
        <v>74</v>
      </c>
      <c r="O372" s="1" t="s">
        <v>74</v>
      </c>
      <c r="P372" s="1" t="s">
        <v>74</v>
      </c>
      <c r="Q372" s="1" t="s">
        <v>74</v>
      </c>
      <c r="R372" s="1" t="s">
        <v>74</v>
      </c>
      <c r="S372" s="1" t="s">
        <v>74</v>
      </c>
      <c r="T372" s="1" t="s">
        <v>74</v>
      </c>
      <c r="U372" s="1" t="s">
        <v>74</v>
      </c>
      <c r="V372" s="1" t="s">
        <v>3899</v>
      </c>
      <c r="W372" s="1" t="s">
        <v>74</v>
      </c>
      <c r="X372" s="1" t="s">
        <v>74</v>
      </c>
      <c r="Y372" s="1" t="s">
        <v>74</v>
      </c>
      <c r="Z372" s="1" t="s">
        <v>74</v>
      </c>
      <c r="AA372" s="1" t="s">
        <v>3900</v>
      </c>
      <c r="AB372" s="1" t="s">
        <v>3901</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74</v>
      </c>
      <c r="AP372" s="1" t="s">
        <v>2491</v>
      </c>
      <c r="AQ372" s="1" t="s">
        <v>74</v>
      </c>
      <c r="AR372" s="1" t="s">
        <v>74</v>
      </c>
      <c r="AS372" s="1" t="s">
        <v>74</v>
      </c>
      <c r="AT372" s="1" t="s">
        <v>3902</v>
      </c>
      <c r="AU372" s="1">
        <v>2021.0</v>
      </c>
      <c r="AV372" s="1">
        <v>11.0</v>
      </c>
      <c r="AW372" s="1" t="s">
        <v>74</v>
      </c>
      <c r="AX372" s="1" t="s">
        <v>74</v>
      </c>
      <c r="AY372" s="1" t="s">
        <v>74</v>
      </c>
      <c r="AZ372" s="1" t="s">
        <v>74</v>
      </c>
      <c r="BA372" s="1" t="s">
        <v>74</v>
      </c>
      <c r="BB372" s="1" t="s">
        <v>74</v>
      </c>
      <c r="BC372" s="1" t="s">
        <v>74</v>
      </c>
      <c r="BD372" s="1">
        <v>583961.0</v>
      </c>
      <c r="BE372" s="1" t="s">
        <v>3903</v>
      </c>
      <c r="BF372" s="2" t="str">
        <f>HYPERLINK("http://dx.doi.org/10.3389/fphar.2020.583961","http://dx.doi.org/10.3389/fphar.2020.583961")</f>
        <v>http://dx.doi.org/10.3389/fphar.2020.583961</v>
      </c>
      <c r="BG372" s="1" t="s">
        <v>74</v>
      </c>
      <c r="BH372" s="1" t="s">
        <v>74</v>
      </c>
      <c r="BI372" s="1" t="s">
        <v>74</v>
      </c>
      <c r="BJ372" s="1" t="s">
        <v>74</v>
      </c>
      <c r="BK372" s="1" t="s">
        <v>74</v>
      </c>
      <c r="BL372" s="1" t="s">
        <v>74</v>
      </c>
      <c r="BM372" s="1" t="s">
        <v>74</v>
      </c>
      <c r="BN372" s="1">
        <v>3.370811E7</v>
      </c>
      <c r="BO372" s="1" t="s">
        <v>74</v>
      </c>
      <c r="BP372" s="1" t="s">
        <v>74</v>
      </c>
      <c r="BQ372" s="1" t="s">
        <v>74</v>
      </c>
      <c r="BR372" s="1" t="s">
        <v>74</v>
      </c>
      <c r="BS372" s="1" t="s">
        <v>3904</v>
      </c>
      <c r="BT372" s="1" t="str">
        <f>HYPERLINK("https%3A%2F%2Fwww.webofscience.com%2Fwos%2Fwoscc%2Ffull-record%2FWOS:000616638300001","View Full Record in Web of Science")</f>
        <v>View Full Record in Web of Science</v>
      </c>
    </row>
    <row r="373" ht="12.75" customHeight="1">
      <c r="A373" s="1" t="s">
        <v>72</v>
      </c>
      <c r="B373" s="1" t="s">
        <v>3905</v>
      </c>
      <c r="C373" s="1" t="s">
        <v>74</v>
      </c>
      <c r="D373" s="1" t="s">
        <v>74</v>
      </c>
      <c r="E373" s="1" t="s">
        <v>74</v>
      </c>
      <c r="F373" s="1" t="s">
        <v>3906</v>
      </c>
      <c r="G373" s="1" t="s">
        <v>74</v>
      </c>
      <c r="H373" s="1" t="s">
        <v>74</v>
      </c>
      <c r="I373" s="1" t="s">
        <v>3907</v>
      </c>
      <c r="J373" s="1" t="s">
        <v>3908</v>
      </c>
      <c r="K373" s="1" t="s">
        <v>74</v>
      </c>
      <c r="L373" s="1" t="s">
        <v>74</v>
      </c>
      <c r="M373" s="1" t="s">
        <v>74</v>
      </c>
      <c r="N373" s="1" t="s">
        <v>74</v>
      </c>
      <c r="O373" s="1" t="s">
        <v>74</v>
      </c>
      <c r="P373" s="1" t="s">
        <v>74</v>
      </c>
      <c r="Q373" s="1" t="s">
        <v>74</v>
      </c>
      <c r="R373" s="1" t="s">
        <v>74</v>
      </c>
      <c r="S373" s="1" t="s">
        <v>74</v>
      </c>
      <c r="T373" s="1" t="s">
        <v>74</v>
      </c>
      <c r="U373" s="1" t="s">
        <v>74</v>
      </c>
      <c r="V373" s="1" t="s">
        <v>3909</v>
      </c>
      <c r="W373" s="1" t="s">
        <v>74</v>
      </c>
      <c r="X373" s="1" t="s">
        <v>74</v>
      </c>
      <c r="Y373" s="1" t="s">
        <v>74</v>
      </c>
      <c r="Z373" s="1" t="s">
        <v>74</v>
      </c>
      <c r="AA373" s="1" t="s">
        <v>3910</v>
      </c>
      <c r="AB373" s="1" t="s">
        <v>497</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3911</v>
      </c>
      <c r="AP373" s="1" t="s">
        <v>3912</v>
      </c>
      <c r="AQ373" s="1" t="s">
        <v>74</v>
      </c>
      <c r="AR373" s="1" t="s">
        <v>74</v>
      </c>
      <c r="AS373" s="1" t="s">
        <v>74</v>
      </c>
      <c r="AT373" s="1" t="s">
        <v>600</v>
      </c>
      <c r="AU373" s="1">
        <v>2021.0</v>
      </c>
      <c r="AV373" s="1">
        <v>270.0</v>
      </c>
      <c r="AW373" s="1" t="s">
        <v>74</v>
      </c>
      <c r="AX373" s="1" t="s">
        <v>74</v>
      </c>
      <c r="AY373" s="1" t="s">
        <v>74</v>
      </c>
      <c r="AZ373" s="1" t="s">
        <v>74</v>
      </c>
      <c r="BA373" s="1" t="s">
        <v>74</v>
      </c>
      <c r="BB373" s="1" t="s">
        <v>74</v>
      </c>
      <c r="BC373" s="1" t="s">
        <v>74</v>
      </c>
      <c r="BD373" s="1">
        <v>113655.0</v>
      </c>
      <c r="BE373" s="1" t="s">
        <v>3913</v>
      </c>
      <c r="BF373" s="2" t="str">
        <f>HYPERLINK("http://dx.doi.org/10.1016/j.socscimed.2020.113655","http://dx.doi.org/10.1016/j.socscimed.2020.113655")</f>
        <v>http://dx.doi.org/10.1016/j.socscimed.2020.113655</v>
      </c>
      <c r="BG373" s="1" t="s">
        <v>74</v>
      </c>
      <c r="BH373" s="1" t="s">
        <v>2027</v>
      </c>
      <c r="BI373" s="1" t="s">
        <v>74</v>
      </c>
      <c r="BJ373" s="1" t="s">
        <v>74</v>
      </c>
      <c r="BK373" s="1" t="s">
        <v>74</v>
      </c>
      <c r="BL373" s="1" t="s">
        <v>74</v>
      </c>
      <c r="BM373" s="1" t="s">
        <v>74</v>
      </c>
      <c r="BN373" s="1">
        <v>3.338862E7</v>
      </c>
      <c r="BO373" s="1" t="s">
        <v>74</v>
      </c>
      <c r="BP373" s="1" t="s">
        <v>74</v>
      </c>
      <c r="BQ373" s="1" t="s">
        <v>74</v>
      </c>
      <c r="BR373" s="1" t="s">
        <v>74</v>
      </c>
      <c r="BS373" s="1" t="s">
        <v>3914</v>
      </c>
      <c r="BT373" s="1" t="str">
        <f>HYPERLINK("https%3A%2F%2Fwww.webofscience.com%2Fwos%2Fwoscc%2Ffull-record%2FWOS:000621361500013","View Full Record in Web of Science")</f>
        <v>View Full Record in Web of Science</v>
      </c>
    </row>
    <row r="374" ht="12.75" customHeight="1">
      <c r="A374" s="1" t="s">
        <v>154</v>
      </c>
      <c r="B374" s="1" t="s">
        <v>2029</v>
      </c>
      <c r="C374" s="1" t="s">
        <v>74</v>
      </c>
      <c r="D374" s="1" t="s">
        <v>74</v>
      </c>
      <c r="E374" s="1" t="s">
        <v>880</v>
      </c>
      <c r="F374" s="1" t="s">
        <v>2030</v>
      </c>
      <c r="G374" s="1" t="s">
        <v>74</v>
      </c>
      <c r="H374" s="1" t="s">
        <v>74</v>
      </c>
      <c r="I374" s="1" t="s">
        <v>3915</v>
      </c>
      <c r="J374" s="1" t="s">
        <v>3916</v>
      </c>
      <c r="K374" s="1" t="s">
        <v>74</v>
      </c>
      <c r="L374" s="1" t="s">
        <v>74</v>
      </c>
      <c r="M374" s="1" t="s">
        <v>74</v>
      </c>
      <c r="N374" s="1" t="s">
        <v>74</v>
      </c>
      <c r="O374" s="1" t="s">
        <v>3917</v>
      </c>
      <c r="P374" s="1" t="s">
        <v>3918</v>
      </c>
      <c r="Q374" s="1" t="s">
        <v>1242</v>
      </c>
      <c r="R374" s="1" t="s">
        <v>887</v>
      </c>
      <c r="S374" s="1" t="s">
        <v>74</v>
      </c>
      <c r="T374" s="1" t="s">
        <v>74</v>
      </c>
      <c r="U374" s="1" t="s">
        <v>74</v>
      </c>
      <c r="V374" s="1" t="s">
        <v>3919</v>
      </c>
      <c r="W374" s="1" t="s">
        <v>74</v>
      </c>
      <c r="X374" s="1" t="s">
        <v>74</v>
      </c>
      <c r="Y374" s="1" t="s">
        <v>74</v>
      </c>
      <c r="Z374" s="1" t="s">
        <v>74</v>
      </c>
      <c r="AA374" s="1" t="s">
        <v>74</v>
      </c>
      <c r="AB374" s="1" t="s">
        <v>74</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74</v>
      </c>
      <c r="AP374" s="1" t="s">
        <v>74</v>
      </c>
      <c r="AQ374" s="1" t="s">
        <v>3920</v>
      </c>
      <c r="AR374" s="1" t="s">
        <v>74</v>
      </c>
      <c r="AS374" s="1" t="s">
        <v>74</v>
      </c>
      <c r="AT374" s="1" t="s">
        <v>74</v>
      </c>
      <c r="AU374" s="1">
        <v>2020.0</v>
      </c>
      <c r="AV374" s="1" t="s">
        <v>74</v>
      </c>
      <c r="AW374" s="1" t="s">
        <v>74</v>
      </c>
      <c r="AX374" s="1" t="s">
        <v>74</v>
      </c>
      <c r="AY374" s="1" t="s">
        <v>74</v>
      </c>
      <c r="AZ374" s="1" t="s">
        <v>74</v>
      </c>
      <c r="BA374" s="1" t="s">
        <v>74</v>
      </c>
      <c r="BB374" s="1" t="s">
        <v>74</v>
      </c>
      <c r="BC374" s="1" t="s">
        <v>74</v>
      </c>
      <c r="BD374" s="1" t="s">
        <v>3921</v>
      </c>
      <c r="BE374" s="1" t="s">
        <v>74</v>
      </c>
      <c r="BF374" s="1" t="s">
        <v>74</v>
      </c>
      <c r="BG374" s="1" t="s">
        <v>74</v>
      </c>
      <c r="BH374" s="1" t="s">
        <v>74</v>
      </c>
      <c r="BI374" s="1" t="s">
        <v>74</v>
      </c>
      <c r="BJ374" s="1" t="s">
        <v>74</v>
      </c>
      <c r="BK374" s="1" t="s">
        <v>74</v>
      </c>
      <c r="BL374" s="1" t="s">
        <v>74</v>
      </c>
      <c r="BM374" s="1" t="s">
        <v>74</v>
      </c>
      <c r="BN374" s="1" t="s">
        <v>74</v>
      </c>
      <c r="BO374" s="1" t="s">
        <v>74</v>
      </c>
      <c r="BP374" s="1" t="s">
        <v>74</v>
      </c>
      <c r="BQ374" s="1" t="s">
        <v>74</v>
      </c>
      <c r="BR374" s="1" t="s">
        <v>74</v>
      </c>
      <c r="BS374" s="1" t="s">
        <v>3922</v>
      </c>
      <c r="BT374" s="1" t="str">
        <f>HYPERLINK("https%3A%2F%2Fwww.webofscience.com%2Fwos%2Fwoscc%2Ffull-record%2FWOS:001233269200009","View Full Record in Web of Science")</f>
        <v>View Full Record in Web of Science</v>
      </c>
    </row>
    <row r="375" ht="12.75" customHeight="1">
      <c r="A375" s="1" t="s">
        <v>72</v>
      </c>
      <c r="B375" s="1" t="s">
        <v>3923</v>
      </c>
      <c r="C375" s="1" t="s">
        <v>74</v>
      </c>
      <c r="D375" s="1" t="s">
        <v>74</v>
      </c>
      <c r="E375" s="1" t="s">
        <v>74</v>
      </c>
      <c r="F375" s="1" t="s">
        <v>3924</v>
      </c>
      <c r="G375" s="1" t="s">
        <v>74</v>
      </c>
      <c r="H375" s="1" t="s">
        <v>74</v>
      </c>
      <c r="I375" s="1" t="s">
        <v>3925</v>
      </c>
      <c r="J375" s="1" t="s">
        <v>3926</v>
      </c>
      <c r="K375" s="1" t="s">
        <v>74</v>
      </c>
      <c r="L375" s="1" t="s">
        <v>74</v>
      </c>
      <c r="M375" s="1" t="s">
        <v>74</v>
      </c>
      <c r="N375" s="1" t="s">
        <v>74</v>
      </c>
      <c r="O375" s="1" t="s">
        <v>74</v>
      </c>
      <c r="P375" s="1" t="s">
        <v>74</v>
      </c>
      <c r="Q375" s="1" t="s">
        <v>74</v>
      </c>
      <c r="R375" s="1" t="s">
        <v>74</v>
      </c>
      <c r="S375" s="1" t="s">
        <v>74</v>
      </c>
      <c r="T375" s="1" t="s">
        <v>74</v>
      </c>
      <c r="U375" s="1" t="s">
        <v>74</v>
      </c>
      <c r="V375" s="1" t="s">
        <v>3927</v>
      </c>
      <c r="W375" s="1" t="s">
        <v>74</v>
      </c>
      <c r="X375" s="1" t="s">
        <v>74</v>
      </c>
      <c r="Y375" s="1" t="s">
        <v>74</v>
      </c>
      <c r="Z375" s="1" t="s">
        <v>74</v>
      </c>
      <c r="AA375" s="1" t="s">
        <v>3928</v>
      </c>
      <c r="AB375" s="1" t="s">
        <v>3929</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3930</v>
      </c>
      <c r="AP375" s="1" t="s">
        <v>3931</v>
      </c>
      <c r="AQ375" s="1" t="s">
        <v>74</v>
      </c>
      <c r="AR375" s="1" t="s">
        <v>74</v>
      </c>
      <c r="AS375" s="1" t="s">
        <v>74</v>
      </c>
      <c r="AT375" s="1" t="s">
        <v>1082</v>
      </c>
      <c r="AU375" s="1">
        <v>2019.0</v>
      </c>
      <c r="AV375" s="1">
        <v>134.0</v>
      </c>
      <c r="AW375" s="1" t="s">
        <v>74</v>
      </c>
      <c r="AX375" s="1" t="s">
        <v>74</v>
      </c>
      <c r="AY375" s="1" t="s">
        <v>74</v>
      </c>
      <c r="AZ375" s="1" t="s">
        <v>74</v>
      </c>
      <c r="BA375" s="1" t="s">
        <v>74</v>
      </c>
      <c r="BB375" s="1">
        <v>89.0</v>
      </c>
      <c r="BC375" s="1">
        <v>96.0</v>
      </c>
      <c r="BD375" s="1" t="s">
        <v>74</v>
      </c>
      <c r="BE375" s="1" t="s">
        <v>3932</v>
      </c>
      <c r="BF375" s="2" t="str">
        <f>HYPERLINK("http://dx.doi.org/10.1016/j.jpcs.2019.05.031","http://dx.doi.org/10.1016/j.jpcs.2019.05.031")</f>
        <v>http://dx.doi.org/10.1016/j.jpcs.2019.05.031</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3933</v>
      </c>
      <c r="BT375" s="1" t="str">
        <f>HYPERLINK("https%3A%2F%2Fwww.webofscience.com%2Fwos%2Fwoscc%2Ffull-record%2FWOS:000481563900014","View Full Record in Web of Science")</f>
        <v>View Full Record in Web of Science</v>
      </c>
    </row>
    <row r="376" ht="12.75" customHeight="1">
      <c r="A376" s="1" t="s">
        <v>72</v>
      </c>
      <c r="B376" s="1" t="s">
        <v>3934</v>
      </c>
      <c r="C376" s="1" t="s">
        <v>74</v>
      </c>
      <c r="D376" s="1" t="s">
        <v>74</v>
      </c>
      <c r="E376" s="1" t="s">
        <v>74</v>
      </c>
      <c r="F376" s="1" t="s">
        <v>3935</v>
      </c>
      <c r="G376" s="1" t="s">
        <v>74</v>
      </c>
      <c r="H376" s="1" t="s">
        <v>74</v>
      </c>
      <c r="I376" s="1" t="s">
        <v>3936</v>
      </c>
      <c r="J376" s="1" t="s">
        <v>1517</v>
      </c>
      <c r="K376" s="1" t="s">
        <v>74</v>
      </c>
      <c r="L376" s="1" t="s">
        <v>74</v>
      </c>
      <c r="M376" s="1" t="s">
        <v>74</v>
      </c>
      <c r="N376" s="1" t="s">
        <v>74</v>
      </c>
      <c r="O376" s="1" t="s">
        <v>74</v>
      </c>
      <c r="P376" s="1" t="s">
        <v>74</v>
      </c>
      <c r="Q376" s="1" t="s">
        <v>74</v>
      </c>
      <c r="R376" s="1" t="s">
        <v>74</v>
      </c>
      <c r="S376" s="1" t="s">
        <v>74</v>
      </c>
      <c r="T376" s="1" t="s">
        <v>74</v>
      </c>
      <c r="U376" s="1" t="s">
        <v>74</v>
      </c>
      <c r="V376" s="1" t="s">
        <v>3937</v>
      </c>
      <c r="W376" s="1" t="s">
        <v>74</v>
      </c>
      <c r="X376" s="1" t="s">
        <v>74</v>
      </c>
      <c r="Y376" s="1" t="s">
        <v>74</v>
      </c>
      <c r="Z376" s="1" t="s">
        <v>74</v>
      </c>
      <c r="AA376" s="1" t="s">
        <v>3938</v>
      </c>
      <c r="AB376" s="1" t="s">
        <v>3939</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1521</v>
      </c>
      <c r="AP376" s="1" t="s">
        <v>1522</v>
      </c>
      <c r="AQ376" s="1" t="s">
        <v>74</v>
      </c>
      <c r="AR376" s="1" t="s">
        <v>74</v>
      </c>
      <c r="AS376" s="1" t="s">
        <v>74</v>
      </c>
      <c r="AT376" s="1" t="s">
        <v>1349</v>
      </c>
      <c r="AU376" s="1">
        <v>2019.0</v>
      </c>
      <c r="AV376" s="1">
        <v>317.0</v>
      </c>
      <c r="AW376" s="1" t="s">
        <v>74</v>
      </c>
      <c r="AX376" s="1" t="s">
        <v>74</v>
      </c>
      <c r="AY376" s="1" t="s">
        <v>74</v>
      </c>
      <c r="AZ376" s="1" t="s">
        <v>74</v>
      </c>
      <c r="BA376" s="1" t="s">
        <v>74</v>
      </c>
      <c r="BB376" s="1">
        <v>612.0</v>
      </c>
      <c r="BC376" s="1">
        <v>617.0</v>
      </c>
      <c r="BD376" s="1" t="s">
        <v>74</v>
      </c>
      <c r="BE376" s="1" t="s">
        <v>3940</v>
      </c>
      <c r="BF376" s="2" t="str">
        <f>HYPERLINK("http://dx.doi.org/10.1016/j.electacta.2019.06.017","http://dx.doi.org/10.1016/j.electacta.2019.06.017")</f>
        <v>http://dx.doi.org/10.1016/j.electacta.2019.06.017</v>
      </c>
      <c r="BG376" s="1" t="s">
        <v>74</v>
      </c>
      <c r="BH376" s="1" t="s">
        <v>74</v>
      </c>
      <c r="BI376" s="1" t="s">
        <v>74</v>
      </c>
      <c r="BJ376" s="1" t="s">
        <v>74</v>
      </c>
      <c r="BK376" s="1" t="s">
        <v>74</v>
      </c>
      <c r="BL376" s="1" t="s">
        <v>74</v>
      </c>
      <c r="BM376" s="1" t="s">
        <v>74</v>
      </c>
      <c r="BN376" s="1" t="s">
        <v>74</v>
      </c>
      <c r="BO376" s="1" t="s">
        <v>74</v>
      </c>
      <c r="BP376" s="1" t="s">
        <v>74</v>
      </c>
      <c r="BQ376" s="1" t="s">
        <v>74</v>
      </c>
      <c r="BR376" s="1" t="s">
        <v>74</v>
      </c>
      <c r="BS376" s="1" t="s">
        <v>3941</v>
      </c>
      <c r="BT376" s="1" t="str">
        <f>HYPERLINK("https%3A%2F%2Fwww.webofscience.com%2Fwos%2Fwoscc%2Ffull-record%2FWOS:000476718000067","View Full Record in Web of Science")</f>
        <v>View Full Record in Web of Science</v>
      </c>
    </row>
    <row r="377" ht="12.75" customHeight="1">
      <c r="A377" s="1" t="s">
        <v>72</v>
      </c>
      <c r="B377" s="1" t="s">
        <v>3942</v>
      </c>
      <c r="C377" s="1" t="s">
        <v>74</v>
      </c>
      <c r="D377" s="1" t="s">
        <v>74</v>
      </c>
      <c r="E377" s="1" t="s">
        <v>74</v>
      </c>
      <c r="F377" s="1" t="s">
        <v>3943</v>
      </c>
      <c r="G377" s="1" t="s">
        <v>74</v>
      </c>
      <c r="H377" s="1" t="s">
        <v>74</v>
      </c>
      <c r="I377" s="1" t="s">
        <v>3944</v>
      </c>
      <c r="J377" s="1" t="s">
        <v>3945</v>
      </c>
      <c r="K377" s="1" t="s">
        <v>74</v>
      </c>
      <c r="L377" s="1" t="s">
        <v>74</v>
      </c>
      <c r="M377" s="1" t="s">
        <v>74</v>
      </c>
      <c r="N377" s="1" t="s">
        <v>74</v>
      </c>
      <c r="O377" s="1" t="s">
        <v>74</v>
      </c>
      <c r="P377" s="1" t="s">
        <v>74</v>
      </c>
      <c r="Q377" s="1" t="s">
        <v>74</v>
      </c>
      <c r="R377" s="1" t="s">
        <v>74</v>
      </c>
      <c r="S377" s="1" t="s">
        <v>74</v>
      </c>
      <c r="T377" s="1" t="s">
        <v>74</v>
      </c>
      <c r="U377" s="1" t="s">
        <v>74</v>
      </c>
      <c r="V377" s="1" t="s">
        <v>3946</v>
      </c>
      <c r="W377" s="1" t="s">
        <v>74</v>
      </c>
      <c r="X377" s="1" t="s">
        <v>74</v>
      </c>
      <c r="Y377" s="1" t="s">
        <v>74</v>
      </c>
      <c r="Z377" s="1" t="s">
        <v>74</v>
      </c>
      <c r="AA377" s="1" t="s">
        <v>3947</v>
      </c>
      <c r="AB377" s="1" t="s">
        <v>3948</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3949</v>
      </c>
      <c r="AP377" s="1" t="s">
        <v>3950</v>
      </c>
      <c r="AQ377" s="1" t="s">
        <v>74</v>
      </c>
      <c r="AR377" s="1" t="s">
        <v>74</v>
      </c>
      <c r="AS377" s="1" t="s">
        <v>74</v>
      </c>
      <c r="AT377" s="1" t="s">
        <v>3951</v>
      </c>
      <c r="AU377" s="1">
        <v>2018.0</v>
      </c>
      <c r="AV377" s="1">
        <v>2018.0</v>
      </c>
      <c r="AW377" s="1">
        <v>34.0</v>
      </c>
      <c r="AX377" s="1" t="s">
        <v>74</v>
      </c>
      <c r="AY377" s="1" t="s">
        <v>74</v>
      </c>
      <c r="AZ377" s="1" t="s">
        <v>74</v>
      </c>
      <c r="BA377" s="1" t="s">
        <v>74</v>
      </c>
      <c r="BB377" s="1">
        <v>4795.0</v>
      </c>
      <c r="BC377" s="1">
        <v>4801.0</v>
      </c>
      <c r="BD377" s="1" t="s">
        <v>74</v>
      </c>
      <c r="BE377" s="1" t="s">
        <v>3952</v>
      </c>
      <c r="BF377" s="2" t="str">
        <f>HYPERLINK("http://dx.doi.org/10.1002/ejoc.201701633","http://dx.doi.org/10.1002/ejoc.201701633")</f>
        <v>http://dx.doi.org/10.1002/ejoc.201701633</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3953</v>
      </c>
      <c r="BT377" s="1" t="str">
        <f>HYPERLINK("https%3A%2F%2Fwww.webofscience.com%2Fwos%2Fwoscc%2Ffull-record%2FWOS:000444540900018","View Full Record in Web of Science")</f>
        <v>View Full Record in Web of Science</v>
      </c>
    </row>
    <row r="378" ht="12.75" customHeight="1">
      <c r="A378" s="1" t="s">
        <v>72</v>
      </c>
      <c r="B378" s="1" t="s">
        <v>3954</v>
      </c>
      <c r="C378" s="1" t="s">
        <v>74</v>
      </c>
      <c r="D378" s="1" t="s">
        <v>74</v>
      </c>
      <c r="E378" s="1" t="s">
        <v>74</v>
      </c>
      <c r="F378" s="1" t="s">
        <v>3955</v>
      </c>
      <c r="G378" s="1" t="s">
        <v>74</v>
      </c>
      <c r="H378" s="1" t="s">
        <v>74</v>
      </c>
      <c r="I378" s="1" t="s">
        <v>3956</v>
      </c>
      <c r="J378" s="1" t="s">
        <v>2352</v>
      </c>
      <c r="K378" s="1" t="s">
        <v>74</v>
      </c>
      <c r="L378" s="1" t="s">
        <v>74</v>
      </c>
      <c r="M378" s="1" t="s">
        <v>74</v>
      </c>
      <c r="N378" s="1" t="s">
        <v>74</v>
      </c>
      <c r="O378" s="1" t="s">
        <v>74</v>
      </c>
      <c r="P378" s="1" t="s">
        <v>74</v>
      </c>
      <c r="Q378" s="1" t="s">
        <v>74</v>
      </c>
      <c r="R378" s="1" t="s">
        <v>74</v>
      </c>
      <c r="S378" s="1" t="s">
        <v>74</v>
      </c>
      <c r="T378" s="1" t="s">
        <v>74</v>
      </c>
      <c r="U378" s="1" t="s">
        <v>74</v>
      </c>
      <c r="V378" s="1" t="s">
        <v>3957</v>
      </c>
      <c r="W378" s="1" t="s">
        <v>74</v>
      </c>
      <c r="X378" s="1" t="s">
        <v>74</v>
      </c>
      <c r="Y378" s="1" t="s">
        <v>74</v>
      </c>
      <c r="Z378" s="1" t="s">
        <v>74</v>
      </c>
      <c r="AA378" s="1" t="s">
        <v>3958</v>
      </c>
      <c r="AB378" s="1" t="s">
        <v>3959</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2356</v>
      </c>
      <c r="AP378" s="1" t="s">
        <v>2357</v>
      </c>
      <c r="AQ378" s="1" t="s">
        <v>74</v>
      </c>
      <c r="AR378" s="1" t="s">
        <v>74</v>
      </c>
      <c r="AS378" s="1" t="s">
        <v>74</v>
      </c>
      <c r="AT378" s="1" t="s">
        <v>2881</v>
      </c>
      <c r="AU378" s="1">
        <v>2018.0</v>
      </c>
      <c r="AV378" s="1">
        <v>24.0</v>
      </c>
      <c r="AW378" s="1">
        <v>37.0</v>
      </c>
      <c r="AX378" s="1" t="s">
        <v>74</v>
      </c>
      <c r="AY378" s="1" t="s">
        <v>74</v>
      </c>
      <c r="AZ378" s="1" t="s">
        <v>74</v>
      </c>
      <c r="BA378" s="1" t="s">
        <v>74</v>
      </c>
      <c r="BB378" s="1">
        <v>9364.0</v>
      </c>
      <c r="BC378" s="1">
        <v>9376.0</v>
      </c>
      <c r="BD378" s="1" t="s">
        <v>74</v>
      </c>
      <c r="BE378" s="1" t="s">
        <v>3960</v>
      </c>
      <c r="BF378" s="2" t="str">
        <f>HYPERLINK("http://dx.doi.org/10.1002/chem.201800613","http://dx.doi.org/10.1002/chem.201800613")</f>
        <v>http://dx.doi.org/10.1002/chem.201800613</v>
      </c>
      <c r="BG378" s="1" t="s">
        <v>74</v>
      </c>
      <c r="BH378" s="1" t="s">
        <v>74</v>
      </c>
      <c r="BI378" s="1" t="s">
        <v>74</v>
      </c>
      <c r="BJ378" s="1" t="s">
        <v>74</v>
      </c>
      <c r="BK378" s="1" t="s">
        <v>74</v>
      </c>
      <c r="BL378" s="1" t="s">
        <v>74</v>
      </c>
      <c r="BM378" s="1" t="s">
        <v>74</v>
      </c>
      <c r="BN378" s="1">
        <v>2.9635727E7</v>
      </c>
      <c r="BO378" s="1" t="s">
        <v>74</v>
      </c>
      <c r="BP378" s="1" t="s">
        <v>74</v>
      </c>
      <c r="BQ378" s="1" t="s">
        <v>74</v>
      </c>
      <c r="BR378" s="1" t="s">
        <v>74</v>
      </c>
      <c r="BS378" s="1" t="s">
        <v>3961</v>
      </c>
      <c r="BT378" s="1" t="str">
        <f>HYPERLINK("https%3A%2F%2Fwww.webofscience.com%2Fwos%2Fwoscc%2Ffull-record%2FWOS:000436934300026","View Full Record in Web of Science")</f>
        <v>View Full Record in Web of Science</v>
      </c>
    </row>
    <row r="379" ht="12.75" customHeight="1">
      <c r="A379" s="1" t="s">
        <v>72</v>
      </c>
      <c r="B379" s="1" t="s">
        <v>3962</v>
      </c>
      <c r="C379" s="1" t="s">
        <v>74</v>
      </c>
      <c r="D379" s="1" t="s">
        <v>74</v>
      </c>
      <c r="E379" s="1" t="s">
        <v>74</v>
      </c>
      <c r="F379" s="1" t="s">
        <v>3963</v>
      </c>
      <c r="G379" s="1" t="s">
        <v>74</v>
      </c>
      <c r="H379" s="1" t="s">
        <v>74</v>
      </c>
      <c r="I379" s="1" t="s">
        <v>3964</v>
      </c>
      <c r="J379" s="1" t="s">
        <v>1622</v>
      </c>
      <c r="K379" s="1" t="s">
        <v>74</v>
      </c>
      <c r="L379" s="1" t="s">
        <v>74</v>
      </c>
      <c r="M379" s="1" t="s">
        <v>74</v>
      </c>
      <c r="N379" s="1" t="s">
        <v>74</v>
      </c>
      <c r="O379" s="1" t="s">
        <v>74</v>
      </c>
      <c r="P379" s="1" t="s">
        <v>74</v>
      </c>
      <c r="Q379" s="1" t="s">
        <v>74</v>
      </c>
      <c r="R379" s="1" t="s">
        <v>74</v>
      </c>
      <c r="S379" s="1" t="s">
        <v>74</v>
      </c>
      <c r="T379" s="1" t="s">
        <v>74</v>
      </c>
      <c r="U379" s="1" t="s">
        <v>74</v>
      </c>
      <c r="V379" s="1" t="s">
        <v>3965</v>
      </c>
      <c r="W379" s="1" t="s">
        <v>74</v>
      </c>
      <c r="X379" s="1" t="s">
        <v>74</v>
      </c>
      <c r="Y379" s="1" t="s">
        <v>74</v>
      </c>
      <c r="Z379" s="1" t="s">
        <v>74</v>
      </c>
      <c r="AA379" s="1" t="s">
        <v>3966</v>
      </c>
      <c r="AB379" s="1" t="s">
        <v>3967</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74</v>
      </c>
      <c r="AP379" s="1" t="s">
        <v>1627</v>
      </c>
      <c r="AQ379" s="1" t="s">
        <v>74</v>
      </c>
      <c r="AR379" s="1" t="s">
        <v>74</v>
      </c>
      <c r="AS379" s="1" t="s">
        <v>74</v>
      </c>
      <c r="AT379" s="1" t="s">
        <v>600</v>
      </c>
      <c r="AU379" s="1">
        <v>2018.0</v>
      </c>
      <c r="AV379" s="1">
        <v>19.0</v>
      </c>
      <c r="AW379" s="1">
        <v>2.0</v>
      </c>
      <c r="AX379" s="1" t="s">
        <v>74</v>
      </c>
      <c r="AY379" s="1" t="s">
        <v>74</v>
      </c>
      <c r="AZ379" s="1" t="s">
        <v>74</v>
      </c>
      <c r="BA379" s="1" t="s">
        <v>74</v>
      </c>
      <c r="BB379" s="1" t="s">
        <v>74</v>
      </c>
      <c r="BC379" s="1" t="s">
        <v>74</v>
      </c>
      <c r="BD379" s="1">
        <v>366.0</v>
      </c>
      <c r="BE379" s="1" t="s">
        <v>3968</v>
      </c>
      <c r="BF379" s="2" t="str">
        <f>HYPERLINK("http://dx.doi.org/10.3390/ijms19020366","http://dx.doi.org/10.3390/ijms19020366")</f>
        <v>http://dx.doi.org/10.3390/ijms19020366</v>
      </c>
      <c r="BG379" s="1" t="s">
        <v>74</v>
      </c>
      <c r="BH379" s="1" t="s">
        <v>74</v>
      </c>
      <c r="BI379" s="1" t="s">
        <v>74</v>
      </c>
      <c r="BJ379" s="1" t="s">
        <v>74</v>
      </c>
      <c r="BK379" s="1" t="s">
        <v>74</v>
      </c>
      <c r="BL379" s="1" t="s">
        <v>74</v>
      </c>
      <c r="BM379" s="1" t="s">
        <v>74</v>
      </c>
      <c r="BN379" s="1">
        <v>2.9373484E7</v>
      </c>
      <c r="BO379" s="1" t="s">
        <v>74</v>
      </c>
      <c r="BP379" s="1" t="s">
        <v>74</v>
      </c>
      <c r="BQ379" s="1" t="s">
        <v>74</v>
      </c>
      <c r="BR379" s="1" t="s">
        <v>74</v>
      </c>
      <c r="BS379" s="1" t="s">
        <v>3969</v>
      </c>
      <c r="BT379" s="1" t="str">
        <f>HYPERLINK("https%3A%2F%2Fwww.webofscience.com%2Fwos%2Fwoscc%2Ffull-record%2FWOS:000427527400050","View Full Record in Web of Science")</f>
        <v>View Full Record in Web of Science</v>
      </c>
    </row>
    <row r="380" ht="12.75" customHeight="1">
      <c r="A380" s="1" t="s">
        <v>72</v>
      </c>
      <c r="B380" s="1" t="s">
        <v>3970</v>
      </c>
      <c r="C380" s="1" t="s">
        <v>74</v>
      </c>
      <c r="D380" s="1" t="s">
        <v>74</v>
      </c>
      <c r="E380" s="1" t="s">
        <v>74</v>
      </c>
      <c r="F380" s="1" t="s">
        <v>3971</v>
      </c>
      <c r="G380" s="1" t="s">
        <v>74</v>
      </c>
      <c r="H380" s="1" t="s">
        <v>74</v>
      </c>
      <c r="I380" s="1" t="s">
        <v>3972</v>
      </c>
      <c r="J380" s="1" t="s">
        <v>3973</v>
      </c>
      <c r="K380" s="1" t="s">
        <v>74</v>
      </c>
      <c r="L380" s="1" t="s">
        <v>74</v>
      </c>
      <c r="M380" s="1" t="s">
        <v>74</v>
      </c>
      <c r="N380" s="1" t="s">
        <v>74</v>
      </c>
      <c r="O380" s="1" t="s">
        <v>74</v>
      </c>
      <c r="P380" s="1" t="s">
        <v>74</v>
      </c>
      <c r="Q380" s="1" t="s">
        <v>74</v>
      </c>
      <c r="R380" s="1" t="s">
        <v>74</v>
      </c>
      <c r="S380" s="1" t="s">
        <v>74</v>
      </c>
      <c r="T380" s="1" t="s">
        <v>74</v>
      </c>
      <c r="U380" s="1" t="s">
        <v>74</v>
      </c>
      <c r="V380" s="1" t="s">
        <v>3974</v>
      </c>
      <c r="W380" s="1" t="s">
        <v>74</v>
      </c>
      <c r="X380" s="1" t="s">
        <v>74</v>
      </c>
      <c r="Y380" s="1" t="s">
        <v>74</v>
      </c>
      <c r="Z380" s="1" t="s">
        <v>74</v>
      </c>
      <c r="AA380" s="1" t="s">
        <v>3975</v>
      </c>
      <c r="AB380" s="1" t="s">
        <v>3976</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3977</v>
      </c>
      <c r="AP380" s="1" t="s">
        <v>74</v>
      </c>
      <c r="AQ380" s="1" t="s">
        <v>74</v>
      </c>
      <c r="AR380" s="1" t="s">
        <v>74</v>
      </c>
      <c r="AS380" s="1" t="s">
        <v>74</v>
      </c>
      <c r="AT380" s="1" t="s">
        <v>822</v>
      </c>
      <c r="AU380" s="1">
        <v>2018.0</v>
      </c>
      <c r="AV380" s="1">
        <v>5.0</v>
      </c>
      <c r="AW380" s="1">
        <v>1.0</v>
      </c>
      <c r="AX380" s="1" t="s">
        <v>74</v>
      </c>
      <c r="AY380" s="1" t="s">
        <v>74</v>
      </c>
      <c r="AZ380" s="1" t="s">
        <v>74</v>
      </c>
      <c r="BA380" s="1" t="s">
        <v>74</v>
      </c>
      <c r="BB380" s="1" t="s">
        <v>74</v>
      </c>
      <c r="BC380" s="1" t="s">
        <v>74</v>
      </c>
      <c r="BD380" s="1">
        <v>15043.0</v>
      </c>
      <c r="BE380" s="1" t="s">
        <v>3978</v>
      </c>
      <c r="BF380" s="2" t="str">
        <f>HYPERLINK("http://dx.doi.org/10.1088/2053-1591/aaa537","http://dx.doi.org/10.1088/2053-1591/aaa537")</f>
        <v>http://dx.doi.org/10.1088/2053-1591/aaa537</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3979</v>
      </c>
      <c r="BT380" s="1" t="str">
        <f>HYPERLINK("https%3A%2F%2Fwww.webofscience.com%2Fwos%2Fwoscc%2Ffull-record%2FWOS:000423194900005","View Full Record in Web of Science")</f>
        <v>View Full Record in Web of Science</v>
      </c>
    </row>
    <row r="381" ht="12.75" customHeight="1">
      <c r="A381" s="1" t="s">
        <v>72</v>
      </c>
      <c r="B381" s="1" t="s">
        <v>3980</v>
      </c>
      <c r="C381" s="1" t="s">
        <v>74</v>
      </c>
      <c r="D381" s="1" t="s">
        <v>74</v>
      </c>
      <c r="E381" s="1" t="s">
        <v>74</v>
      </c>
      <c r="F381" s="1" t="s">
        <v>3981</v>
      </c>
      <c r="G381" s="1" t="s">
        <v>74</v>
      </c>
      <c r="H381" s="1" t="s">
        <v>74</v>
      </c>
      <c r="I381" s="1" t="s">
        <v>3982</v>
      </c>
      <c r="J381" s="1" t="s">
        <v>3983</v>
      </c>
      <c r="K381" s="1" t="s">
        <v>74</v>
      </c>
      <c r="L381" s="1" t="s">
        <v>74</v>
      </c>
      <c r="M381" s="1" t="s">
        <v>74</v>
      </c>
      <c r="N381" s="1" t="s">
        <v>74</v>
      </c>
      <c r="O381" s="1" t="s">
        <v>74</v>
      </c>
      <c r="P381" s="1" t="s">
        <v>74</v>
      </c>
      <c r="Q381" s="1" t="s">
        <v>74</v>
      </c>
      <c r="R381" s="1" t="s">
        <v>74</v>
      </c>
      <c r="S381" s="1" t="s">
        <v>74</v>
      </c>
      <c r="T381" s="1" t="s">
        <v>74</v>
      </c>
      <c r="U381" s="1" t="s">
        <v>74</v>
      </c>
      <c r="V381" s="1" t="s">
        <v>3984</v>
      </c>
      <c r="W381" s="1" t="s">
        <v>74</v>
      </c>
      <c r="X381" s="1" t="s">
        <v>74</v>
      </c>
      <c r="Y381" s="1" t="s">
        <v>74</v>
      </c>
      <c r="Z381" s="1" t="s">
        <v>74</v>
      </c>
      <c r="AA381" s="1" t="s">
        <v>3985</v>
      </c>
      <c r="AB381" s="1" t="s">
        <v>3986</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3987</v>
      </c>
      <c r="AP381" s="1" t="s">
        <v>3988</v>
      </c>
      <c r="AQ381" s="1" t="s">
        <v>74</v>
      </c>
      <c r="AR381" s="1" t="s">
        <v>74</v>
      </c>
      <c r="AS381" s="1" t="s">
        <v>74</v>
      </c>
      <c r="AT381" s="1" t="s">
        <v>74</v>
      </c>
      <c r="AU381" s="1">
        <v>2017.0</v>
      </c>
      <c r="AV381" s="1">
        <v>66.0</v>
      </c>
      <c r="AW381" s="1">
        <v>10.0</v>
      </c>
      <c r="AX381" s="1" t="s">
        <v>74</v>
      </c>
      <c r="AY381" s="1" t="s">
        <v>74</v>
      </c>
      <c r="AZ381" s="1" t="s">
        <v>74</v>
      </c>
      <c r="BA381" s="1" t="s">
        <v>74</v>
      </c>
      <c r="BB381" s="1">
        <v>485.0</v>
      </c>
      <c r="BC381" s="1">
        <v>494.0</v>
      </c>
      <c r="BD381" s="1" t="s">
        <v>74</v>
      </c>
      <c r="BE381" s="1" t="s">
        <v>3989</v>
      </c>
      <c r="BF381" s="2" t="str">
        <f>HYPERLINK("http://dx.doi.org/10.1080/00914037.2016.1252345","http://dx.doi.org/10.1080/00914037.2016.1252345")</f>
        <v>http://dx.doi.org/10.1080/00914037.2016.1252345</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3990</v>
      </c>
      <c r="BT381" s="1" t="str">
        <f>HYPERLINK("https%3A%2F%2Fwww.webofscience.com%2Fwos%2Fwoscc%2Ffull-record%2FWOS:000399652500002","View Full Record in Web of Science")</f>
        <v>View Full Record in Web of Science</v>
      </c>
    </row>
    <row r="382" ht="12.75" customHeight="1">
      <c r="A382" s="1" t="s">
        <v>72</v>
      </c>
      <c r="B382" s="1" t="s">
        <v>3991</v>
      </c>
      <c r="C382" s="1" t="s">
        <v>74</v>
      </c>
      <c r="D382" s="1" t="s">
        <v>74</v>
      </c>
      <c r="E382" s="1" t="s">
        <v>74</v>
      </c>
      <c r="F382" s="1" t="s">
        <v>3992</v>
      </c>
      <c r="G382" s="1" t="s">
        <v>74</v>
      </c>
      <c r="H382" s="1" t="s">
        <v>74</v>
      </c>
      <c r="I382" s="1" t="s">
        <v>3993</v>
      </c>
      <c r="J382" s="1" t="s">
        <v>629</v>
      </c>
      <c r="K382" s="1" t="s">
        <v>74</v>
      </c>
      <c r="L382" s="1" t="s">
        <v>74</v>
      </c>
      <c r="M382" s="1" t="s">
        <v>74</v>
      </c>
      <c r="N382" s="1" t="s">
        <v>74</v>
      </c>
      <c r="O382" s="1" t="s">
        <v>74</v>
      </c>
      <c r="P382" s="1" t="s">
        <v>74</v>
      </c>
      <c r="Q382" s="1" t="s">
        <v>74</v>
      </c>
      <c r="R382" s="1" t="s">
        <v>74</v>
      </c>
      <c r="S382" s="1" t="s">
        <v>74</v>
      </c>
      <c r="T382" s="1" t="s">
        <v>74</v>
      </c>
      <c r="U382" s="1" t="s">
        <v>74</v>
      </c>
      <c r="V382" s="1" t="s">
        <v>3994</v>
      </c>
      <c r="W382" s="1" t="s">
        <v>74</v>
      </c>
      <c r="X382" s="1" t="s">
        <v>74</v>
      </c>
      <c r="Y382" s="1" t="s">
        <v>74</v>
      </c>
      <c r="Z382" s="1" t="s">
        <v>74</v>
      </c>
      <c r="AA382" s="1" t="s">
        <v>3995</v>
      </c>
      <c r="AB382" s="1" t="s">
        <v>3996</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633</v>
      </c>
      <c r="AP382" s="1" t="s">
        <v>634</v>
      </c>
      <c r="AQ382" s="1" t="s">
        <v>74</v>
      </c>
      <c r="AR382" s="1" t="s">
        <v>74</v>
      </c>
      <c r="AS382" s="1" t="s">
        <v>74</v>
      </c>
      <c r="AT382" s="1" t="s">
        <v>3997</v>
      </c>
      <c r="AU382" s="1">
        <v>2016.0</v>
      </c>
      <c r="AV382" s="1">
        <v>686.0</v>
      </c>
      <c r="AW382" s="1" t="s">
        <v>74</v>
      </c>
      <c r="AX382" s="1" t="s">
        <v>74</v>
      </c>
      <c r="AY382" s="1" t="s">
        <v>74</v>
      </c>
      <c r="AZ382" s="1" t="s">
        <v>74</v>
      </c>
      <c r="BA382" s="1" t="s">
        <v>74</v>
      </c>
      <c r="BB382" s="1">
        <v>235.0</v>
      </c>
      <c r="BC382" s="1">
        <v>244.0</v>
      </c>
      <c r="BD382" s="1" t="s">
        <v>74</v>
      </c>
      <c r="BE382" s="1" t="s">
        <v>3998</v>
      </c>
      <c r="BF382" s="2" t="str">
        <f>HYPERLINK("http://dx.doi.org/10.1016/j.jallcom.2016.06.010","http://dx.doi.org/10.1016/j.jallcom.2016.06.010")</f>
        <v>http://dx.doi.org/10.1016/j.jallcom.2016.06.010</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3999</v>
      </c>
      <c r="BT382" s="1" t="str">
        <f>HYPERLINK("https%3A%2F%2Fwww.webofscience.com%2Fwos%2Fwoscc%2Ffull-record%2FWOS:000382228300031","View Full Record in Web of Science")</f>
        <v>View Full Record in Web of Science</v>
      </c>
    </row>
    <row r="383" ht="12.75" customHeight="1">
      <c r="A383" s="1" t="s">
        <v>72</v>
      </c>
      <c r="B383" s="1" t="s">
        <v>4000</v>
      </c>
      <c r="C383" s="1" t="s">
        <v>74</v>
      </c>
      <c r="D383" s="1" t="s">
        <v>74</v>
      </c>
      <c r="E383" s="1" t="s">
        <v>74</v>
      </c>
      <c r="F383" s="1" t="s">
        <v>4001</v>
      </c>
      <c r="G383" s="1" t="s">
        <v>74</v>
      </c>
      <c r="H383" s="1" t="s">
        <v>74</v>
      </c>
      <c r="I383" s="1" t="s">
        <v>4002</v>
      </c>
      <c r="J383" s="1" t="s">
        <v>737</v>
      </c>
      <c r="K383" s="1" t="s">
        <v>74</v>
      </c>
      <c r="L383" s="1" t="s">
        <v>74</v>
      </c>
      <c r="M383" s="1" t="s">
        <v>74</v>
      </c>
      <c r="N383" s="1" t="s">
        <v>74</v>
      </c>
      <c r="O383" s="1" t="s">
        <v>74</v>
      </c>
      <c r="P383" s="1" t="s">
        <v>74</v>
      </c>
      <c r="Q383" s="1" t="s">
        <v>74</v>
      </c>
      <c r="R383" s="1" t="s">
        <v>74</v>
      </c>
      <c r="S383" s="1" t="s">
        <v>74</v>
      </c>
      <c r="T383" s="1" t="s">
        <v>74</v>
      </c>
      <c r="U383" s="1" t="s">
        <v>74</v>
      </c>
      <c r="V383" s="1" t="s">
        <v>4003</v>
      </c>
      <c r="W383" s="1" t="s">
        <v>74</v>
      </c>
      <c r="X383" s="1" t="s">
        <v>74</v>
      </c>
      <c r="Y383" s="1" t="s">
        <v>74</v>
      </c>
      <c r="Z383" s="1" t="s">
        <v>74</v>
      </c>
      <c r="AA383" s="1" t="s">
        <v>4004</v>
      </c>
      <c r="AB383" s="1" t="s">
        <v>4005</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741</v>
      </c>
      <c r="AP383" s="1" t="s">
        <v>742</v>
      </c>
      <c r="AQ383" s="1" t="s">
        <v>74</v>
      </c>
      <c r="AR383" s="1" t="s">
        <v>74</v>
      </c>
      <c r="AS383" s="1" t="s">
        <v>74</v>
      </c>
      <c r="AT383" s="1" t="s">
        <v>877</v>
      </c>
      <c r="AU383" s="1">
        <v>2016.0</v>
      </c>
      <c r="AV383" s="1">
        <v>200.0</v>
      </c>
      <c r="AW383" s="1" t="s">
        <v>74</v>
      </c>
      <c r="AX383" s="1" t="s">
        <v>74</v>
      </c>
      <c r="AY383" s="1" t="s">
        <v>74</v>
      </c>
      <c r="AZ383" s="1" t="s">
        <v>74</v>
      </c>
      <c r="BA383" s="1" t="s">
        <v>74</v>
      </c>
      <c r="BB383" s="1">
        <v>142.0</v>
      </c>
      <c r="BC383" s="1">
        <v>147.0</v>
      </c>
      <c r="BD383" s="1" t="s">
        <v>74</v>
      </c>
      <c r="BE383" s="1" t="s">
        <v>4006</v>
      </c>
      <c r="BF383" s="2" t="str">
        <f>HYPERLINK("http://dx.doi.org/10.1016/j.jad.2016.04.029","http://dx.doi.org/10.1016/j.jad.2016.04.029")</f>
        <v>http://dx.doi.org/10.1016/j.jad.2016.04.029</v>
      </c>
      <c r="BG383" s="1" t="s">
        <v>74</v>
      </c>
      <c r="BH383" s="1" t="s">
        <v>74</v>
      </c>
      <c r="BI383" s="1" t="s">
        <v>74</v>
      </c>
      <c r="BJ383" s="1" t="s">
        <v>74</v>
      </c>
      <c r="BK383" s="1" t="s">
        <v>74</v>
      </c>
      <c r="BL383" s="1" t="s">
        <v>74</v>
      </c>
      <c r="BM383" s="1" t="s">
        <v>74</v>
      </c>
      <c r="BN383" s="1">
        <v>2.7136411E7</v>
      </c>
      <c r="BO383" s="1" t="s">
        <v>74</v>
      </c>
      <c r="BP383" s="1" t="s">
        <v>74</v>
      </c>
      <c r="BQ383" s="1" t="s">
        <v>74</v>
      </c>
      <c r="BR383" s="1" t="s">
        <v>74</v>
      </c>
      <c r="BS383" s="1" t="s">
        <v>4007</v>
      </c>
      <c r="BT383" s="1" t="str">
        <f>HYPERLINK("https%3A%2F%2Fwww.webofscience.com%2Fwos%2Fwoscc%2Ffull-record%2FWOS:000377392400019","View Full Record in Web of Science")</f>
        <v>View Full Record in Web of Science</v>
      </c>
    </row>
    <row r="384" ht="12.75" customHeight="1">
      <c r="A384" s="1" t="s">
        <v>72</v>
      </c>
      <c r="B384" s="1" t="s">
        <v>4008</v>
      </c>
      <c r="C384" s="1" t="s">
        <v>74</v>
      </c>
      <c r="D384" s="1" t="s">
        <v>74</v>
      </c>
      <c r="E384" s="1" t="s">
        <v>74</v>
      </c>
      <c r="F384" s="1" t="s">
        <v>4009</v>
      </c>
      <c r="G384" s="1" t="s">
        <v>74</v>
      </c>
      <c r="H384" s="1" t="s">
        <v>74</v>
      </c>
      <c r="I384" s="1" t="s">
        <v>4010</v>
      </c>
      <c r="J384" s="1" t="s">
        <v>4011</v>
      </c>
      <c r="K384" s="1" t="s">
        <v>74</v>
      </c>
      <c r="L384" s="1" t="s">
        <v>74</v>
      </c>
      <c r="M384" s="1" t="s">
        <v>74</v>
      </c>
      <c r="N384" s="1" t="s">
        <v>74</v>
      </c>
      <c r="O384" s="1" t="s">
        <v>74</v>
      </c>
      <c r="P384" s="1" t="s">
        <v>74</v>
      </c>
      <c r="Q384" s="1" t="s">
        <v>74</v>
      </c>
      <c r="R384" s="1" t="s">
        <v>74</v>
      </c>
      <c r="S384" s="1" t="s">
        <v>74</v>
      </c>
      <c r="T384" s="1" t="s">
        <v>74</v>
      </c>
      <c r="U384" s="1" t="s">
        <v>74</v>
      </c>
      <c r="V384" s="1" t="s">
        <v>4012</v>
      </c>
      <c r="W384" s="1" t="s">
        <v>74</v>
      </c>
      <c r="X384" s="1" t="s">
        <v>74</v>
      </c>
      <c r="Y384" s="1" t="s">
        <v>74</v>
      </c>
      <c r="Z384" s="1" t="s">
        <v>74</v>
      </c>
      <c r="AA384" s="1" t="s">
        <v>4013</v>
      </c>
      <c r="AB384" s="1" t="s">
        <v>4014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4015</v>
      </c>
      <c r="AP384" s="1" t="s">
        <v>4016</v>
      </c>
      <c r="AQ384" s="1" t="s">
        <v>74</v>
      </c>
      <c r="AR384" s="1" t="s">
        <v>74</v>
      </c>
      <c r="AS384" s="1" t="s">
        <v>74</v>
      </c>
      <c r="AT384" s="1" t="s">
        <v>385</v>
      </c>
      <c r="AU384" s="1">
        <v>2016.0</v>
      </c>
      <c r="AV384" s="1">
        <v>17.0</v>
      </c>
      <c r="AW384" s="1">
        <v>6.0</v>
      </c>
      <c r="AX384" s="1" t="s">
        <v>74</v>
      </c>
      <c r="AY384" s="1" t="s">
        <v>74</v>
      </c>
      <c r="AZ384" s="1" t="s">
        <v>74</v>
      </c>
      <c r="BA384" s="1" t="s">
        <v>74</v>
      </c>
      <c r="BB384" s="1">
        <v>531.0</v>
      </c>
      <c r="BC384" s="1">
        <v>540.0</v>
      </c>
      <c r="BD384" s="1" t="s">
        <v>74</v>
      </c>
      <c r="BE384" s="1" t="s">
        <v>4017</v>
      </c>
      <c r="BF384" s="2" t="str">
        <f>HYPERLINK("http://dx.doi.org/10.1111/obr.12395","http://dx.doi.org/10.1111/obr.12395")</f>
        <v>http://dx.doi.org/10.1111/obr.12395</v>
      </c>
      <c r="BG384" s="1" t="s">
        <v>74</v>
      </c>
      <c r="BH384" s="1" t="s">
        <v>74</v>
      </c>
      <c r="BI384" s="1" t="s">
        <v>74</v>
      </c>
      <c r="BJ384" s="1" t="s">
        <v>74</v>
      </c>
      <c r="BK384" s="1" t="s">
        <v>74</v>
      </c>
      <c r="BL384" s="1" t="s">
        <v>74</v>
      </c>
      <c r="BM384" s="1" t="s">
        <v>74</v>
      </c>
      <c r="BN384" s="1">
        <v>2.6948135E7</v>
      </c>
      <c r="BO384" s="1" t="s">
        <v>74</v>
      </c>
      <c r="BP384" s="1" t="s">
        <v>74</v>
      </c>
      <c r="BQ384" s="1" t="s">
        <v>74</v>
      </c>
      <c r="BR384" s="1" t="s">
        <v>74</v>
      </c>
      <c r="BS384" s="1" t="s">
        <v>4018</v>
      </c>
      <c r="BT384" s="1" t="str">
        <f>HYPERLINK("https%3A%2F%2Fwww.webofscience.com%2Fwos%2Fwoscc%2Ffull-record%2FWOS:000376610500005","View Full Record in Web of Science")</f>
        <v>View Full Record in Web of Science</v>
      </c>
    </row>
    <row r="385" ht="12.75" customHeight="1">
      <c r="A385" s="1" t="s">
        <v>72</v>
      </c>
      <c r="B385" s="1" t="s">
        <v>4019</v>
      </c>
      <c r="C385" s="1" t="s">
        <v>74</v>
      </c>
      <c r="D385" s="1" t="s">
        <v>74</v>
      </c>
      <c r="E385" s="1" t="s">
        <v>74</v>
      </c>
      <c r="F385" s="1" t="s">
        <v>4020</v>
      </c>
      <c r="G385" s="1" t="s">
        <v>74</v>
      </c>
      <c r="H385" s="1" t="s">
        <v>74</v>
      </c>
      <c r="I385" s="1" t="s">
        <v>4021</v>
      </c>
      <c r="J385" s="1" t="s">
        <v>438</v>
      </c>
      <c r="K385" s="1" t="s">
        <v>74</v>
      </c>
      <c r="L385" s="1" t="s">
        <v>74</v>
      </c>
      <c r="M385" s="1" t="s">
        <v>74</v>
      </c>
      <c r="N385" s="1" t="s">
        <v>74</v>
      </c>
      <c r="O385" s="1" t="s">
        <v>74</v>
      </c>
      <c r="P385" s="1" t="s">
        <v>74</v>
      </c>
      <c r="Q385" s="1" t="s">
        <v>74</v>
      </c>
      <c r="R385" s="1" t="s">
        <v>74</v>
      </c>
      <c r="S385" s="1" t="s">
        <v>74</v>
      </c>
      <c r="T385" s="1" t="s">
        <v>74</v>
      </c>
      <c r="U385" s="1" t="s">
        <v>74</v>
      </c>
      <c r="V385" s="1" t="s">
        <v>4022</v>
      </c>
      <c r="W385" s="1" t="s">
        <v>74</v>
      </c>
      <c r="X385" s="1" t="s">
        <v>74</v>
      </c>
      <c r="Y385" s="1" t="s">
        <v>74</v>
      </c>
      <c r="Z385" s="1" t="s">
        <v>74</v>
      </c>
      <c r="AA385" s="1" t="s">
        <v>4023</v>
      </c>
      <c r="AB385" s="1" t="s">
        <v>4024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442</v>
      </c>
      <c r="AP385" s="1" t="s">
        <v>443</v>
      </c>
      <c r="AQ385" s="1" t="s">
        <v>74</v>
      </c>
      <c r="AR385" s="1" t="s">
        <v>74</v>
      </c>
      <c r="AS385" s="1" t="s">
        <v>74</v>
      </c>
      <c r="AT385" s="1" t="s">
        <v>600</v>
      </c>
      <c r="AU385" s="1">
        <v>2016.0</v>
      </c>
      <c r="AV385" s="1">
        <v>120.0</v>
      </c>
      <c r="AW385" s="1">
        <v>4.0</v>
      </c>
      <c r="AX385" s="1" t="s">
        <v>74</v>
      </c>
      <c r="AY385" s="1" t="s">
        <v>74</v>
      </c>
      <c r="AZ385" s="1" t="s">
        <v>74</v>
      </c>
      <c r="BA385" s="1" t="s">
        <v>74</v>
      </c>
      <c r="BB385" s="1">
        <v>2013.0</v>
      </c>
      <c r="BC385" s="1">
        <v>2026.0</v>
      </c>
      <c r="BD385" s="1" t="s">
        <v>74</v>
      </c>
      <c r="BE385" s="1" t="s">
        <v>4025</v>
      </c>
      <c r="BF385" s="2" t="str">
        <f>HYPERLINK("http://dx.doi.org/10.1021/acs.jpcc.5b08624","http://dx.doi.org/10.1021/acs.jpcc.5b08624")</f>
        <v>http://dx.doi.org/10.1021/acs.jpcc.5b08624</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4026</v>
      </c>
      <c r="BT385" s="1" t="str">
        <f>HYPERLINK("https%3A%2F%2Fwww.webofscience.com%2Fwos%2Fwoscc%2Ffull-record%2FWOS:000369772900001","View Full Record in Web of Science")</f>
        <v>View Full Record in Web of Science</v>
      </c>
    </row>
    <row r="386" ht="12.75" customHeight="1">
      <c r="A386" s="1" t="s">
        <v>72</v>
      </c>
      <c r="B386" s="1" t="s">
        <v>4027</v>
      </c>
      <c r="C386" s="1" t="s">
        <v>74</v>
      </c>
      <c r="D386" s="1" t="s">
        <v>74</v>
      </c>
      <c r="E386" s="1" t="s">
        <v>74</v>
      </c>
      <c r="F386" s="1" t="s">
        <v>4028</v>
      </c>
      <c r="G386" s="1" t="s">
        <v>74</v>
      </c>
      <c r="H386" s="1" t="s">
        <v>74</v>
      </c>
      <c r="I386" s="1" t="s">
        <v>4029</v>
      </c>
      <c r="J386" s="1" t="s">
        <v>4030</v>
      </c>
      <c r="K386" s="1" t="s">
        <v>74</v>
      </c>
      <c r="L386" s="1" t="s">
        <v>74</v>
      </c>
      <c r="M386" s="1" t="s">
        <v>74</v>
      </c>
      <c r="N386" s="1" t="s">
        <v>74</v>
      </c>
      <c r="O386" s="1" t="s">
        <v>74</v>
      </c>
      <c r="P386" s="1" t="s">
        <v>74</v>
      </c>
      <c r="Q386" s="1" t="s">
        <v>74</v>
      </c>
      <c r="R386" s="1" t="s">
        <v>74</v>
      </c>
      <c r="S386" s="1" t="s">
        <v>74</v>
      </c>
      <c r="T386" s="1" t="s">
        <v>74</v>
      </c>
      <c r="U386" s="1" t="s">
        <v>74</v>
      </c>
      <c r="V386" s="1" t="s">
        <v>4031</v>
      </c>
      <c r="W386" s="1" t="s">
        <v>74</v>
      </c>
      <c r="X386" s="1" t="s">
        <v>74</v>
      </c>
      <c r="Y386" s="1" t="s">
        <v>74</v>
      </c>
      <c r="Z386" s="1" t="s">
        <v>74</v>
      </c>
      <c r="AA386" s="1" t="s">
        <v>4032</v>
      </c>
      <c r="AB386" s="1" t="s">
        <v>4033</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4034</v>
      </c>
      <c r="AP386" s="1" t="s">
        <v>4035</v>
      </c>
      <c r="AQ386" s="1" t="s">
        <v>74</v>
      </c>
      <c r="AR386" s="1" t="s">
        <v>74</v>
      </c>
      <c r="AS386" s="1" t="s">
        <v>74</v>
      </c>
      <c r="AT386" s="1" t="s">
        <v>4036</v>
      </c>
      <c r="AU386" s="1">
        <v>2015.0</v>
      </c>
      <c r="AV386" s="1">
        <v>568.0</v>
      </c>
      <c r="AW386" s="1" t="s">
        <v>74</v>
      </c>
      <c r="AX386" s="1" t="s">
        <v>74</v>
      </c>
      <c r="AY386" s="1" t="s">
        <v>74</v>
      </c>
      <c r="AZ386" s="1" t="s">
        <v>74</v>
      </c>
      <c r="BA386" s="1" t="s">
        <v>74</v>
      </c>
      <c r="BB386" s="1">
        <v>38.0</v>
      </c>
      <c r="BC386" s="1">
        <v>45.0</v>
      </c>
      <c r="BD386" s="1" t="s">
        <v>74</v>
      </c>
      <c r="BE386" s="1" t="s">
        <v>4037</v>
      </c>
      <c r="BF386" s="2" t="str">
        <f>HYPERLINK("http://dx.doi.org/10.1016/j.abb.2015.01.005","http://dx.doi.org/10.1016/j.abb.2015.01.005")</f>
        <v>http://dx.doi.org/10.1016/j.abb.2015.01.005</v>
      </c>
      <c r="BG386" s="1" t="s">
        <v>74</v>
      </c>
      <c r="BH386" s="1" t="s">
        <v>74</v>
      </c>
      <c r="BI386" s="1" t="s">
        <v>74</v>
      </c>
      <c r="BJ386" s="1" t="s">
        <v>74</v>
      </c>
      <c r="BK386" s="1" t="s">
        <v>74</v>
      </c>
      <c r="BL386" s="1" t="s">
        <v>74</v>
      </c>
      <c r="BM386" s="1" t="s">
        <v>74</v>
      </c>
      <c r="BN386" s="1">
        <v>2.560057E7</v>
      </c>
      <c r="BO386" s="1" t="s">
        <v>74</v>
      </c>
      <c r="BP386" s="1" t="s">
        <v>74</v>
      </c>
      <c r="BQ386" s="1" t="s">
        <v>74</v>
      </c>
      <c r="BR386" s="1" t="s">
        <v>74</v>
      </c>
      <c r="BS386" s="1" t="s">
        <v>4038</v>
      </c>
      <c r="BT386" s="1" t="str">
        <f>HYPERLINK("https%3A%2F%2Fwww.webofscience.com%2Fwos%2Fwoscc%2Ffull-record%2FWOS:000350535800005","View Full Record in Web of Science")</f>
        <v>View Full Record in Web of Science</v>
      </c>
    </row>
    <row r="387" ht="12.75" customHeight="1">
      <c r="A387" s="1" t="s">
        <v>72</v>
      </c>
      <c r="B387" s="1" t="s">
        <v>4039</v>
      </c>
      <c r="C387" s="1" t="s">
        <v>74</v>
      </c>
      <c r="D387" s="1" t="s">
        <v>74</v>
      </c>
      <c r="E387" s="1" t="s">
        <v>74</v>
      </c>
      <c r="F387" s="1" t="s">
        <v>4040</v>
      </c>
      <c r="G387" s="1" t="s">
        <v>74</v>
      </c>
      <c r="H387" s="1" t="s">
        <v>74</v>
      </c>
      <c r="I387" s="1" t="s">
        <v>4041</v>
      </c>
      <c r="J387" s="1" t="s">
        <v>4042</v>
      </c>
      <c r="K387" s="1" t="s">
        <v>74</v>
      </c>
      <c r="L387" s="1" t="s">
        <v>74</v>
      </c>
      <c r="M387" s="1" t="s">
        <v>74</v>
      </c>
      <c r="N387" s="1" t="s">
        <v>74</v>
      </c>
      <c r="O387" s="1" t="s">
        <v>74</v>
      </c>
      <c r="P387" s="1" t="s">
        <v>74</v>
      </c>
      <c r="Q387" s="1" t="s">
        <v>74</v>
      </c>
      <c r="R387" s="1" t="s">
        <v>74</v>
      </c>
      <c r="S387" s="1" t="s">
        <v>74</v>
      </c>
      <c r="T387" s="1" t="s">
        <v>74</v>
      </c>
      <c r="U387" s="1" t="s">
        <v>74</v>
      </c>
      <c r="V387" s="1" t="s">
        <v>4043</v>
      </c>
      <c r="W387" s="1" t="s">
        <v>74</v>
      </c>
      <c r="X387" s="1" t="s">
        <v>74</v>
      </c>
      <c r="Y387" s="1" t="s">
        <v>74</v>
      </c>
      <c r="Z387" s="1" t="s">
        <v>74</v>
      </c>
      <c r="AA387" s="1" t="s">
        <v>4044</v>
      </c>
      <c r="AB387" s="1" t="s">
        <v>4045</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4046</v>
      </c>
      <c r="AP387" s="1" t="s">
        <v>4047</v>
      </c>
      <c r="AQ387" s="1" t="s">
        <v>74</v>
      </c>
      <c r="AR387" s="1" t="s">
        <v>74</v>
      </c>
      <c r="AS387" s="1" t="s">
        <v>74</v>
      </c>
      <c r="AT387" s="1" t="s">
        <v>1374</v>
      </c>
      <c r="AU387" s="1">
        <v>2014.0</v>
      </c>
      <c r="AV387" s="1">
        <v>17.0</v>
      </c>
      <c r="AW387" s="1">
        <v>2.0</v>
      </c>
      <c r="AX387" s="1" t="s">
        <v>74</v>
      </c>
      <c r="AY387" s="1" t="s">
        <v>74</v>
      </c>
      <c r="AZ387" s="1" t="s">
        <v>74</v>
      </c>
      <c r="BA387" s="1" t="s">
        <v>74</v>
      </c>
      <c r="BB387" s="1">
        <v>261.0</v>
      </c>
      <c r="BC387" s="1">
        <v>272.0</v>
      </c>
      <c r="BD387" s="1" t="s">
        <v>74</v>
      </c>
      <c r="BE387" s="1" t="s">
        <v>4048</v>
      </c>
      <c r="BF387" s="2" t="str">
        <f>HYPERLINK("http://dx.doi.org/10.1080/10942912.2011.631245","http://dx.doi.org/10.1080/10942912.2011.631245")</f>
        <v>http://dx.doi.org/10.1080/10942912.2011.631245</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4049</v>
      </c>
      <c r="BT387" s="1" t="str">
        <f>HYPERLINK("https%3A%2F%2Fwww.webofscience.com%2Fwos%2Fwoscc%2Ffull-record%2FWOS:000325124500003","View Full Record in Web of Science")</f>
        <v>View Full Record in Web of Science</v>
      </c>
    </row>
    <row r="388" ht="12.75" customHeight="1">
      <c r="A388" s="1" t="s">
        <v>72</v>
      </c>
      <c r="B388" s="1" t="s">
        <v>4050</v>
      </c>
      <c r="C388" s="1" t="s">
        <v>74</v>
      </c>
      <c r="D388" s="1" t="s">
        <v>74</v>
      </c>
      <c r="E388" s="1" t="s">
        <v>74</v>
      </c>
      <c r="F388" s="1" t="s">
        <v>4051</v>
      </c>
      <c r="G388" s="1" t="s">
        <v>74</v>
      </c>
      <c r="H388" s="1" t="s">
        <v>74</v>
      </c>
      <c r="I388" s="1" t="s">
        <v>4052</v>
      </c>
      <c r="J388" s="1" t="s">
        <v>1184</v>
      </c>
      <c r="K388" s="1" t="s">
        <v>74</v>
      </c>
      <c r="L388" s="1" t="s">
        <v>74</v>
      </c>
      <c r="M388" s="1" t="s">
        <v>74</v>
      </c>
      <c r="N388" s="1" t="s">
        <v>74</v>
      </c>
      <c r="O388" s="1" t="s">
        <v>74</v>
      </c>
      <c r="P388" s="1" t="s">
        <v>74</v>
      </c>
      <c r="Q388" s="1" t="s">
        <v>74</v>
      </c>
      <c r="R388" s="1" t="s">
        <v>74</v>
      </c>
      <c r="S388" s="1" t="s">
        <v>74</v>
      </c>
      <c r="T388" s="1" t="s">
        <v>74</v>
      </c>
      <c r="U388" s="1" t="s">
        <v>74</v>
      </c>
      <c r="V388" s="1" t="s">
        <v>4053</v>
      </c>
      <c r="W388" s="1" t="s">
        <v>74</v>
      </c>
      <c r="X388" s="1" t="s">
        <v>74</v>
      </c>
      <c r="Y388" s="1" t="s">
        <v>74</v>
      </c>
      <c r="Z388" s="1" t="s">
        <v>74</v>
      </c>
      <c r="AA388" s="1" t="s">
        <v>4054</v>
      </c>
      <c r="AB388" s="1" t="s">
        <v>4055</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1188</v>
      </c>
      <c r="AP388" s="1" t="s">
        <v>74</v>
      </c>
      <c r="AQ388" s="1" t="s">
        <v>74</v>
      </c>
      <c r="AR388" s="1" t="s">
        <v>74</v>
      </c>
      <c r="AS388" s="1" t="s">
        <v>74</v>
      </c>
      <c r="AT388" s="1" t="s">
        <v>1082</v>
      </c>
      <c r="AU388" s="1">
        <v>2013.0</v>
      </c>
      <c r="AV388" s="1">
        <v>12.0</v>
      </c>
      <c r="AW388" s="1">
        <v>6.0</v>
      </c>
      <c r="AX388" s="1" t="s">
        <v>74</v>
      </c>
      <c r="AY388" s="1" t="s">
        <v>74</v>
      </c>
      <c r="AZ388" s="1" t="s">
        <v>74</v>
      </c>
      <c r="BA388" s="1" t="s">
        <v>74</v>
      </c>
      <c r="BB388" s="1">
        <v>603.0</v>
      </c>
      <c r="BC388" s="1">
        <v>611.0</v>
      </c>
      <c r="BD388" s="1" t="s">
        <v>74</v>
      </c>
      <c r="BE388" s="1" t="s">
        <v>74</v>
      </c>
      <c r="BF388" s="1" t="s">
        <v>74</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4056</v>
      </c>
      <c r="BT388" s="1" t="str">
        <f>HYPERLINK("https%3A%2F%2Fwww.webofscience.com%2Fwos%2Fwoscc%2Ffull-record%2FWOS:000328816500006","View Full Record in Web of Science")</f>
        <v>View Full Record in Web of Science</v>
      </c>
    </row>
    <row r="389" ht="12.75" customHeight="1">
      <c r="A389" s="1" t="s">
        <v>72</v>
      </c>
      <c r="B389" s="1" t="s">
        <v>4057</v>
      </c>
      <c r="C389" s="1" t="s">
        <v>74</v>
      </c>
      <c r="D389" s="1" t="s">
        <v>74</v>
      </c>
      <c r="E389" s="1" t="s">
        <v>74</v>
      </c>
      <c r="F389" s="1" t="s">
        <v>4058</v>
      </c>
      <c r="G389" s="1" t="s">
        <v>74</v>
      </c>
      <c r="H389" s="1" t="s">
        <v>74</v>
      </c>
      <c r="I389" s="1" t="s">
        <v>4059</v>
      </c>
      <c r="J389" s="1" t="s">
        <v>4060</v>
      </c>
      <c r="K389" s="1" t="s">
        <v>74</v>
      </c>
      <c r="L389" s="1" t="s">
        <v>74</v>
      </c>
      <c r="M389" s="1" t="s">
        <v>74</v>
      </c>
      <c r="N389" s="1" t="s">
        <v>74</v>
      </c>
      <c r="O389" s="1" t="s">
        <v>74</v>
      </c>
      <c r="P389" s="1" t="s">
        <v>74</v>
      </c>
      <c r="Q389" s="1" t="s">
        <v>74</v>
      </c>
      <c r="R389" s="1" t="s">
        <v>74</v>
      </c>
      <c r="S389" s="1" t="s">
        <v>74</v>
      </c>
      <c r="T389" s="1" t="s">
        <v>74</v>
      </c>
      <c r="U389" s="1" t="s">
        <v>74</v>
      </c>
      <c r="V389" s="1" t="s">
        <v>4061</v>
      </c>
      <c r="W389" s="1" t="s">
        <v>74</v>
      </c>
      <c r="X389" s="1" t="s">
        <v>74</v>
      </c>
      <c r="Y389" s="1" t="s">
        <v>74</v>
      </c>
      <c r="Z389" s="1" t="s">
        <v>74</v>
      </c>
      <c r="AA389" s="1" t="s">
        <v>4062</v>
      </c>
      <c r="AB389" s="1" t="s">
        <v>4063</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4064</v>
      </c>
      <c r="AP389" s="1" t="s">
        <v>4065</v>
      </c>
      <c r="AQ389" s="1" t="s">
        <v>74</v>
      </c>
      <c r="AR389" s="1" t="s">
        <v>74</v>
      </c>
      <c r="AS389" s="1" t="s">
        <v>74</v>
      </c>
      <c r="AT389" s="1" t="s">
        <v>4066</v>
      </c>
      <c r="AU389" s="1">
        <v>2013.0</v>
      </c>
      <c r="AV389" s="1">
        <v>15.0</v>
      </c>
      <c r="AW389" s="1">
        <v>11.0</v>
      </c>
      <c r="AX389" s="1" t="s">
        <v>74</v>
      </c>
      <c r="AY389" s="1" t="s">
        <v>74</v>
      </c>
      <c r="AZ389" s="1" t="s">
        <v>74</v>
      </c>
      <c r="BA389" s="1" t="s">
        <v>74</v>
      </c>
      <c r="BB389" s="1" t="s">
        <v>74</v>
      </c>
      <c r="BC389" s="1" t="s">
        <v>74</v>
      </c>
      <c r="BD389" s="1">
        <v>2041.0</v>
      </c>
      <c r="BE389" s="1" t="s">
        <v>4067</v>
      </c>
      <c r="BF389" s="2" t="str">
        <f>HYPERLINK("http://dx.doi.org/10.1007/s11051-013-2041-3","http://dx.doi.org/10.1007/s11051-013-2041-3")</f>
        <v>http://dx.doi.org/10.1007/s11051-013-2041-3</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4068</v>
      </c>
      <c r="BT389" s="1" t="str">
        <f>HYPERLINK("https%3A%2F%2Fwww.webofscience.com%2Fwos%2Fwoscc%2Ffull-record%2FWOS:000325726300001","View Full Record in Web of Science")</f>
        <v>View Full Record in Web of Science</v>
      </c>
    </row>
    <row r="390" ht="12.75" customHeight="1">
      <c r="A390" s="1" t="s">
        <v>72</v>
      </c>
      <c r="B390" s="1" t="s">
        <v>4069</v>
      </c>
      <c r="C390" s="1" t="s">
        <v>74</v>
      </c>
      <c r="D390" s="1" t="s">
        <v>74</v>
      </c>
      <c r="E390" s="1" t="s">
        <v>74</v>
      </c>
      <c r="F390" s="1" t="s">
        <v>4070</v>
      </c>
      <c r="G390" s="1" t="s">
        <v>74</v>
      </c>
      <c r="H390" s="1" t="s">
        <v>74</v>
      </c>
      <c r="I390" s="1" t="s">
        <v>4071</v>
      </c>
      <c r="J390" s="1" t="s">
        <v>4072</v>
      </c>
      <c r="K390" s="1" t="s">
        <v>74</v>
      </c>
      <c r="L390" s="1" t="s">
        <v>74</v>
      </c>
      <c r="M390" s="1" t="s">
        <v>74</v>
      </c>
      <c r="N390" s="1" t="s">
        <v>74</v>
      </c>
      <c r="O390" s="1" t="s">
        <v>74</v>
      </c>
      <c r="P390" s="1" t="s">
        <v>74</v>
      </c>
      <c r="Q390" s="1" t="s">
        <v>74</v>
      </c>
      <c r="R390" s="1" t="s">
        <v>74</v>
      </c>
      <c r="S390" s="1" t="s">
        <v>74</v>
      </c>
      <c r="T390" s="1" t="s">
        <v>74</v>
      </c>
      <c r="U390" s="1" t="s">
        <v>74</v>
      </c>
      <c r="V390" s="1" t="s">
        <v>4073</v>
      </c>
      <c r="W390" s="1" t="s">
        <v>74</v>
      </c>
      <c r="X390" s="1" t="s">
        <v>74</v>
      </c>
      <c r="Y390" s="1" t="s">
        <v>74</v>
      </c>
      <c r="Z390" s="1" t="s">
        <v>74</v>
      </c>
      <c r="AA390" s="1" t="s">
        <v>4074</v>
      </c>
      <c r="AB390" s="1" t="s">
        <v>4075</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4076</v>
      </c>
      <c r="AP390" s="1" t="s">
        <v>74</v>
      </c>
      <c r="AQ390" s="1" t="s">
        <v>74</v>
      </c>
      <c r="AR390" s="1" t="s">
        <v>74</v>
      </c>
      <c r="AS390" s="1" t="s">
        <v>74</v>
      </c>
      <c r="AT390" s="1" t="s">
        <v>877</v>
      </c>
      <c r="AU390" s="1">
        <v>2010.0</v>
      </c>
      <c r="AV390" s="1">
        <v>35.0</v>
      </c>
      <c r="AW390" s="1">
        <v>15.0</v>
      </c>
      <c r="AX390" s="1" t="s">
        <v>74</v>
      </c>
      <c r="AY390" s="1" t="s">
        <v>74</v>
      </c>
      <c r="AZ390" s="1" t="s">
        <v>1350</v>
      </c>
      <c r="BA390" s="1" t="s">
        <v>74</v>
      </c>
      <c r="BB390" s="1">
        <v>7835.0</v>
      </c>
      <c r="BC390" s="1">
        <v>7841.0</v>
      </c>
      <c r="BD390" s="1" t="s">
        <v>74</v>
      </c>
      <c r="BE390" s="1" t="s">
        <v>4077</v>
      </c>
      <c r="BF390" s="2" t="str">
        <f>HYPERLINK("http://dx.doi.org/10.1016/j.ijhydene.2010.05.062","http://dx.doi.org/10.1016/j.ijhydene.2010.05.062")</f>
        <v>http://dx.doi.org/10.1016/j.ijhydene.2010.05.062</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4078</v>
      </c>
      <c r="BT390" s="1" t="str">
        <f>HYPERLINK("https%3A%2F%2Fwww.webofscience.com%2Fwos%2Fwoscc%2Ffull-record%2FWOS:000281383900022","View Full Record in Web of Science")</f>
        <v>View Full Record in Web of Science</v>
      </c>
    </row>
    <row r="391" ht="12.75" customHeight="1">
      <c r="A391" s="1" t="s">
        <v>72</v>
      </c>
      <c r="B391" s="1" t="s">
        <v>4079</v>
      </c>
      <c r="C391" s="1" t="s">
        <v>74</v>
      </c>
      <c r="D391" s="1" t="s">
        <v>74</v>
      </c>
      <c r="E391" s="1" t="s">
        <v>74</v>
      </c>
      <c r="F391" s="1" t="s">
        <v>4080</v>
      </c>
      <c r="G391" s="1" t="s">
        <v>74</v>
      </c>
      <c r="H391" s="1" t="s">
        <v>74</v>
      </c>
      <c r="I391" s="1" t="s">
        <v>4081</v>
      </c>
      <c r="J391" s="1" t="s">
        <v>4082</v>
      </c>
      <c r="K391" s="1" t="s">
        <v>74</v>
      </c>
      <c r="L391" s="1" t="s">
        <v>74</v>
      </c>
      <c r="M391" s="1" t="s">
        <v>74</v>
      </c>
      <c r="N391" s="1" t="s">
        <v>74</v>
      </c>
      <c r="O391" s="1" t="s">
        <v>74</v>
      </c>
      <c r="P391" s="1" t="s">
        <v>74</v>
      </c>
      <c r="Q391" s="1" t="s">
        <v>74</v>
      </c>
      <c r="R391" s="1" t="s">
        <v>74</v>
      </c>
      <c r="S391" s="1" t="s">
        <v>74</v>
      </c>
      <c r="T391" s="1" t="s">
        <v>74</v>
      </c>
      <c r="U391" s="1" t="s">
        <v>74</v>
      </c>
      <c r="V391" s="1" t="s">
        <v>4083</v>
      </c>
      <c r="W391" s="1" t="s">
        <v>74</v>
      </c>
      <c r="X391" s="1" t="s">
        <v>74</v>
      </c>
      <c r="Y391" s="1" t="s">
        <v>74</v>
      </c>
      <c r="Z391" s="1" t="s">
        <v>74</v>
      </c>
      <c r="AA391" s="1" t="s">
        <v>4084</v>
      </c>
      <c r="AB391" s="1" t="s">
        <v>4085</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4086</v>
      </c>
      <c r="AP391" s="1" t="s">
        <v>4087</v>
      </c>
      <c r="AQ391" s="1" t="s">
        <v>74</v>
      </c>
      <c r="AR391" s="1" t="s">
        <v>74</v>
      </c>
      <c r="AS391" s="1" t="s">
        <v>74</v>
      </c>
      <c r="AT391" s="1" t="s">
        <v>241</v>
      </c>
      <c r="AU391" s="1">
        <v>2008.0</v>
      </c>
      <c r="AV391" s="1">
        <v>54.0</v>
      </c>
      <c r="AW391" s="1">
        <v>3.0</v>
      </c>
      <c r="AX391" s="1" t="s">
        <v>74</v>
      </c>
      <c r="AY391" s="1" t="s">
        <v>74</v>
      </c>
      <c r="AZ391" s="1" t="s">
        <v>74</v>
      </c>
      <c r="BA391" s="1" t="s">
        <v>74</v>
      </c>
      <c r="BB391" s="1">
        <v>133.0</v>
      </c>
      <c r="BC391" s="1">
        <v>141.0</v>
      </c>
      <c r="BD391" s="1" t="s">
        <v>74</v>
      </c>
      <c r="BE391" s="1" t="s">
        <v>4088</v>
      </c>
      <c r="BF391" s="2" t="str">
        <f>HYPERLINK("http://dx.doi.org/10.1007/s00294-008-0205-y","http://dx.doi.org/10.1007/s00294-008-0205-y")</f>
        <v>http://dx.doi.org/10.1007/s00294-008-0205-y</v>
      </c>
      <c r="BG391" s="1" t="s">
        <v>74</v>
      </c>
      <c r="BH391" s="1" t="s">
        <v>74</v>
      </c>
      <c r="BI391" s="1" t="s">
        <v>74</v>
      </c>
      <c r="BJ391" s="1" t="s">
        <v>74</v>
      </c>
      <c r="BK391" s="1" t="s">
        <v>74</v>
      </c>
      <c r="BL391" s="1" t="s">
        <v>74</v>
      </c>
      <c r="BM391" s="1" t="s">
        <v>74</v>
      </c>
      <c r="BN391" s="1">
        <v>1.8661134E7</v>
      </c>
      <c r="BO391" s="1" t="s">
        <v>74</v>
      </c>
      <c r="BP391" s="1" t="s">
        <v>74</v>
      </c>
      <c r="BQ391" s="1" t="s">
        <v>74</v>
      </c>
      <c r="BR391" s="1" t="s">
        <v>74</v>
      </c>
      <c r="BS391" s="1" t="s">
        <v>4089</v>
      </c>
      <c r="BT391" s="1" t="str">
        <f>HYPERLINK("https%3A%2F%2Fwww.webofscience.com%2Fwos%2Fwoscc%2Ffull-record%2FWOS:000258672800003","View Full Record in Web of Science")</f>
        <v>View Full Record in Web of Science</v>
      </c>
    </row>
    <row r="392" ht="12.75" customHeight="1">
      <c r="A392" s="1" t="s">
        <v>154</v>
      </c>
      <c r="B392" s="1" t="s">
        <v>4090</v>
      </c>
      <c r="C392" s="1" t="s">
        <v>74</v>
      </c>
      <c r="D392" s="1" t="s">
        <v>4091</v>
      </c>
      <c r="E392" s="1" t="s">
        <v>74</v>
      </c>
      <c r="F392" s="1" t="s">
        <v>4092</v>
      </c>
      <c r="G392" s="1" t="s">
        <v>74</v>
      </c>
      <c r="H392" s="1" t="s">
        <v>74</v>
      </c>
      <c r="I392" s="1" t="s">
        <v>4093</v>
      </c>
      <c r="J392" s="1" t="s">
        <v>4094</v>
      </c>
      <c r="K392" s="1" t="s">
        <v>4095</v>
      </c>
      <c r="L392" s="1" t="s">
        <v>74</v>
      </c>
      <c r="M392" s="1" t="s">
        <v>74</v>
      </c>
      <c r="N392" s="1" t="s">
        <v>74</v>
      </c>
      <c r="O392" s="1" t="s">
        <v>4096</v>
      </c>
      <c r="P392" s="1" t="s">
        <v>4097</v>
      </c>
      <c r="Q392" s="1" t="s">
        <v>4098</v>
      </c>
      <c r="R392" s="1" t="s">
        <v>74</v>
      </c>
      <c r="S392" s="1" t="s">
        <v>74</v>
      </c>
      <c r="T392" s="1" t="s">
        <v>74</v>
      </c>
      <c r="U392" s="1" t="s">
        <v>74</v>
      </c>
      <c r="V392" s="1" t="s">
        <v>4099</v>
      </c>
      <c r="W392" s="1" t="s">
        <v>74</v>
      </c>
      <c r="X392" s="1" t="s">
        <v>74</v>
      </c>
      <c r="Y392" s="1" t="s">
        <v>74</v>
      </c>
      <c r="Z392" s="1" t="s">
        <v>74</v>
      </c>
      <c r="AA392" s="1" t="s">
        <v>4100</v>
      </c>
      <c r="AB392" s="1" t="s">
        <v>4101</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4102</v>
      </c>
      <c r="AP392" s="1" t="s">
        <v>74</v>
      </c>
      <c r="AQ392" s="1" t="s">
        <v>4103</v>
      </c>
      <c r="AR392" s="1" t="s">
        <v>74</v>
      </c>
      <c r="AS392" s="1" t="s">
        <v>74</v>
      </c>
      <c r="AT392" s="1" t="s">
        <v>74</v>
      </c>
      <c r="AU392" s="1">
        <v>2007.0</v>
      </c>
      <c r="AV392" s="1">
        <v>972.0</v>
      </c>
      <c r="AW392" s="1" t="s">
        <v>74</v>
      </c>
      <c r="AX392" s="1" t="s">
        <v>74</v>
      </c>
      <c r="AY392" s="1" t="s">
        <v>74</v>
      </c>
      <c r="AZ392" s="1" t="s">
        <v>74</v>
      </c>
      <c r="BA392" s="1" t="s">
        <v>74</v>
      </c>
      <c r="BB392" s="1">
        <v>397.0</v>
      </c>
      <c r="BC392" s="1" t="s">
        <v>662</v>
      </c>
      <c r="BD392" s="1" t="s">
        <v>74</v>
      </c>
      <c r="BE392" s="1" t="s">
        <v>74</v>
      </c>
      <c r="BF392" s="1" t="s">
        <v>74</v>
      </c>
      <c r="BG392" s="1" t="s">
        <v>74</v>
      </c>
      <c r="BH392" s="1" t="s">
        <v>74</v>
      </c>
      <c r="BI392" s="1" t="s">
        <v>74</v>
      </c>
      <c r="BJ392" s="1" t="s">
        <v>74</v>
      </c>
      <c r="BK392" s="1" t="s">
        <v>74</v>
      </c>
      <c r="BL392" s="1" t="s">
        <v>74</v>
      </c>
      <c r="BM392" s="1" t="s">
        <v>74</v>
      </c>
      <c r="BN392" s="1" t="s">
        <v>74</v>
      </c>
      <c r="BO392" s="1" t="s">
        <v>74</v>
      </c>
      <c r="BP392" s="1" t="s">
        <v>74</v>
      </c>
      <c r="BQ392" s="1" t="s">
        <v>74</v>
      </c>
      <c r="BR392" s="1" t="s">
        <v>74</v>
      </c>
      <c r="BS392" s="1" t="s">
        <v>4104</v>
      </c>
      <c r="BT392" s="1" t="str">
        <f>HYPERLINK("https%3A%2F%2Fwww.webofscience.com%2Fwos%2Fwoscc%2Ffull-record%2FWOS:000246435400057","View Full Record in Web of Science")</f>
        <v>View Full Record in Web of Science</v>
      </c>
    </row>
    <row r="393" ht="12.75" customHeight="1">
      <c r="A393" s="1" t="s">
        <v>72</v>
      </c>
      <c r="B393" s="1" t="s">
        <v>4105</v>
      </c>
      <c r="C393" s="1" t="s">
        <v>74</v>
      </c>
      <c r="D393" s="1" t="s">
        <v>74</v>
      </c>
      <c r="E393" s="1" t="s">
        <v>74</v>
      </c>
      <c r="F393" s="1" t="s">
        <v>4105</v>
      </c>
      <c r="G393" s="1" t="s">
        <v>74</v>
      </c>
      <c r="H393" s="1" t="s">
        <v>74</v>
      </c>
      <c r="I393" s="1" t="s">
        <v>4106</v>
      </c>
      <c r="J393" s="1" t="s">
        <v>4107</v>
      </c>
      <c r="K393" s="1" t="s">
        <v>74</v>
      </c>
      <c r="L393" s="1" t="s">
        <v>74</v>
      </c>
      <c r="M393" s="1" t="s">
        <v>74</v>
      </c>
      <c r="N393" s="1" t="s">
        <v>74</v>
      </c>
      <c r="O393" s="1" t="s">
        <v>74</v>
      </c>
      <c r="P393" s="1" t="s">
        <v>74</v>
      </c>
      <c r="Q393" s="1" t="s">
        <v>74</v>
      </c>
      <c r="R393" s="1" t="s">
        <v>74</v>
      </c>
      <c r="S393" s="1" t="s">
        <v>74</v>
      </c>
      <c r="T393" s="1" t="s">
        <v>74</v>
      </c>
      <c r="U393" s="1" t="s">
        <v>74</v>
      </c>
      <c r="V393" s="1" t="s">
        <v>4108</v>
      </c>
      <c r="W393" s="1" t="s">
        <v>74</v>
      </c>
      <c r="X393" s="1" t="s">
        <v>74</v>
      </c>
      <c r="Y393" s="1" t="s">
        <v>74</v>
      </c>
      <c r="Z393" s="1" t="s">
        <v>74</v>
      </c>
      <c r="AA393" s="1" t="s">
        <v>4109</v>
      </c>
      <c r="AB393" s="1" t="s">
        <v>4110</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4111</v>
      </c>
      <c r="AP393" s="1" t="s">
        <v>4112</v>
      </c>
      <c r="AQ393" s="1" t="s">
        <v>74</v>
      </c>
      <c r="AR393" s="1" t="s">
        <v>74</v>
      </c>
      <c r="AS393" s="1" t="s">
        <v>74</v>
      </c>
      <c r="AT393" s="1" t="s">
        <v>94</v>
      </c>
      <c r="AU393" s="1">
        <v>2006.0</v>
      </c>
      <c r="AV393" s="1">
        <v>70.0</v>
      </c>
      <c r="AW393" s="1">
        <v>5.0</v>
      </c>
      <c r="AX393" s="1" t="s">
        <v>74</v>
      </c>
      <c r="AY393" s="1" t="s">
        <v>74</v>
      </c>
      <c r="AZ393" s="1" t="s">
        <v>74</v>
      </c>
      <c r="BA393" s="1" t="s">
        <v>74</v>
      </c>
      <c r="BB393" s="1">
        <v>590.0</v>
      </c>
      <c r="BC393" s="1">
        <v>597.0</v>
      </c>
      <c r="BD393" s="1" t="s">
        <v>74</v>
      </c>
      <c r="BE393" s="1" t="s">
        <v>4113</v>
      </c>
      <c r="BF393" s="2" t="str">
        <f>HYPERLINK("http://dx.doi.org/10.1007/s00253-005-0095-6","http://dx.doi.org/10.1007/s00253-005-0095-6")</f>
        <v>http://dx.doi.org/10.1007/s00253-005-0095-6</v>
      </c>
      <c r="BG393" s="1" t="s">
        <v>74</v>
      </c>
      <c r="BH393" s="1" t="s">
        <v>74</v>
      </c>
      <c r="BI393" s="1" t="s">
        <v>74</v>
      </c>
      <c r="BJ393" s="1" t="s">
        <v>74</v>
      </c>
      <c r="BK393" s="1" t="s">
        <v>74</v>
      </c>
      <c r="BL393" s="1" t="s">
        <v>74</v>
      </c>
      <c r="BM393" s="1" t="s">
        <v>74</v>
      </c>
      <c r="BN393" s="1">
        <v>1.6088344E7</v>
      </c>
      <c r="BO393" s="1" t="s">
        <v>74</v>
      </c>
      <c r="BP393" s="1" t="s">
        <v>74</v>
      </c>
      <c r="BQ393" s="1" t="s">
        <v>74</v>
      </c>
      <c r="BR393" s="1" t="s">
        <v>74</v>
      </c>
      <c r="BS393" s="1" t="s">
        <v>4114</v>
      </c>
      <c r="BT393" s="1" t="str">
        <f>HYPERLINK("https%3A%2F%2Fwww.webofscience.com%2Fwos%2Fwoscc%2Ffull-record%2FWOS:000236624500011","View Full Record in Web of Science")</f>
        <v>View Full Record in Web of Science</v>
      </c>
    </row>
    <row r="394" ht="12.75" customHeight="1">
      <c r="A394" s="1" t="s">
        <v>72</v>
      </c>
      <c r="B394" s="1" t="s">
        <v>4115</v>
      </c>
      <c r="C394" s="1" t="s">
        <v>74</v>
      </c>
      <c r="D394" s="1" t="s">
        <v>74</v>
      </c>
      <c r="E394" s="1" t="s">
        <v>74</v>
      </c>
      <c r="F394" s="1" t="s">
        <v>4115</v>
      </c>
      <c r="G394" s="1" t="s">
        <v>74</v>
      </c>
      <c r="H394" s="1" t="s">
        <v>74</v>
      </c>
      <c r="I394" s="1" t="s">
        <v>4116</v>
      </c>
      <c r="J394" s="1" t="s">
        <v>700</v>
      </c>
      <c r="K394" s="1" t="s">
        <v>74</v>
      </c>
      <c r="L394" s="1" t="s">
        <v>74</v>
      </c>
      <c r="M394" s="1" t="s">
        <v>74</v>
      </c>
      <c r="N394" s="1" t="s">
        <v>74</v>
      </c>
      <c r="O394" s="1" t="s">
        <v>74</v>
      </c>
      <c r="P394" s="1" t="s">
        <v>74</v>
      </c>
      <c r="Q394" s="1" t="s">
        <v>74</v>
      </c>
      <c r="R394" s="1" t="s">
        <v>74</v>
      </c>
      <c r="S394" s="1" t="s">
        <v>74</v>
      </c>
      <c r="T394" s="1" t="s">
        <v>74</v>
      </c>
      <c r="U394" s="1" t="s">
        <v>74</v>
      </c>
      <c r="V394" s="1" t="s">
        <v>4117</v>
      </c>
      <c r="W394" s="1" t="s">
        <v>74</v>
      </c>
      <c r="X394" s="1" t="s">
        <v>74</v>
      </c>
      <c r="Y394" s="1" t="s">
        <v>74</v>
      </c>
      <c r="Z394" s="1" t="s">
        <v>74</v>
      </c>
      <c r="AA394" s="1" t="s">
        <v>74</v>
      </c>
      <c r="AB394" s="1" t="s">
        <v>668</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703</v>
      </c>
      <c r="AP394" s="1" t="s">
        <v>74</v>
      </c>
      <c r="AQ394" s="1" t="s">
        <v>74</v>
      </c>
      <c r="AR394" s="1" t="s">
        <v>74</v>
      </c>
      <c r="AS394" s="1" t="s">
        <v>74</v>
      </c>
      <c r="AT394" s="1" t="s">
        <v>151</v>
      </c>
      <c r="AU394" s="1">
        <v>2005.0</v>
      </c>
      <c r="AV394" s="1">
        <v>18.0</v>
      </c>
      <c r="AW394" s="1">
        <v>10.0</v>
      </c>
      <c r="AX394" s="1" t="s">
        <v>74</v>
      </c>
      <c r="AY394" s="1" t="s">
        <v>74</v>
      </c>
      <c r="AZ394" s="1" t="s">
        <v>74</v>
      </c>
      <c r="BA394" s="1" t="s">
        <v>74</v>
      </c>
      <c r="BB394" s="1">
        <v>1163.0</v>
      </c>
      <c r="BC394" s="1">
        <v>1169.0</v>
      </c>
      <c r="BD394" s="1" t="s">
        <v>74</v>
      </c>
      <c r="BE394" s="1" t="s">
        <v>4118</v>
      </c>
      <c r="BF394" s="2" t="str">
        <f>HYPERLINK("http://dx.doi.org/10.1016/j.aml.2004.12.001","http://dx.doi.org/10.1016/j.aml.2004.12.001")</f>
        <v>http://dx.doi.org/10.1016/j.aml.2004.12.001</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4119</v>
      </c>
      <c r="BT394" s="1" t="str">
        <f>HYPERLINK("https%3A%2F%2Fwww.webofscience.com%2Fwos%2Fwoscc%2Ffull-record%2FWOS:000231839500014","View Full Record in Web of Science")</f>
        <v>View Full Record in Web of Science</v>
      </c>
    </row>
    <row r="395" ht="12.75" customHeight="1">
      <c r="A395" s="1" t="s">
        <v>72</v>
      </c>
      <c r="B395" s="1" t="s">
        <v>4120</v>
      </c>
      <c r="C395" s="1" t="s">
        <v>74</v>
      </c>
      <c r="D395" s="1" t="s">
        <v>74</v>
      </c>
      <c r="E395" s="1" t="s">
        <v>74</v>
      </c>
      <c r="F395" s="1" t="s">
        <v>4120</v>
      </c>
      <c r="G395" s="1" t="s">
        <v>74</v>
      </c>
      <c r="H395" s="1" t="s">
        <v>74</v>
      </c>
      <c r="I395" s="1" t="s">
        <v>4121</v>
      </c>
      <c r="J395" s="1" t="s">
        <v>3110</v>
      </c>
      <c r="K395" s="1" t="s">
        <v>74</v>
      </c>
      <c r="L395" s="1" t="s">
        <v>74</v>
      </c>
      <c r="M395" s="1" t="s">
        <v>74</v>
      </c>
      <c r="N395" s="1" t="s">
        <v>74</v>
      </c>
      <c r="O395" s="1" t="s">
        <v>74</v>
      </c>
      <c r="P395" s="1" t="s">
        <v>74</v>
      </c>
      <c r="Q395" s="1" t="s">
        <v>74</v>
      </c>
      <c r="R395" s="1" t="s">
        <v>74</v>
      </c>
      <c r="S395" s="1" t="s">
        <v>74</v>
      </c>
      <c r="T395" s="1" t="s">
        <v>74</v>
      </c>
      <c r="U395" s="1" t="s">
        <v>74</v>
      </c>
      <c r="V395" s="1" t="s">
        <v>4122</v>
      </c>
      <c r="W395" s="1" t="s">
        <v>74</v>
      </c>
      <c r="X395" s="1" t="s">
        <v>74</v>
      </c>
      <c r="Y395" s="1" t="s">
        <v>74</v>
      </c>
      <c r="Z395" s="1" t="s">
        <v>74</v>
      </c>
      <c r="AA395" s="1" t="s">
        <v>4123</v>
      </c>
      <c r="AB395" s="1" t="s">
        <v>4124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3114</v>
      </c>
      <c r="AP395" s="1" t="s">
        <v>3115</v>
      </c>
      <c r="AQ395" s="1" t="s">
        <v>74</v>
      </c>
      <c r="AR395" s="1" t="s">
        <v>74</v>
      </c>
      <c r="AS395" s="1" t="s">
        <v>74</v>
      </c>
      <c r="AT395" s="1" t="s">
        <v>4125</v>
      </c>
      <c r="AU395" s="1">
        <v>2005.0</v>
      </c>
      <c r="AV395" s="1">
        <v>287.0</v>
      </c>
      <c r="AW395" s="1">
        <v>1.0</v>
      </c>
      <c r="AX395" s="1" t="s">
        <v>74</v>
      </c>
      <c r="AY395" s="1" t="s">
        <v>74</v>
      </c>
      <c r="AZ395" s="1" t="s">
        <v>74</v>
      </c>
      <c r="BA395" s="1" t="s">
        <v>74</v>
      </c>
      <c r="BB395" s="1">
        <v>47.0</v>
      </c>
      <c r="BC395" s="1">
        <v>53.0</v>
      </c>
      <c r="BD395" s="1" t="s">
        <v>74</v>
      </c>
      <c r="BE395" s="1" t="s">
        <v>4126</v>
      </c>
      <c r="BF395" s="2" t="str">
        <f>HYPERLINK("http://dx.doi.org/10.1016/j.apcata.2005.03.019","http://dx.doi.org/10.1016/j.apcata.2005.03.019")</f>
        <v>http://dx.doi.org/10.1016/j.apcata.2005.03.019</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4127</v>
      </c>
      <c r="BT395" s="1" t="str">
        <f>HYPERLINK("https%3A%2F%2Fwww.webofscience.com%2Fwos%2Fwoscc%2Ffull-record%2FWOS:000229952700006","View Full Record in Web of Science")</f>
        <v>View Full Record in Web of Science</v>
      </c>
    </row>
    <row r="396" ht="12.75" customHeight="1">
      <c r="A396" s="1" t="s">
        <v>72</v>
      </c>
      <c r="B396" s="1" t="s">
        <v>4128</v>
      </c>
      <c r="C396" s="1" t="s">
        <v>74</v>
      </c>
      <c r="D396" s="1" t="s">
        <v>74</v>
      </c>
      <c r="E396" s="1" t="s">
        <v>74</v>
      </c>
      <c r="F396" s="1" t="s">
        <v>4128</v>
      </c>
      <c r="G396" s="1" t="s">
        <v>74</v>
      </c>
      <c r="H396" s="1" t="s">
        <v>74</v>
      </c>
      <c r="I396" s="1" t="s">
        <v>4129</v>
      </c>
      <c r="J396" s="1" t="s">
        <v>4130</v>
      </c>
      <c r="K396" s="1" t="s">
        <v>74</v>
      </c>
      <c r="L396" s="1" t="s">
        <v>74</v>
      </c>
      <c r="M396" s="1" t="s">
        <v>74</v>
      </c>
      <c r="N396" s="1" t="s">
        <v>74</v>
      </c>
      <c r="O396" s="1" t="s">
        <v>74</v>
      </c>
      <c r="P396" s="1" t="s">
        <v>74</v>
      </c>
      <c r="Q396" s="1" t="s">
        <v>74</v>
      </c>
      <c r="R396" s="1" t="s">
        <v>74</v>
      </c>
      <c r="S396" s="1" t="s">
        <v>74</v>
      </c>
      <c r="T396" s="1" t="s">
        <v>74</v>
      </c>
      <c r="U396" s="1" t="s">
        <v>74</v>
      </c>
      <c r="V396" s="1" t="s">
        <v>4131</v>
      </c>
      <c r="W396" s="1" t="s">
        <v>74</v>
      </c>
      <c r="X396" s="1" t="s">
        <v>74</v>
      </c>
      <c r="Y396" s="1" t="s">
        <v>74</v>
      </c>
      <c r="Z396" s="1" t="s">
        <v>74</v>
      </c>
      <c r="AA396" s="1" t="s">
        <v>4132</v>
      </c>
      <c r="AB396" s="1" t="s">
        <v>4133</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4134</v>
      </c>
      <c r="AP396" s="1" t="s">
        <v>4135</v>
      </c>
      <c r="AQ396" s="1" t="s">
        <v>74</v>
      </c>
      <c r="AR396" s="1" t="s">
        <v>74</v>
      </c>
      <c r="AS396" s="1" t="s">
        <v>74</v>
      </c>
      <c r="AT396" s="1" t="s">
        <v>2492</v>
      </c>
      <c r="AU396" s="1">
        <v>2004.0</v>
      </c>
      <c r="AV396" s="1">
        <v>279.0</v>
      </c>
      <c r="AW396" s="1">
        <v>11.0</v>
      </c>
      <c r="AX396" s="1" t="s">
        <v>74</v>
      </c>
      <c r="AY396" s="1" t="s">
        <v>74</v>
      </c>
      <c r="AZ396" s="1" t="s">
        <v>74</v>
      </c>
      <c r="BA396" s="1" t="s">
        <v>74</v>
      </c>
      <c r="BB396" s="1">
        <v>10624.0</v>
      </c>
      <c r="BC396" s="1">
        <v>10633.0</v>
      </c>
      <c r="BD396" s="1" t="s">
        <v>74</v>
      </c>
      <c r="BE396" s="1" t="s">
        <v>4136</v>
      </c>
      <c r="BF396" s="2" t="str">
        <f>HYPERLINK("http://dx.doi.org/10.1074/jbc.M311563200","http://dx.doi.org/10.1074/jbc.M311563200")</f>
        <v>http://dx.doi.org/10.1074/jbc.M311563200</v>
      </c>
      <c r="BG396" s="1" t="s">
        <v>74</v>
      </c>
      <c r="BH396" s="1" t="s">
        <v>74</v>
      </c>
      <c r="BI396" s="1" t="s">
        <v>74</v>
      </c>
      <c r="BJ396" s="1" t="s">
        <v>74</v>
      </c>
      <c r="BK396" s="1" t="s">
        <v>74</v>
      </c>
      <c r="BL396" s="1" t="s">
        <v>74</v>
      </c>
      <c r="BM396" s="1" t="s">
        <v>74</v>
      </c>
      <c r="BN396" s="1">
        <v>1.4699117E7</v>
      </c>
      <c r="BO396" s="1" t="s">
        <v>74</v>
      </c>
      <c r="BP396" s="1" t="s">
        <v>74</v>
      </c>
      <c r="BQ396" s="1" t="s">
        <v>74</v>
      </c>
      <c r="BR396" s="1" t="s">
        <v>74</v>
      </c>
      <c r="BS396" s="1" t="s">
        <v>4137</v>
      </c>
      <c r="BT396" s="1" t="str">
        <f>HYPERLINK("https%3A%2F%2Fwww.webofscience.com%2Fwos%2Fwoscc%2Ffull-record%2FWOS:000220050400116","View Full Record in Web of Science")</f>
        <v>View Full Record in Web of Science</v>
      </c>
    </row>
    <row r="397" ht="12.75" customHeight="1">
      <c r="A397" s="1" t="s">
        <v>72</v>
      </c>
      <c r="B397" s="1" t="s">
        <v>4138</v>
      </c>
      <c r="C397" s="1" t="s">
        <v>74</v>
      </c>
      <c r="D397" s="1" t="s">
        <v>74</v>
      </c>
      <c r="E397" s="1" t="s">
        <v>74</v>
      </c>
      <c r="F397" s="1" t="s">
        <v>4138</v>
      </c>
      <c r="G397" s="1" t="s">
        <v>74</v>
      </c>
      <c r="H397" s="1" t="s">
        <v>74</v>
      </c>
      <c r="I397" s="1" t="s">
        <v>4139</v>
      </c>
      <c r="J397" s="1" t="s">
        <v>4140</v>
      </c>
      <c r="K397" s="1" t="s">
        <v>74</v>
      </c>
      <c r="L397" s="1" t="s">
        <v>74</v>
      </c>
      <c r="M397" s="1" t="s">
        <v>74</v>
      </c>
      <c r="N397" s="1" t="s">
        <v>74</v>
      </c>
      <c r="O397" s="1" t="s">
        <v>74</v>
      </c>
      <c r="P397" s="1" t="s">
        <v>74</v>
      </c>
      <c r="Q397" s="1" t="s">
        <v>74</v>
      </c>
      <c r="R397" s="1" t="s">
        <v>74</v>
      </c>
      <c r="S397" s="1" t="s">
        <v>74</v>
      </c>
      <c r="T397" s="1" t="s">
        <v>74</v>
      </c>
      <c r="U397" s="1" t="s">
        <v>74</v>
      </c>
      <c r="V397" s="1" t="s">
        <v>4141</v>
      </c>
      <c r="W397" s="1" t="s">
        <v>74</v>
      </c>
      <c r="X397" s="1" t="s">
        <v>74</v>
      </c>
      <c r="Y397" s="1" t="s">
        <v>74</v>
      </c>
      <c r="Z397" s="1" t="s">
        <v>74</v>
      </c>
      <c r="AA397" s="1" t="s">
        <v>4142</v>
      </c>
      <c r="AB397" s="1" t="s">
        <v>4143</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4144</v>
      </c>
      <c r="AP397" s="1" t="s">
        <v>4145</v>
      </c>
      <c r="AQ397" s="1" t="s">
        <v>74</v>
      </c>
      <c r="AR397" s="1" t="s">
        <v>74</v>
      </c>
      <c r="AS397" s="1" t="s">
        <v>74</v>
      </c>
      <c r="AT397" s="1" t="s">
        <v>1082</v>
      </c>
      <c r="AU397" s="1">
        <v>2002.0</v>
      </c>
      <c r="AV397" s="1">
        <v>32.0</v>
      </c>
      <c r="AW397" s="1">
        <v>11.0</v>
      </c>
      <c r="AX397" s="1" t="s">
        <v>74</v>
      </c>
      <c r="AY397" s="1" t="s">
        <v>74</v>
      </c>
      <c r="AZ397" s="1" t="s">
        <v>74</v>
      </c>
      <c r="BA397" s="1" t="s">
        <v>74</v>
      </c>
      <c r="BB397" s="1">
        <v>1211.0</v>
      </c>
      <c r="BC397" s="1">
        <v>1218.0</v>
      </c>
      <c r="BD397" s="1" t="s">
        <v>74</v>
      </c>
      <c r="BE397" s="1" t="s">
        <v>4146</v>
      </c>
      <c r="BF397" s="2" t="str">
        <f>HYPERLINK("http://dx.doi.org/10.1023/A:1021680420834","http://dx.doi.org/10.1023/A:1021680420834")</f>
        <v>http://dx.doi.org/10.1023/A:1021680420834</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4147</v>
      </c>
      <c r="BT397" s="1" t="str">
        <f>HYPERLINK("https%3A%2F%2Fwww.webofscience.com%2Fwos%2Fwoscc%2Ffull-record%2FWOS:000179881800004","View Full Record in Web of Science")</f>
        <v>View Full Record in Web of Science</v>
      </c>
    </row>
    <row r="398" ht="12.75" customHeight="1">
      <c r="A398" s="1" t="s">
        <v>72</v>
      </c>
      <c r="B398" s="1" t="s">
        <v>4148</v>
      </c>
      <c r="C398" s="1" t="s">
        <v>74</v>
      </c>
      <c r="D398" s="1" t="s">
        <v>74</v>
      </c>
      <c r="E398" s="1" t="s">
        <v>74</v>
      </c>
      <c r="F398" s="1" t="s">
        <v>4148</v>
      </c>
      <c r="G398" s="1" t="s">
        <v>74</v>
      </c>
      <c r="H398" s="1" t="s">
        <v>74</v>
      </c>
      <c r="I398" s="1" t="s">
        <v>4149</v>
      </c>
      <c r="J398" s="1" t="s">
        <v>4150</v>
      </c>
      <c r="K398" s="1" t="s">
        <v>74</v>
      </c>
      <c r="L398" s="1" t="s">
        <v>74</v>
      </c>
      <c r="M398" s="1" t="s">
        <v>74</v>
      </c>
      <c r="N398" s="1" t="s">
        <v>74</v>
      </c>
      <c r="O398" s="1" t="s">
        <v>74</v>
      </c>
      <c r="P398" s="1" t="s">
        <v>74</v>
      </c>
      <c r="Q398" s="1" t="s">
        <v>74</v>
      </c>
      <c r="R398" s="1" t="s">
        <v>74</v>
      </c>
      <c r="S398" s="1" t="s">
        <v>74</v>
      </c>
      <c r="T398" s="1" t="s">
        <v>74</v>
      </c>
      <c r="U398" s="1" t="s">
        <v>74</v>
      </c>
      <c r="V398" s="1" t="s">
        <v>4151</v>
      </c>
      <c r="W398" s="1" t="s">
        <v>74</v>
      </c>
      <c r="X398" s="1" t="s">
        <v>74</v>
      </c>
      <c r="Y398" s="1" t="s">
        <v>74</v>
      </c>
      <c r="Z398" s="1" t="s">
        <v>74</v>
      </c>
      <c r="AA398" s="1" t="s">
        <v>4152</v>
      </c>
      <c r="AB398" s="1" t="s">
        <v>4153</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4154</v>
      </c>
      <c r="AP398" s="1" t="s">
        <v>74</v>
      </c>
      <c r="AQ398" s="1" t="s">
        <v>74</v>
      </c>
      <c r="AR398" s="1" t="s">
        <v>74</v>
      </c>
      <c r="AS398" s="1" t="s">
        <v>74</v>
      </c>
      <c r="AT398" s="1" t="s">
        <v>4155</v>
      </c>
      <c r="AU398" s="1">
        <v>2002.0</v>
      </c>
      <c r="AV398" s="1">
        <v>41.0</v>
      </c>
      <c r="AW398" s="1">
        <v>42.0</v>
      </c>
      <c r="AX398" s="1" t="s">
        <v>74</v>
      </c>
      <c r="AY398" s="1" t="s">
        <v>74</v>
      </c>
      <c r="AZ398" s="1" t="s">
        <v>74</v>
      </c>
      <c r="BA398" s="1" t="s">
        <v>74</v>
      </c>
      <c r="BB398" s="1">
        <v>12763.0</v>
      </c>
      <c r="BC398" s="1">
        <v>12770.0</v>
      </c>
      <c r="BD398" s="1" t="s">
        <v>74</v>
      </c>
      <c r="BE398" s="1" t="s">
        <v>4156</v>
      </c>
      <c r="BF398" s="2" t="str">
        <f>HYPERLINK("http://dx.doi.org/10.1021/bi026241w","http://dx.doi.org/10.1021/bi026241w")</f>
        <v>http://dx.doi.org/10.1021/bi026241w</v>
      </c>
      <c r="BG398" s="1" t="s">
        <v>74</v>
      </c>
      <c r="BH398" s="1" t="s">
        <v>74</v>
      </c>
      <c r="BI398" s="1" t="s">
        <v>74</v>
      </c>
      <c r="BJ398" s="1" t="s">
        <v>74</v>
      </c>
      <c r="BK398" s="1" t="s">
        <v>74</v>
      </c>
      <c r="BL398" s="1" t="s">
        <v>74</v>
      </c>
      <c r="BM398" s="1" t="s">
        <v>74</v>
      </c>
      <c r="BN398" s="1">
        <v>1.2379119E7</v>
      </c>
      <c r="BO398" s="1" t="s">
        <v>74</v>
      </c>
      <c r="BP398" s="1" t="s">
        <v>74</v>
      </c>
      <c r="BQ398" s="1" t="s">
        <v>74</v>
      </c>
      <c r="BR398" s="1" t="s">
        <v>74</v>
      </c>
      <c r="BS398" s="1" t="s">
        <v>4157</v>
      </c>
      <c r="BT398" s="1" t="str">
        <f>HYPERLINK("https%3A%2F%2Fwww.webofscience.com%2Fwos%2Fwoscc%2Ffull-record%2FWOS:000178694000022","View Full Record in Web of Science")</f>
        <v>View Full Record in Web of Science</v>
      </c>
    </row>
    <row r="399" ht="12.75" customHeight="1">
      <c r="A399" s="1" t="s">
        <v>72</v>
      </c>
      <c r="B399" s="1" t="s">
        <v>4158</v>
      </c>
      <c r="C399" s="1" t="s">
        <v>74</v>
      </c>
      <c r="D399" s="1" t="s">
        <v>74</v>
      </c>
      <c r="E399" s="1" t="s">
        <v>74</v>
      </c>
      <c r="F399" s="1" t="s">
        <v>4158</v>
      </c>
      <c r="G399" s="1" t="s">
        <v>74</v>
      </c>
      <c r="H399" s="1" t="s">
        <v>74</v>
      </c>
      <c r="I399" s="1" t="s">
        <v>4159</v>
      </c>
      <c r="J399" s="1" t="s">
        <v>4160</v>
      </c>
      <c r="K399" s="1" t="s">
        <v>74</v>
      </c>
      <c r="L399" s="1" t="s">
        <v>74</v>
      </c>
      <c r="M399" s="1" t="s">
        <v>74</v>
      </c>
      <c r="N399" s="1" t="s">
        <v>74</v>
      </c>
      <c r="O399" s="1" t="s">
        <v>74</v>
      </c>
      <c r="P399" s="1" t="s">
        <v>74</v>
      </c>
      <c r="Q399" s="1" t="s">
        <v>74</v>
      </c>
      <c r="R399" s="1" t="s">
        <v>74</v>
      </c>
      <c r="S399" s="1" t="s">
        <v>74</v>
      </c>
      <c r="T399" s="1" t="s">
        <v>74</v>
      </c>
      <c r="U399" s="1" t="s">
        <v>74</v>
      </c>
      <c r="V399" s="1" t="s">
        <v>4161</v>
      </c>
      <c r="W399" s="1" t="s">
        <v>74</v>
      </c>
      <c r="X399" s="1" t="s">
        <v>74</v>
      </c>
      <c r="Y399" s="1" t="s">
        <v>74</v>
      </c>
      <c r="Z399" s="1" t="s">
        <v>74</v>
      </c>
      <c r="AA399" s="1" t="s">
        <v>74</v>
      </c>
      <c r="AB399" s="1" t="s">
        <v>74</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4162</v>
      </c>
      <c r="AP399" s="1" t="s">
        <v>74</v>
      </c>
      <c r="AQ399" s="1" t="s">
        <v>74</v>
      </c>
      <c r="AR399" s="1" t="s">
        <v>74</v>
      </c>
      <c r="AS399" s="1" t="s">
        <v>74</v>
      </c>
      <c r="AT399" s="1" t="s">
        <v>74</v>
      </c>
      <c r="AU399" s="1">
        <v>2001.0</v>
      </c>
      <c r="AV399" s="1">
        <v>19.0</v>
      </c>
      <c r="AW399" s="1">
        <v>9.0</v>
      </c>
      <c r="AX399" s="1" t="s">
        <v>74</v>
      </c>
      <c r="AY399" s="1" t="s">
        <v>74</v>
      </c>
      <c r="AZ399" s="1" t="s">
        <v>74</v>
      </c>
      <c r="BA399" s="1" t="s">
        <v>74</v>
      </c>
      <c r="BB399" s="1">
        <v>2131.0</v>
      </c>
      <c r="BC399" s="1">
        <v>2150.0</v>
      </c>
      <c r="BD399" s="1" t="s">
        <v>74</v>
      </c>
      <c r="BE399" s="1" t="s">
        <v>4163</v>
      </c>
      <c r="BF399" s="2" t="str">
        <f>HYPERLINK("http://dx.doi.org/10.1081/DRT-100107491","http://dx.doi.org/10.1081/DRT-100107491")</f>
        <v>http://dx.doi.org/10.1081/DRT-100107491</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4164</v>
      </c>
      <c r="BT399" s="1" t="str">
        <f>HYPERLINK("https%3A%2F%2Fwww.webofscience.com%2Fwos%2Fwoscc%2Ffull-record%2FWOS:000172553300004","View Full Record in Web of Science")</f>
        <v>View Full Record in Web of Science</v>
      </c>
    </row>
    <row r="400" ht="12.75" customHeight="1">
      <c r="A400" s="1" t="s">
        <v>72</v>
      </c>
      <c r="B400" s="1" t="s">
        <v>4165</v>
      </c>
      <c r="C400" s="1" t="s">
        <v>74</v>
      </c>
      <c r="D400" s="1" t="s">
        <v>74</v>
      </c>
      <c r="E400" s="1" t="s">
        <v>74</v>
      </c>
      <c r="F400" s="1" t="s">
        <v>4165</v>
      </c>
      <c r="G400" s="1" t="s">
        <v>74</v>
      </c>
      <c r="H400" s="1" t="s">
        <v>74</v>
      </c>
      <c r="I400" s="1" t="s">
        <v>4166</v>
      </c>
      <c r="J400" s="1" t="s">
        <v>2579</v>
      </c>
      <c r="K400" s="1" t="s">
        <v>74</v>
      </c>
      <c r="L400" s="1" t="s">
        <v>74</v>
      </c>
      <c r="M400" s="1" t="s">
        <v>74</v>
      </c>
      <c r="N400" s="1" t="s">
        <v>74</v>
      </c>
      <c r="O400" s="1" t="s">
        <v>74</v>
      </c>
      <c r="P400" s="1" t="s">
        <v>74</v>
      </c>
      <c r="Q400" s="1" t="s">
        <v>74</v>
      </c>
      <c r="R400" s="1" t="s">
        <v>74</v>
      </c>
      <c r="S400" s="1" t="s">
        <v>74</v>
      </c>
      <c r="T400" s="1" t="s">
        <v>74</v>
      </c>
      <c r="U400" s="1" t="s">
        <v>74</v>
      </c>
      <c r="V400" s="1" t="s">
        <v>4167</v>
      </c>
      <c r="W400" s="1" t="s">
        <v>74</v>
      </c>
      <c r="X400" s="1" t="s">
        <v>74</v>
      </c>
      <c r="Y400" s="1" t="s">
        <v>74</v>
      </c>
      <c r="Z400" s="1" t="s">
        <v>74</v>
      </c>
      <c r="AA400" s="1" t="s">
        <v>4168</v>
      </c>
      <c r="AB400" s="1" t="s">
        <v>4169</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2583</v>
      </c>
      <c r="AP400" s="1" t="s">
        <v>2584</v>
      </c>
      <c r="AQ400" s="1" t="s">
        <v>74</v>
      </c>
      <c r="AR400" s="1" t="s">
        <v>74</v>
      </c>
      <c r="AS400" s="1" t="s">
        <v>74</v>
      </c>
      <c r="AT400" s="1" t="s">
        <v>94</v>
      </c>
      <c r="AU400" s="1">
        <v>1997.0</v>
      </c>
      <c r="AV400" s="1">
        <v>55.0</v>
      </c>
      <c r="AW400" s="1">
        <v>5.0</v>
      </c>
      <c r="AX400" s="1" t="s">
        <v>74</v>
      </c>
      <c r="AY400" s="1" t="s">
        <v>74</v>
      </c>
      <c r="AZ400" s="1" t="s">
        <v>74</v>
      </c>
      <c r="BA400" s="1" t="s">
        <v>74</v>
      </c>
      <c r="BB400" s="1">
        <v>3802.0</v>
      </c>
      <c r="BC400" s="1">
        <v>3812.0</v>
      </c>
      <c r="BD400" s="1" t="s">
        <v>74</v>
      </c>
      <c r="BE400" s="1" t="s">
        <v>4170</v>
      </c>
      <c r="BF400" s="2" t="str">
        <f>HYPERLINK("http://dx.doi.org/10.1103/PhysRevA.55.3802","http://dx.doi.org/10.1103/PhysRevA.55.3802")</f>
        <v>http://dx.doi.org/10.1103/PhysRevA.55.3802</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4171</v>
      </c>
      <c r="BT400" s="1" t="str">
        <f>HYPERLINK("https%3A%2F%2Fwww.webofscience.com%2Fwos%2Fwoscc%2Ffull-record%2FWOS:A1997WX95200069","View Full Record in Web of Science")</f>
        <v>View Full Record in Web of Science</v>
      </c>
    </row>
    <row r="401" ht="12.75" customHeight="1">
      <c r="A401" s="1" t="s">
        <v>72</v>
      </c>
      <c r="B401" s="1" t="s">
        <v>4172</v>
      </c>
      <c r="C401" s="1" t="s">
        <v>74</v>
      </c>
      <c r="D401" s="1" t="s">
        <v>74</v>
      </c>
      <c r="E401" s="1" t="s">
        <v>74</v>
      </c>
      <c r="F401" s="1" t="s">
        <v>4173</v>
      </c>
      <c r="G401" s="1" t="s">
        <v>74</v>
      </c>
      <c r="H401" s="1" t="s">
        <v>74</v>
      </c>
      <c r="I401" s="1" t="s">
        <v>4174</v>
      </c>
      <c r="J401" s="1" t="s">
        <v>4175</v>
      </c>
      <c r="K401" s="1" t="s">
        <v>74</v>
      </c>
      <c r="L401" s="1" t="s">
        <v>74</v>
      </c>
      <c r="M401" s="1" t="s">
        <v>74</v>
      </c>
      <c r="N401" s="1" t="s">
        <v>74</v>
      </c>
      <c r="O401" s="1" t="s">
        <v>74</v>
      </c>
      <c r="P401" s="1" t="s">
        <v>74</v>
      </c>
      <c r="Q401" s="1" t="s">
        <v>74</v>
      </c>
      <c r="R401" s="1" t="s">
        <v>74</v>
      </c>
      <c r="S401" s="1" t="s">
        <v>74</v>
      </c>
      <c r="T401" s="1" t="s">
        <v>74</v>
      </c>
      <c r="U401" s="1" t="s">
        <v>74</v>
      </c>
      <c r="V401" s="1" t="s">
        <v>4176</v>
      </c>
      <c r="W401" s="1" t="s">
        <v>74</v>
      </c>
      <c r="X401" s="1" t="s">
        <v>74</v>
      </c>
      <c r="Y401" s="1" t="s">
        <v>74</v>
      </c>
      <c r="Z401" s="1" t="s">
        <v>74</v>
      </c>
      <c r="AA401" s="1" t="s">
        <v>4177</v>
      </c>
      <c r="AB401" s="1" t="s">
        <v>4178</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74</v>
      </c>
      <c r="AP401" s="1" t="s">
        <v>4179</v>
      </c>
      <c r="AQ401" s="1" t="s">
        <v>74</v>
      </c>
      <c r="AR401" s="1" t="s">
        <v>74</v>
      </c>
      <c r="AS401" s="1" t="s">
        <v>74</v>
      </c>
      <c r="AT401" s="1" t="s">
        <v>4180</v>
      </c>
      <c r="AU401" s="1">
        <v>2025.0</v>
      </c>
      <c r="AV401" s="1" t="s">
        <v>74</v>
      </c>
      <c r="AW401" s="1" t="s">
        <v>74</v>
      </c>
      <c r="AX401" s="1" t="s">
        <v>74</v>
      </c>
      <c r="AY401" s="1" t="s">
        <v>74</v>
      </c>
      <c r="AZ401" s="1" t="s">
        <v>74</v>
      </c>
      <c r="BA401" s="1" t="s">
        <v>74</v>
      </c>
      <c r="BB401" s="1" t="s">
        <v>74</v>
      </c>
      <c r="BC401" s="1" t="s">
        <v>74</v>
      </c>
      <c r="BD401" s="1" t="s">
        <v>74</v>
      </c>
      <c r="BE401" s="1" t="s">
        <v>4181</v>
      </c>
      <c r="BF401" s="2" t="str">
        <f>HYPERLINK("http://dx.doi.org/10.1002/anie.202501407","http://dx.doi.org/10.1002/anie.202501407")</f>
        <v>http://dx.doi.org/10.1002/anie.202501407</v>
      </c>
      <c r="BG401" s="1" t="s">
        <v>74</v>
      </c>
      <c r="BH401" s="1" t="s">
        <v>1095</v>
      </c>
      <c r="BI401" s="1" t="s">
        <v>74</v>
      </c>
      <c r="BJ401" s="1" t="s">
        <v>74</v>
      </c>
      <c r="BK401" s="1" t="s">
        <v>74</v>
      </c>
      <c r="BL401" s="1" t="s">
        <v>74</v>
      </c>
      <c r="BM401" s="1" t="s">
        <v>74</v>
      </c>
      <c r="BN401" s="1">
        <v>4.0013885E7</v>
      </c>
      <c r="BO401" s="1" t="s">
        <v>74</v>
      </c>
      <c r="BP401" s="1" t="s">
        <v>74</v>
      </c>
      <c r="BQ401" s="1" t="s">
        <v>74</v>
      </c>
      <c r="BR401" s="1" t="s">
        <v>74</v>
      </c>
      <c r="BS401" s="1" t="s">
        <v>4182</v>
      </c>
      <c r="BT401" s="1" t="str">
        <f>HYPERLINK("https%3A%2F%2Fwww.webofscience.com%2Fwos%2Fwoscc%2Ffull-record%2FWOS:001442456300001","View Full Record in Web of Science")</f>
        <v>View Full Record in Web of Science</v>
      </c>
    </row>
    <row r="402" ht="12.75" customHeight="1">
      <c r="A402" s="1" t="s">
        <v>72</v>
      </c>
      <c r="B402" s="1" t="s">
        <v>4183</v>
      </c>
      <c r="C402" s="1" t="s">
        <v>74</v>
      </c>
      <c r="D402" s="1" t="s">
        <v>74</v>
      </c>
      <c r="E402" s="1" t="s">
        <v>74</v>
      </c>
      <c r="F402" s="1" t="s">
        <v>4184</v>
      </c>
      <c r="G402" s="1" t="s">
        <v>74</v>
      </c>
      <c r="H402" s="1" t="s">
        <v>74</v>
      </c>
      <c r="I402" s="1" t="s">
        <v>4185</v>
      </c>
      <c r="J402" s="1" t="s">
        <v>4186</v>
      </c>
      <c r="K402" s="1" t="s">
        <v>74</v>
      </c>
      <c r="L402" s="1" t="s">
        <v>74</v>
      </c>
      <c r="M402" s="1" t="s">
        <v>74</v>
      </c>
      <c r="N402" s="1" t="s">
        <v>74</v>
      </c>
      <c r="O402" s="1" t="s">
        <v>74</v>
      </c>
      <c r="P402" s="1" t="s">
        <v>74</v>
      </c>
      <c r="Q402" s="1" t="s">
        <v>74</v>
      </c>
      <c r="R402" s="1" t="s">
        <v>74</v>
      </c>
      <c r="S402" s="1" t="s">
        <v>74</v>
      </c>
      <c r="T402" s="1" t="s">
        <v>74</v>
      </c>
      <c r="U402" s="1" t="s">
        <v>74</v>
      </c>
      <c r="V402" s="1" t="s">
        <v>4187</v>
      </c>
      <c r="W402" s="1" t="s">
        <v>74</v>
      </c>
      <c r="X402" s="1" t="s">
        <v>74</v>
      </c>
      <c r="Y402" s="1" t="s">
        <v>74</v>
      </c>
      <c r="Z402" s="1" t="s">
        <v>74</v>
      </c>
      <c r="AA402" s="1" t="s">
        <v>4188</v>
      </c>
      <c r="AB402" s="1" t="s">
        <v>4189</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4190</v>
      </c>
      <c r="AP402" s="1" t="s">
        <v>4191</v>
      </c>
      <c r="AQ402" s="1" t="s">
        <v>74</v>
      </c>
      <c r="AR402" s="1" t="s">
        <v>74</v>
      </c>
      <c r="AS402" s="1" t="s">
        <v>74</v>
      </c>
      <c r="AT402" s="1" t="s">
        <v>822</v>
      </c>
      <c r="AU402" s="1">
        <v>2024.0</v>
      </c>
      <c r="AV402" s="1">
        <v>1870.0</v>
      </c>
      <c r="AW402" s="1">
        <v>1.0</v>
      </c>
      <c r="AX402" s="1" t="s">
        <v>74</v>
      </c>
      <c r="AY402" s="1" t="s">
        <v>74</v>
      </c>
      <c r="AZ402" s="1" t="s">
        <v>74</v>
      </c>
      <c r="BA402" s="1" t="s">
        <v>74</v>
      </c>
      <c r="BB402" s="1" t="s">
        <v>74</v>
      </c>
      <c r="BC402" s="1" t="s">
        <v>74</v>
      </c>
      <c r="BD402" s="1">
        <v>166909.0</v>
      </c>
      <c r="BE402" s="1" t="s">
        <v>4192</v>
      </c>
      <c r="BF402" s="2" t="str">
        <f>HYPERLINK("http://dx.doi.org/10.1016/j.bbadis.2023.166909","http://dx.doi.org/10.1016/j.bbadis.2023.166909")</f>
        <v>http://dx.doi.org/10.1016/j.bbadis.2023.166909</v>
      </c>
      <c r="BG402" s="1" t="s">
        <v>74</v>
      </c>
      <c r="BH402" s="1" t="s">
        <v>1135</v>
      </c>
      <c r="BI402" s="1" t="s">
        <v>74</v>
      </c>
      <c r="BJ402" s="1" t="s">
        <v>74</v>
      </c>
      <c r="BK402" s="1" t="s">
        <v>74</v>
      </c>
      <c r="BL402" s="1" t="s">
        <v>74</v>
      </c>
      <c r="BM402" s="1" t="s">
        <v>74</v>
      </c>
      <c r="BN402" s="1">
        <v>3.7805092E7</v>
      </c>
      <c r="BO402" s="1" t="s">
        <v>74</v>
      </c>
      <c r="BP402" s="1" t="s">
        <v>74</v>
      </c>
      <c r="BQ402" s="1" t="s">
        <v>74</v>
      </c>
      <c r="BR402" s="1" t="s">
        <v>74</v>
      </c>
      <c r="BS402" s="1" t="s">
        <v>4193</v>
      </c>
      <c r="BT402" s="1" t="str">
        <f>HYPERLINK("https%3A%2F%2Fwww.webofscience.com%2Fwos%2Fwoscc%2Ffull-record%2FWOS:001091731200001","View Full Record in Web of Science")</f>
        <v>View Full Record in Web of Science</v>
      </c>
    </row>
    <row r="403" ht="12.75" customHeight="1">
      <c r="A403" s="1" t="s">
        <v>72</v>
      </c>
      <c r="B403" s="1" t="s">
        <v>4194</v>
      </c>
      <c r="C403" s="1" t="s">
        <v>74</v>
      </c>
      <c r="D403" s="1" t="s">
        <v>74</v>
      </c>
      <c r="E403" s="1" t="s">
        <v>74</v>
      </c>
      <c r="F403" s="1" t="s">
        <v>4195</v>
      </c>
      <c r="G403" s="1" t="s">
        <v>74</v>
      </c>
      <c r="H403" s="1" t="s">
        <v>74</v>
      </c>
      <c r="I403" s="1" t="s">
        <v>4196</v>
      </c>
      <c r="J403" s="1" t="s">
        <v>4197</v>
      </c>
      <c r="K403" s="1" t="s">
        <v>74</v>
      </c>
      <c r="L403" s="1" t="s">
        <v>74</v>
      </c>
      <c r="M403" s="1" t="s">
        <v>74</v>
      </c>
      <c r="N403" s="1" t="s">
        <v>74</v>
      </c>
      <c r="O403" s="1" t="s">
        <v>74</v>
      </c>
      <c r="P403" s="1" t="s">
        <v>74</v>
      </c>
      <c r="Q403" s="1" t="s">
        <v>74</v>
      </c>
      <c r="R403" s="1" t="s">
        <v>74</v>
      </c>
      <c r="S403" s="1" t="s">
        <v>74</v>
      </c>
      <c r="T403" s="1" t="s">
        <v>74</v>
      </c>
      <c r="U403" s="1" t="s">
        <v>74</v>
      </c>
      <c r="V403" s="1" t="s">
        <v>4198</v>
      </c>
      <c r="W403" s="1" t="s">
        <v>74</v>
      </c>
      <c r="X403" s="1" t="s">
        <v>74</v>
      </c>
      <c r="Y403" s="1" t="s">
        <v>74</v>
      </c>
      <c r="Z403" s="1" t="s">
        <v>74</v>
      </c>
      <c r="AA403" s="1" t="s">
        <v>74</v>
      </c>
      <c r="AB403" s="1" t="s">
        <v>74</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4199</v>
      </c>
      <c r="AP403" s="1" t="s">
        <v>4200</v>
      </c>
      <c r="AQ403" s="1" t="s">
        <v>74</v>
      </c>
      <c r="AR403" s="1" t="s">
        <v>74</v>
      </c>
      <c r="AS403" s="1" t="s">
        <v>74</v>
      </c>
      <c r="AT403" s="1" t="s">
        <v>2902</v>
      </c>
      <c r="AU403" s="1">
        <v>2023.0</v>
      </c>
      <c r="AV403" s="1">
        <v>145.0</v>
      </c>
      <c r="AW403" s="1">
        <v>2.0</v>
      </c>
      <c r="AX403" s="1" t="s">
        <v>74</v>
      </c>
      <c r="AY403" s="1" t="s">
        <v>74</v>
      </c>
      <c r="AZ403" s="1" t="s">
        <v>74</v>
      </c>
      <c r="BA403" s="1" t="s">
        <v>74</v>
      </c>
      <c r="BB403" s="1" t="s">
        <v>74</v>
      </c>
      <c r="BC403" s="1" t="s">
        <v>74</v>
      </c>
      <c r="BD403" s="1">
        <v>21204.0</v>
      </c>
      <c r="BE403" s="1" t="s">
        <v>4201</v>
      </c>
      <c r="BF403" s="2" t="str">
        <f>HYPERLINK("http://dx.doi.org/10.1115/1.4056160","http://dx.doi.org/10.1115/1.4056160")</f>
        <v>http://dx.doi.org/10.1115/1.4056160</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4202</v>
      </c>
      <c r="BT403" s="1" t="str">
        <f>HYPERLINK("https%3A%2F%2Fwww.webofscience.com%2Fwos%2Fwoscc%2Ffull-record%2FWOS:000898568000007","View Full Record in Web of Science")</f>
        <v>View Full Record in Web of Science</v>
      </c>
    </row>
    <row r="404" ht="12.75" customHeight="1">
      <c r="A404" s="1" t="s">
        <v>72</v>
      </c>
      <c r="B404" s="1" t="s">
        <v>4203</v>
      </c>
      <c r="C404" s="1" t="s">
        <v>74</v>
      </c>
      <c r="D404" s="1" t="s">
        <v>74</v>
      </c>
      <c r="E404" s="1" t="s">
        <v>74</v>
      </c>
      <c r="F404" s="1" t="s">
        <v>4204</v>
      </c>
      <c r="G404" s="1" t="s">
        <v>74</v>
      </c>
      <c r="H404" s="1" t="s">
        <v>74</v>
      </c>
      <c r="I404" s="1" t="s">
        <v>4205</v>
      </c>
      <c r="J404" s="1" t="s">
        <v>4206</v>
      </c>
      <c r="K404" s="1" t="s">
        <v>74</v>
      </c>
      <c r="L404" s="1" t="s">
        <v>74</v>
      </c>
      <c r="M404" s="1" t="s">
        <v>74</v>
      </c>
      <c r="N404" s="1" t="s">
        <v>74</v>
      </c>
      <c r="O404" s="1" t="s">
        <v>74</v>
      </c>
      <c r="P404" s="1" t="s">
        <v>74</v>
      </c>
      <c r="Q404" s="1" t="s">
        <v>74</v>
      </c>
      <c r="R404" s="1" t="s">
        <v>74</v>
      </c>
      <c r="S404" s="1" t="s">
        <v>74</v>
      </c>
      <c r="T404" s="1" t="s">
        <v>74</v>
      </c>
      <c r="U404" s="1" t="s">
        <v>74</v>
      </c>
      <c r="V404" s="1" t="s">
        <v>4207</v>
      </c>
      <c r="W404" s="1" t="s">
        <v>74</v>
      </c>
      <c r="X404" s="1" t="s">
        <v>74</v>
      </c>
      <c r="Y404" s="1" t="s">
        <v>74</v>
      </c>
      <c r="Z404" s="1" t="s">
        <v>74</v>
      </c>
      <c r="AA404" s="1" t="s">
        <v>4208</v>
      </c>
      <c r="AB404" s="1" t="s">
        <v>4209</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4210</v>
      </c>
      <c r="AP404" s="1" t="s">
        <v>4211</v>
      </c>
      <c r="AQ404" s="1" t="s">
        <v>74</v>
      </c>
      <c r="AR404" s="1" t="s">
        <v>74</v>
      </c>
      <c r="AS404" s="1" t="s">
        <v>74</v>
      </c>
      <c r="AT404" s="1" t="s">
        <v>4212</v>
      </c>
      <c r="AU404" s="1">
        <v>2025.0</v>
      </c>
      <c r="AV404" s="1">
        <v>31.0</v>
      </c>
      <c r="AW404" s="1">
        <v>1.0</v>
      </c>
      <c r="AX404" s="1" t="s">
        <v>74</v>
      </c>
      <c r="AY404" s="1" t="s">
        <v>74</v>
      </c>
      <c r="AZ404" s="1" t="s">
        <v>74</v>
      </c>
      <c r="BA404" s="1" t="s">
        <v>74</v>
      </c>
      <c r="BB404" s="1">
        <v>154.0</v>
      </c>
      <c r="BC404" s="1">
        <v>165.0</v>
      </c>
      <c r="BD404" s="1" t="s">
        <v>74</v>
      </c>
      <c r="BE404" s="1" t="s">
        <v>4213</v>
      </c>
      <c r="BF404" s="2" t="str">
        <f>HYPERLINK("http://dx.doi.org/10.1080/13572334.2022.2164825","http://dx.doi.org/10.1080/13572334.2022.2164825")</f>
        <v>http://dx.doi.org/10.1080/13572334.2022.2164825</v>
      </c>
      <c r="BG404" s="1" t="s">
        <v>74</v>
      </c>
      <c r="BH404" s="1" t="s">
        <v>4214</v>
      </c>
      <c r="BI404" s="1" t="s">
        <v>74</v>
      </c>
      <c r="BJ404" s="1" t="s">
        <v>74</v>
      </c>
      <c r="BK404" s="1" t="s">
        <v>74</v>
      </c>
      <c r="BL404" s="1" t="s">
        <v>74</v>
      </c>
      <c r="BM404" s="1" t="s">
        <v>74</v>
      </c>
      <c r="BN404" s="1" t="s">
        <v>74</v>
      </c>
      <c r="BO404" s="1" t="s">
        <v>74</v>
      </c>
      <c r="BP404" s="1" t="s">
        <v>74</v>
      </c>
      <c r="BQ404" s="1" t="s">
        <v>74</v>
      </c>
      <c r="BR404" s="1" t="s">
        <v>74</v>
      </c>
      <c r="BS404" s="1" t="s">
        <v>4215</v>
      </c>
      <c r="BT404" s="1" t="str">
        <f>HYPERLINK("https%3A%2F%2Fwww.webofscience.com%2Fwos%2Fwoscc%2Ffull-record%2FWOS:000913588300001","View Full Record in Web of Science")</f>
        <v>View Full Record in Web of Science</v>
      </c>
    </row>
    <row r="405" ht="12.75" customHeight="1">
      <c r="A405" s="1" t="s">
        <v>72</v>
      </c>
      <c r="B405" s="1" t="s">
        <v>4216</v>
      </c>
      <c r="C405" s="1" t="s">
        <v>74</v>
      </c>
      <c r="D405" s="1" t="s">
        <v>74</v>
      </c>
      <c r="E405" s="1" t="s">
        <v>74</v>
      </c>
      <c r="F405" s="1" t="s">
        <v>4217</v>
      </c>
      <c r="G405" s="1" t="s">
        <v>74</v>
      </c>
      <c r="H405" s="1" t="s">
        <v>74</v>
      </c>
      <c r="I405" s="1" t="s">
        <v>4218</v>
      </c>
      <c r="J405" s="1" t="s">
        <v>2477</v>
      </c>
      <c r="K405" s="1" t="s">
        <v>74</v>
      </c>
      <c r="L405" s="1" t="s">
        <v>74</v>
      </c>
      <c r="M405" s="1" t="s">
        <v>74</v>
      </c>
      <c r="N405" s="1" t="s">
        <v>74</v>
      </c>
      <c r="O405" s="1" t="s">
        <v>74</v>
      </c>
      <c r="P405" s="1" t="s">
        <v>74</v>
      </c>
      <c r="Q405" s="1" t="s">
        <v>74</v>
      </c>
      <c r="R405" s="1" t="s">
        <v>74</v>
      </c>
      <c r="S405" s="1" t="s">
        <v>74</v>
      </c>
      <c r="T405" s="1" t="s">
        <v>74</v>
      </c>
      <c r="U405" s="1" t="s">
        <v>74</v>
      </c>
      <c r="V405" s="1" t="s">
        <v>4219</v>
      </c>
      <c r="W405" s="1" t="s">
        <v>74</v>
      </c>
      <c r="X405" s="1" t="s">
        <v>74</v>
      </c>
      <c r="Y405" s="1" t="s">
        <v>74</v>
      </c>
      <c r="Z405" s="1" t="s">
        <v>74</v>
      </c>
      <c r="AA405" s="1" t="s">
        <v>4220</v>
      </c>
      <c r="AB405" s="1" t="s">
        <v>4221</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74</v>
      </c>
      <c r="AP405" s="1" t="s">
        <v>2481</v>
      </c>
      <c r="AQ405" s="1" t="s">
        <v>74</v>
      </c>
      <c r="AR405" s="1" t="s">
        <v>74</v>
      </c>
      <c r="AS405" s="1" t="s">
        <v>74</v>
      </c>
      <c r="AT405" s="1" t="s">
        <v>151</v>
      </c>
      <c r="AU405" s="1">
        <v>2022.0</v>
      </c>
      <c r="AV405" s="1">
        <v>11.0</v>
      </c>
      <c r="AW405" s="1">
        <v>10.0</v>
      </c>
      <c r="AX405" s="1" t="s">
        <v>74</v>
      </c>
      <c r="AY405" s="1" t="s">
        <v>74</v>
      </c>
      <c r="AZ405" s="1" t="s">
        <v>74</v>
      </c>
      <c r="BA405" s="1" t="s">
        <v>74</v>
      </c>
      <c r="BB405" s="1" t="s">
        <v>74</v>
      </c>
      <c r="BC405" s="1" t="s">
        <v>74</v>
      </c>
      <c r="BD405" s="1">
        <v>1928.0</v>
      </c>
      <c r="BE405" s="1" t="s">
        <v>4222</v>
      </c>
      <c r="BF405" s="2" t="str">
        <f>HYPERLINK("http://dx.doi.org/10.3390/antiox11101928","http://dx.doi.org/10.3390/antiox11101928")</f>
        <v>http://dx.doi.org/10.3390/antiox11101928</v>
      </c>
      <c r="BG405" s="1" t="s">
        <v>74</v>
      </c>
      <c r="BH405" s="1" t="s">
        <v>74</v>
      </c>
      <c r="BI405" s="1" t="s">
        <v>74</v>
      </c>
      <c r="BJ405" s="1" t="s">
        <v>74</v>
      </c>
      <c r="BK405" s="1" t="s">
        <v>74</v>
      </c>
      <c r="BL405" s="1" t="s">
        <v>74</v>
      </c>
      <c r="BM405" s="1" t="s">
        <v>74</v>
      </c>
      <c r="BN405" s="1">
        <v>3.6290649E7</v>
      </c>
      <c r="BO405" s="1" t="s">
        <v>74</v>
      </c>
      <c r="BP405" s="1" t="s">
        <v>74</v>
      </c>
      <c r="BQ405" s="1" t="s">
        <v>74</v>
      </c>
      <c r="BR405" s="1" t="s">
        <v>74</v>
      </c>
      <c r="BS405" s="1" t="s">
        <v>4223</v>
      </c>
      <c r="BT405" s="1" t="str">
        <f>HYPERLINK("https%3A%2F%2Fwww.webofscience.com%2Fwos%2Fwoscc%2Ffull-record%2FWOS:000872038400001","View Full Record in Web of Science")</f>
        <v>View Full Record in Web of Science</v>
      </c>
    </row>
    <row r="406" ht="12.75" customHeight="1">
      <c r="A406" s="1" t="s">
        <v>72</v>
      </c>
      <c r="B406" s="1" t="s">
        <v>4224</v>
      </c>
      <c r="C406" s="1" t="s">
        <v>74</v>
      </c>
      <c r="D406" s="1" t="s">
        <v>74</v>
      </c>
      <c r="E406" s="1" t="s">
        <v>74</v>
      </c>
      <c r="F406" s="1" t="s">
        <v>4225</v>
      </c>
      <c r="G406" s="1" t="s">
        <v>74</v>
      </c>
      <c r="H406" s="1" t="s">
        <v>74</v>
      </c>
      <c r="I406" s="1" t="s">
        <v>4226</v>
      </c>
      <c r="J406" s="1" t="s">
        <v>4227</v>
      </c>
      <c r="K406" s="1" t="s">
        <v>74</v>
      </c>
      <c r="L406" s="1" t="s">
        <v>74</v>
      </c>
      <c r="M406" s="1" t="s">
        <v>74</v>
      </c>
      <c r="N406" s="1" t="s">
        <v>74</v>
      </c>
      <c r="O406" s="1" t="s">
        <v>74</v>
      </c>
      <c r="P406" s="1" t="s">
        <v>74</v>
      </c>
      <c r="Q406" s="1" t="s">
        <v>74</v>
      </c>
      <c r="R406" s="1" t="s">
        <v>74</v>
      </c>
      <c r="S406" s="1" t="s">
        <v>74</v>
      </c>
      <c r="T406" s="1" t="s">
        <v>74</v>
      </c>
      <c r="U406" s="1" t="s">
        <v>74</v>
      </c>
      <c r="V406" s="1" t="s">
        <v>4228</v>
      </c>
      <c r="W406" s="1" t="s">
        <v>74</v>
      </c>
      <c r="X406" s="1" t="s">
        <v>74</v>
      </c>
      <c r="Y406" s="1" t="s">
        <v>74</v>
      </c>
      <c r="Z406" s="1" t="s">
        <v>74</v>
      </c>
      <c r="AA406" s="1" t="s">
        <v>4229</v>
      </c>
      <c r="AB406" s="1" t="s">
        <v>4230</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4231</v>
      </c>
      <c r="AP406" s="1" t="s">
        <v>4232</v>
      </c>
      <c r="AQ406" s="1" t="s">
        <v>74</v>
      </c>
      <c r="AR406" s="1" t="s">
        <v>74</v>
      </c>
      <c r="AS406" s="1" t="s">
        <v>74</v>
      </c>
      <c r="AT406" s="1" t="s">
        <v>4233</v>
      </c>
      <c r="AU406" s="1">
        <v>2018.0</v>
      </c>
      <c r="AV406" s="1">
        <v>9.0</v>
      </c>
      <c r="AW406" s="1">
        <v>1.0</v>
      </c>
      <c r="AX406" s="1" t="s">
        <v>74</v>
      </c>
      <c r="AY406" s="1" t="s">
        <v>74</v>
      </c>
      <c r="AZ406" s="1" t="s">
        <v>74</v>
      </c>
      <c r="BA406" s="1" t="s">
        <v>74</v>
      </c>
      <c r="BB406" s="1">
        <v>199.0</v>
      </c>
      <c r="BC406" s="1">
        <v>208.0</v>
      </c>
      <c r="BD406" s="1" t="s">
        <v>74</v>
      </c>
      <c r="BE406" s="1" t="s">
        <v>4234</v>
      </c>
      <c r="BF406" s="2" t="str">
        <f>HYPERLINK("http://dx.doi.org/10.1039/c7sc03463f","http://dx.doi.org/10.1039/c7sc03463f")</f>
        <v>http://dx.doi.org/10.1039/c7sc03463f</v>
      </c>
      <c r="BG406" s="1" t="s">
        <v>74</v>
      </c>
      <c r="BH406" s="1" t="s">
        <v>74</v>
      </c>
      <c r="BI406" s="1" t="s">
        <v>74</v>
      </c>
      <c r="BJ406" s="1" t="s">
        <v>74</v>
      </c>
      <c r="BK406" s="1" t="s">
        <v>74</v>
      </c>
      <c r="BL406" s="1" t="s">
        <v>74</v>
      </c>
      <c r="BM406" s="1" t="s">
        <v>74</v>
      </c>
      <c r="BN406" s="1">
        <v>2.9629088E7</v>
      </c>
      <c r="BO406" s="1" t="s">
        <v>74</v>
      </c>
      <c r="BP406" s="1" t="s">
        <v>74</v>
      </c>
      <c r="BQ406" s="1" t="s">
        <v>74</v>
      </c>
      <c r="BR406" s="1" t="s">
        <v>74</v>
      </c>
      <c r="BS406" s="1" t="s">
        <v>4235</v>
      </c>
      <c r="BT406" s="1" t="str">
        <f>HYPERLINK("https%3A%2F%2Fwww.webofscience.com%2Fwos%2Fwoscc%2Ffull-record%2FWOS:000418376400022","View Full Record in Web of Science")</f>
        <v>View Full Record in Web of Science</v>
      </c>
    </row>
    <row r="407" ht="12.75" customHeight="1">
      <c r="A407" s="1" t="s">
        <v>72</v>
      </c>
      <c r="B407" s="1" t="s">
        <v>4236</v>
      </c>
      <c r="C407" s="1" t="s">
        <v>74</v>
      </c>
      <c r="D407" s="1" t="s">
        <v>74</v>
      </c>
      <c r="E407" s="1" t="s">
        <v>74</v>
      </c>
      <c r="F407" s="1" t="s">
        <v>4237</v>
      </c>
      <c r="G407" s="1" t="s">
        <v>74</v>
      </c>
      <c r="H407" s="1" t="s">
        <v>74</v>
      </c>
      <c r="I407" s="1" t="s">
        <v>4238</v>
      </c>
      <c r="J407" s="1" t="s">
        <v>2611</v>
      </c>
      <c r="K407" s="1" t="s">
        <v>74</v>
      </c>
      <c r="L407" s="1" t="s">
        <v>74</v>
      </c>
      <c r="M407" s="1" t="s">
        <v>74</v>
      </c>
      <c r="N407" s="1" t="s">
        <v>74</v>
      </c>
      <c r="O407" s="1" t="s">
        <v>74</v>
      </c>
      <c r="P407" s="1" t="s">
        <v>74</v>
      </c>
      <c r="Q407" s="1" t="s">
        <v>74</v>
      </c>
      <c r="R407" s="1" t="s">
        <v>74</v>
      </c>
      <c r="S407" s="1" t="s">
        <v>74</v>
      </c>
      <c r="T407" s="1" t="s">
        <v>74</v>
      </c>
      <c r="U407" s="1" t="s">
        <v>74</v>
      </c>
      <c r="V407" s="1" t="s">
        <v>4239</v>
      </c>
      <c r="W407" s="1" t="s">
        <v>74</v>
      </c>
      <c r="X407" s="1" t="s">
        <v>74</v>
      </c>
      <c r="Y407" s="1" t="s">
        <v>74</v>
      </c>
      <c r="Z407" s="1" t="s">
        <v>74</v>
      </c>
      <c r="AA407" s="1" t="s">
        <v>4240</v>
      </c>
      <c r="AB407" s="1" t="s">
        <v>4241</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2614</v>
      </c>
      <c r="AP407" s="1" t="s">
        <v>2615</v>
      </c>
      <c r="AQ407" s="1" t="s">
        <v>74</v>
      </c>
      <c r="AR407" s="1" t="s">
        <v>74</v>
      </c>
      <c r="AS407" s="1" t="s">
        <v>74</v>
      </c>
      <c r="AT407" s="1" t="s">
        <v>1082</v>
      </c>
      <c r="AU407" s="1">
        <v>2017.0</v>
      </c>
      <c r="AV407" s="1">
        <v>92.0</v>
      </c>
      <c r="AW407" s="1">
        <v>11.0</v>
      </c>
      <c r="AX407" s="1" t="s">
        <v>74</v>
      </c>
      <c r="AY407" s="1" t="s">
        <v>74</v>
      </c>
      <c r="AZ407" s="1" t="s">
        <v>74</v>
      </c>
      <c r="BA407" s="1" t="s">
        <v>74</v>
      </c>
      <c r="BB407" s="1">
        <v>2787.0</v>
      </c>
      <c r="BC407" s="1">
        <v>2798.0</v>
      </c>
      <c r="BD407" s="1" t="s">
        <v>74</v>
      </c>
      <c r="BE407" s="1" t="s">
        <v>4242</v>
      </c>
      <c r="BF407" s="2" t="str">
        <f>HYPERLINK("http://dx.doi.org/10.1002/jctb.5208","http://dx.doi.org/10.1002/jctb.5208")</f>
        <v>http://dx.doi.org/10.1002/jctb.5208</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4243</v>
      </c>
      <c r="BT407" s="1" t="str">
        <f>HYPERLINK("https%3A%2F%2Fwww.webofscience.com%2Fwos%2Fwoscc%2Ffull-record%2FWOS:000412284300002","View Full Record in Web of Science")</f>
        <v>View Full Record in Web of Science</v>
      </c>
    </row>
    <row r="408" ht="12.75" customHeight="1">
      <c r="A408" s="1" t="s">
        <v>72</v>
      </c>
      <c r="B408" s="1" t="s">
        <v>4244</v>
      </c>
      <c r="C408" s="1" t="s">
        <v>74</v>
      </c>
      <c r="D408" s="1" t="s">
        <v>74</v>
      </c>
      <c r="E408" s="1" t="s">
        <v>74</v>
      </c>
      <c r="F408" s="1" t="s">
        <v>4245</v>
      </c>
      <c r="G408" s="1" t="s">
        <v>74</v>
      </c>
      <c r="H408" s="1" t="s">
        <v>74</v>
      </c>
      <c r="I408" s="1" t="s">
        <v>4246</v>
      </c>
      <c r="J408" s="1" t="s">
        <v>4247</v>
      </c>
      <c r="K408" s="1" t="s">
        <v>74</v>
      </c>
      <c r="L408" s="1" t="s">
        <v>74</v>
      </c>
      <c r="M408" s="1" t="s">
        <v>74</v>
      </c>
      <c r="N408" s="1" t="s">
        <v>74</v>
      </c>
      <c r="O408" s="1" t="s">
        <v>74</v>
      </c>
      <c r="P408" s="1" t="s">
        <v>74</v>
      </c>
      <c r="Q408" s="1" t="s">
        <v>74</v>
      </c>
      <c r="R408" s="1" t="s">
        <v>74</v>
      </c>
      <c r="S408" s="1" t="s">
        <v>74</v>
      </c>
      <c r="T408" s="1" t="s">
        <v>74</v>
      </c>
      <c r="U408" s="1" t="s">
        <v>74</v>
      </c>
      <c r="V408" s="1" t="s">
        <v>4248</v>
      </c>
      <c r="W408" s="1" t="s">
        <v>74</v>
      </c>
      <c r="X408" s="1" t="s">
        <v>74</v>
      </c>
      <c r="Y408" s="1" t="s">
        <v>74</v>
      </c>
      <c r="Z408" s="1" t="s">
        <v>74</v>
      </c>
      <c r="AA408" s="1" t="s">
        <v>4249</v>
      </c>
      <c r="AB408" s="1" t="s">
        <v>4250</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4251</v>
      </c>
      <c r="AP408" s="1" t="s">
        <v>4252</v>
      </c>
      <c r="AQ408" s="1" t="s">
        <v>74</v>
      </c>
      <c r="AR408" s="1" t="s">
        <v>74</v>
      </c>
      <c r="AS408" s="1" t="s">
        <v>74</v>
      </c>
      <c r="AT408" s="1" t="s">
        <v>94</v>
      </c>
      <c r="AU408" s="1">
        <v>2017.0</v>
      </c>
      <c r="AV408" s="1">
        <v>103.0</v>
      </c>
      <c r="AW408" s="1" t="s">
        <v>74</v>
      </c>
      <c r="AX408" s="1" t="s">
        <v>74</v>
      </c>
      <c r="AY408" s="1" t="s">
        <v>74</v>
      </c>
      <c r="AZ408" s="1" t="s">
        <v>74</v>
      </c>
      <c r="BA408" s="1" t="s">
        <v>74</v>
      </c>
      <c r="BB408" s="1">
        <v>41.0</v>
      </c>
      <c r="BC408" s="1">
        <v>66.0</v>
      </c>
      <c r="BD408" s="1" t="s">
        <v>74</v>
      </c>
      <c r="BE408" s="1" t="s">
        <v>4253</v>
      </c>
      <c r="BF408" s="2" t="str">
        <f>HYPERLINK("http://dx.doi.org/10.1016/j.geb.2016.06.004","http://dx.doi.org/10.1016/j.geb.2016.06.004")</f>
        <v>http://dx.doi.org/10.1016/j.geb.2016.06.004</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4254</v>
      </c>
      <c r="BT408" s="1" t="str">
        <f>HYPERLINK("https%3A%2F%2Fwww.webofscience.com%2Fwos%2Fwoscc%2Ffull-record%2FWOS:000404821700004","View Full Record in Web of Science")</f>
        <v>View Full Record in Web of Science</v>
      </c>
    </row>
    <row r="409" ht="12.75" customHeight="1">
      <c r="A409" s="1" t="s">
        <v>72</v>
      </c>
      <c r="B409" s="1" t="s">
        <v>4255</v>
      </c>
      <c r="C409" s="1" t="s">
        <v>74</v>
      </c>
      <c r="D409" s="1" t="s">
        <v>74</v>
      </c>
      <c r="E409" s="1" t="s">
        <v>74</v>
      </c>
      <c r="F409" s="1" t="s">
        <v>4256</v>
      </c>
      <c r="G409" s="1" t="s">
        <v>74</v>
      </c>
      <c r="H409" s="1" t="s">
        <v>74</v>
      </c>
      <c r="I409" s="1" t="s">
        <v>4257</v>
      </c>
      <c r="J409" s="1" t="s">
        <v>4258</v>
      </c>
      <c r="K409" s="1" t="s">
        <v>74</v>
      </c>
      <c r="L409" s="1" t="s">
        <v>74</v>
      </c>
      <c r="M409" s="1" t="s">
        <v>74</v>
      </c>
      <c r="N409" s="1" t="s">
        <v>74</v>
      </c>
      <c r="O409" s="1" t="s">
        <v>74</v>
      </c>
      <c r="P409" s="1" t="s">
        <v>74</v>
      </c>
      <c r="Q409" s="1" t="s">
        <v>74</v>
      </c>
      <c r="R409" s="1" t="s">
        <v>74</v>
      </c>
      <c r="S409" s="1" t="s">
        <v>74</v>
      </c>
      <c r="T409" s="1" t="s">
        <v>74</v>
      </c>
      <c r="U409" s="1" t="s">
        <v>74</v>
      </c>
      <c r="V409" s="1" t="s">
        <v>4259</v>
      </c>
      <c r="W409" s="1" t="s">
        <v>74</v>
      </c>
      <c r="X409" s="1" t="s">
        <v>74</v>
      </c>
      <c r="Y409" s="1" t="s">
        <v>74</v>
      </c>
      <c r="Z409" s="1" t="s">
        <v>74</v>
      </c>
      <c r="AA409" s="1" t="s">
        <v>4260</v>
      </c>
      <c r="AB409" s="1" t="s">
        <v>4261</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4262</v>
      </c>
      <c r="AP409" s="1" t="s">
        <v>4263</v>
      </c>
      <c r="AQ409" s="1" t="s">
        <v>74</v>
      </c>
      <c r="AR409" s="1" t="s">
        <v>74</v>
      </c>
      <c r="AS409" s="1" t="s">
        <v>74</v>
      </c>
      <c r="AT409" s="1" t="s">
        <v>4264</v>
      </c>
      <c r="AU409" s="1">
        <v>2016.0</v>
      </c>
      <c r="AV409" s="1">
        <v>121.0</v>
      </c>
      <c r="AW409" s="1">
        <v>23.0</v>
      </c>
      <c r="AX409" s="1" t="s">
        <v>74</v>
      </c>
      <c r="AY409" s="1" t="s">
        <v>74</v>
      </c>
      <c r="AZ409" s="1" t="s">
        <v>74</v>
      </c>
      <c r="BA409" s="1" t="s">
        <v>74</v>
      </c>
      <c r="BB409" s="1">
        <v>14035.0</v>
      </c>
      <c r="BC409" s="1">
        <v>14055.0</v>
      </c>
      <c r="BD409" s="1" t="s">
        <v>74</v>
      </c>
      <c r="BE409" s="1" t="s">
        <v>4265</v>
      </c>
      <c r="BF409" s="2" t="str">
        <f>HYPERLINK("http://dx.doi.org/10.1002/2016JD025458","http://dx.doi.org/10.1002/2016JD025458")</f>
        <v>http://dx.doi.org/10.1002/2016JD025458</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4266</v>
      </c>
      <c r="BT409" s="1" t="str">
        <f>HYPERLINK("https%3A%2F%2Fwww.webofscience.com%2Fwos%2Fwoscc%2Ffull-record%2FWOS:000394520300013","View Full Record in Web of Science")</f>
        <v>View Full Record in Web of Science</v>
      </c>
    </row>
    <row r="410" ht="12.75" customHeight="1">
      <c r="A410" s="1" t="s">
        <v>72</v>
      </c>
      <c r="B410" s="1" t="s">
        <v>4267</v>
      </c>
      <c r="C410" s="1" t="s">
        <v>74</v>
      </c>
      <c r="D410" s="1" t="s">
        <v>74</v>
      </c>
      <c r="E410" s="1" t="s">
        <v>74</v>
      </c>
      <c r="F410" s="1" t="s">
        <v>4268</v>
      </c>
      <c r="G410" s="1" t="s">
        <v>74</v>
      </c>
      <c r="H410" s="1" t="s">
        <v>74</v>
      </c>
      <c r="I410" s="1" t="s">
        <v>4269</v>
      </c>
      <c r="J410" s="1" t="s">
        <v>4270</v>
      </c>
      <c r="K410" s="1" t="s">
        <v>74</v>
      </c>
      <c r="L410" s="1" t="s">
        <v>74</v>
      </c>
      <c r="M410" s="1" t="s">
        <v>74</v>
      </c>
      <c r="N410" s="1" t="s">
        <v>74</v>
      </c>
      <c r="O410" s="1" t="s">
        <v>74</v>
      </c>
      <c r="P410" s="1" t="s">
        <v>74</v>
      </c>
      <c r="Q410" s="1" t="s">
        <v>74</v>
      </c>
      <c r="R410" s="1" t="s">
        <v>74</v>
      </c>
      <c r="S410" s="1" t="s">
        <v>74</v>
      </c>
      <c r="T410" s="1" t="s">
        <v>74</v>
      </c>
      <c r="U410" s="1" t="s">
        <v>74</v>
      </c>
      <c r="V410" s="1" t="s">
        <v>4271</v>
      </c>
      <c r="W410" s="1" t="s">
        <v>74</v>
      </c>
      <c r="X410" s="1" t="s">
        <v>74</v>
      </c>
      <c r="Y410" s="1" t="s">
        <v>74</v>
      </c>
      <c r="Z410" s="1" t="s">
        <v>74</v>
      </c>
      <c r="AA410" s="1" t="s">
        <v>4272</v>
      </c>
      <c r="AB410" s="1" t="s">
        <v>4273</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4274</v>
      </c>
      <c r="AP410" s="1" t="s">
        <v>4275</v>
      </c>
      <c r="AQ410" s="1" t="s">
        <v>74</v>
      </c>
      <c r="AR410" s="1" t="s">
        <v>74</v>
      </c>
      <c r="AS410" s="1" t="s">
        <v>74</v>
      </c>
      <c r="AT410" s="1" t="s">
        <v>74</v>
      </c>
      <c r="AU410" s="1">
        <v>2016.0</v>
      </c>
      <c r="AV410" s="1">
        <v>2016.0</v>
      </c>
      <c r="AW410" s="1" t="s">
        <v>74</v>
      </c>
      <c r="AX410" s="1" t="s">
        <v>74</v>
      </c>
      <c r="AY410" s="1" t="s">
        <v>74</v>
      </c>
      <c r="AZ410" s="1" t="s">
        <v>74</v>
      </c>
      <c r="BA410" s="1" t="s">
        <v>74</v>
      </c>
      <c r="BB410" s="1" t="s">
        <v>74</v>
      </c>
      <c r="BC410" s="1" t="s">
        <v>74</v>
      </c>
      <c r="BD410" s="1">
        <v>7980476.0</v>
      </c>
      <c r="BE410" s="1" t="s">
        <v>4276</v>
      </c>
      <c r="BF410" s="2" t="str">
        <f>HYPERLINK("http://dx.doi.org/10.1155/2016/7980476","http://dx.doi.org/10.1155/2016/7980476")</f>
        <v>http://dx.doi.org/10.1155/2016/7980476</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4277</v>
      </c>
      <c r="BT410" s="1" t="str">
        <f>HYPERLINK("https%3A%2F%2Fwww.webofscience.com%2Fwos%2Fwoscc%2Ffull-record%2FWOS:000371537800001","View Full Record in Web of Science")</f>
        <v>View Full Record in Web of Science</v>
      </c>
    </row>
    <row r="411" ht="12.75" customHeight="1">
      <c r="A411" s="1" t="s">
        <v>72</v>
      </c>
      <c r="B411" s="1" t="s">
        <v>4278</v>
      </c>
      <c r="C411" s="1" t="s">
        <v>74</v>
      </c>
      <c r="D411" s="1" t="s">
        <v>74</v>
      </c>
      <c r="E411" s="1" t="s">
        <v>74</v>
      </c>
      <c r="F411" s="1" t="s">
        <v>4279</v>
      </c>
      <c r="G411" s="1" t="s">
        <v>74</v>
      </c>
      <c r="H411" s="1" t="s">
        <v>4280</v>
      </c>
      <c r="I411" s="1" t="s">
        <v>4281</v>
      </c>
      <c r="J411" s="1" t="s">
        <v>4282</v>
      </c>
      <c r="K411" s="1" t="s">
        <v>74</v>
      </c>
      <c r="L411" s="1" t="s">
        <v>74</v>
      </c>
      <c r="M411" s="1" t="s">
        <v>74</v>
      </c>
      <c r="N411" s="1" t="s">
        <v>74</v>
      </c>
      <c r="O411" s="1" t="s">
        <v>74</v>
      </c>
      <c r="P411" s="1" t="s">
        <v>74</v>
      </c>
      <c r="Q411" s="1" t="s">
        <v>74</v>
      </c>
      <c r="R411" s="1" t="s">
        <v>74</v>
      </c>
      <c r="S411" s="1" t="s">
        <v>74</v>
      </c>
      <c r="T411" s="1" t="s">
        <v>74</v>
      </c>
      <c r="U411" s="1" t="s">
        <v>74</v>
      </c>
      <c r="V411" s="1" t="s">
        <v>4283</v>
      </c>
      <c r="W411" s="1" t="s">
        <v>74</v>
      </c>
      <c r="X411" s="1" t="s">
        <v>74</v>
      </c>
      <c r="Y411" s="1" t="s">
        <v>74</v>
      </c>
      <c r="Z411" s="1" t="s">
        <v>74</v>
      </c>
      <c r="AA411" s="1" t="s">
        <v>4284</v>
      </c>
      <c r="AB411" s="1" t="s">
        <v>4285</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4286</v>
      </c>
      <c r="AP411" s="1" t="s">
        <v>4287</v>
      </c>
      <c r="AQ411" s="1" t="s">
        <v>74</v>
      </c>
      <c r="AR411" s="1" t="s">
        <v>74</v>
      </c>
      <c r="AS411" s="1" t="s">
        <v>74</v>
      </c>
      <c r="AT411" s="1" t="s">
        <v>83</v>
      </c>
      <c r="AU411" s="1">
        <v>2015.0</v>
      </c>
      <c r="AV411" s="1">
        <v>243.0</v>
      </c>
      <c r="AW411" s="1">
        <v>2.0</v>
      </c>
      <c r="AX411" s="1" t="s">
        <v>74</v>
      </c>
      <c r="AY411" s="1" t="s">
        <v>74</v>
      </c>
      <c r="AZ411" s="1" t="s">
        <v>74</v>
      </c>
      <c r="BA411" s="1" t="s">
        <v>74</v>
      </c>
      <c r="BB411" s="1">
        <v>516.0</v>
      </c>
      <c r="BC411" s="1">
        <v>522.0</v>
      </c>
      <c r="BD411" s="1" t="s">
        <v>74</v>
      </c>
      <c r="BE411" s="1" t="s">
        <v>4288</v>
      </c>
      <c r="BF411" s="2" t="str">
        <f>HYPERLINK("http://dx.doi.org/10.1016/j.atherosclerosis.2015.10.004","http://dx.doi.org/10.1016/j.atherosclerosis.2015.10.004")</f>
        <v>http://dx.doi.org/10.1016/j.atherosclerosis.2015.10.004</v>
      </c>
      <c r="BG411" s="1" t="s">
        <v>74</v>
      </c>
      <c r="BH411" s="1" t="s">
        <v>74</v>
      </c>
      <c r="BI411" s="1" t="s">
        <v>74</v>
      </c>
      <c r="BJ411" s="1" t="s">
        <v>74</v>
      </c>
      <c r="BK411" s="1" t="s">
        <v>74</v>
      </c>
      <c r="BL411" s="1" t="s">
        <v>74</v>
      </c>
      <c r="BM411" s="1" t="s">
        <v>74</v>
      </c>
      <c r="BN411" s="1">
        <v>2.6523988E7</v>
      </c>
      <c r="BO411" s="1" t="s">
        <v>74</v>
      </c>
      <c r="BP411" s="1" t="s">
        <v>74</v>
      </c>
      <c r="BQ411" s="1" t="s">
        <v>74</v>
      </c>
      <c r="BR411" s="1" t="s">
        <v>74</v>
      </c>
      <c r="BS411" s="1" t="s">
        <v>4289</v>
      </c>
      <c r="BT411" s="1" t="str">
        <f>HYPERLINK("https%3A%2F%2Fwww.webofscience.com%2Fwos%2Fwoscc%2Ffull-record%2FWOS:000366534100024","View Full Record in Web of Science")</f>
        <v>View Full Record in Web of Science</v>
      </c>
    </row>
    <row r="412" ht="12.75" customHeight="1">
      <c r="A412" s="1" t="s">
        <v>72</v>
      </c>
      <c r="B412" s="1" t="s">
        <v>4290</v>
      </c>
      <c r="C412" s="1" t="s">
        <v>74</v>
      </c>
      <c r="D412" s="1" t="s">
        <v>74</v>
      </c>
      <c r="E412" s="1" t="s">
        <v>74</v>
      </c>
      <c r="F412" s="1" t="s">
        <v>4291</v>
      </c>
      <c r="G412" s="1" t="s">
        <v>74</v>
      </c>
      <c r="H412" s="1" t="s">
        <v>74</v>
      </c>
      <c r="I412" s="1" t="s">
        <v>4292</v>
      </c>
      <c r="J412" s="1" t="s">
        <v>4293</v>
      </c>
      <c r="K412" s="1" t="s">
        <v>74</v>
      </c>
      <c r="L412" s="1" t="s">
        <v>74</v>
      </c>
      <c r="M412" s="1" t="s">
        <v>74</v>
      </c>
      <c r="N412" s="1" t="s">
        <v>74</v>
      </c>
      <c r="O412" s="1" t="s">
        <v>74</v>
      </c>
      <c r="P412" s="1" t="s">
        <v>74</v>
      </c>
      <c r="Q412" s="1" t="s">
        <v>74</v>
      </c>
      <c r="R412" s="1" t="s">
        <v>74</v>
      </c>
      <c r="S412" s="1" t="s">
        <v>74</v>
      </c>
      <c r="T412" s="1" t="s">
        <v>74</v>
      </c>
      <c r="U412" s="1" t="s">
        <v>74</v>
      </c>
      <c r="V412" s="1" t="s">
        <v>4294</v>
      </c>
      <c r="W412" s="1" t="s">
        <v>74</v>
      </c>
      <c r="X412" s="1" t="s">
        <v>74</v>
      </c>
      <c r="Y412" s="1" t="s">
        <v>74</v>
      </c>
      <c r="Z412" s="1" t="s">
        <v>74</v>
      </c>
      <c r="AA412" s="1" t="s">
        <v>4295</v>
      </c>
      <c r="AB412" s="1" t="s">
        <v>4296</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4297</v>
      </c>
      <c r="AP412" s="1" t="s">
        <v>4298</v>
      </c>
      <c r="AQ412" s="1" t="s">
        <v>74</v>
      </c>
      <c r="AR412" s="1" t="s">
        <v>74</v>
      </c>
      <c r="AS412" s="1" t="s">
        <v>74</v>
      </c>
      <c r="AT412" s="1" t="s">
        <v>385</v>
      </c>
      <c r="AU412" s="1">
        <v>2014.0</v>
      </c>
      <c r="AV412" s="1">
        <v>50.0</v>
      </c>
      <c r="AW412" s="1" t="s">
        <v>74</v>
      </c>
      <c r="AX412" s="1" t="s">
        <v>74</v>
      </c>
      <c r="AY412" s="1" t="s">
        <v>74</v>
      </c>
      <c r="AZ412" s="1" t="s">
        <v>74</v>
      </c>
      <c r="BA412" s="1" t="s">
        <v>74</v>
      </c>
      <c r="BB412" s="1">
        <v>13.0</v>
      </c>
      <c r="BC412" s="1">
        <v>28.0</v>
      </c>
      <c r="BD412" s="1" t="s">
        <v>74</v>
      </c>
      <c r="BE412" s="1" t="s">
        <v>4299</v>
      </c>
      <c r="BF412" s="2" t="str">
        <f>HYPERLINK("http://dx.doi.org/10.1016/j.socec.2014.01.005","http://dx.doi.org/10.1016/j.socec.2014.01.005")</f>
        <v>http://dx.doi.org/10.1016/j.socec.2014.01.005</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4300</v>
      </c>
      <c r="BT412" s="1" t="str">
        <f>HYPERLINK("https%3A%2F%2Fwww.webofscience.com%2Fwos%2Fwoscc%2Ffull-record%2FWOS:000337874500003","View Full Record in Web of Science")</f>
        <v>View Full Record in Web of Science</v>
      </c>
    </row>
    <row r="413" ht="12.75" customHeight="1">
      <c r="A413" s="1" t="s">
        <v>72</v>
      </c>
      <c r="B413" s="1" t="s">
        <v>4301</v>
      </c>
      <c r="C413" s="1" t="s">
        <v>74</v>
      </c>
      <c r="D413" s="1" t="s">
        <v>74</v>
      </c>
      <c r="E413" s="1" t="s">
        <v>74</v>
      </c>
      <c r="F413" s="1" t="s">
        <v>4302</v>
      </c>
      <c r="G413" s="1" t="s">
        <v>74</v>
      </c>
      <c r="H413" s="1" t="s">
        <v>74</v>
      </c>
      <c r="I413" s="1" t="s">
        <v>4303</v>
      </c>
      <c r="J413" s="1" t="s">
        <v>182</v>
      </c>
      <c r="K413" s="1" t="s">
        <v>74</v>
      </c>
      <c r="L413" s="1" t="s">
        <v>74</v>
      </c>
      <c r="M413" s="1" t="s">
        <v>74</v>
      </c>
      <c r="N413" s="1" t="s">
        <v>74</v>
      </c>
      <c r="O413" s="1" t="s">
        <v>74</v>
      </c>
      <c r="P413" s="1" t="s">
        <v>74</v>
      </c>
      <c r="Q413" s="1" t="s">
        <v>74</v>
      </c>
      <c r="R413" s="1" t="s">
        <v>74</v>
      </c>
      <c r="S413" s="1" t="s">
        <v>74</v>
      </c>
      <c r="T413" s="1" t="s">
        <v>74</v>
      </c>
      <c r="U413" s="1" t="s">
        <v>74</v>
      </c>
      <c r="V413" s="1" t="s">
        <v>4304</v>
      </c>
      <c r="W413" s="1" t="s">
        <v>74</v>
      </c>
      <c r="X413" s="1" t="s">
        <v>74</v>
      </c>
      <c r="Y413" s="1" t="s">
        <v>74</v>
      </c>
      <c r="Z413" s="1" t="s">
        <v>74</v>
      </c>
      <c r="AA413" s="1" t="s">
        <v>4305</v>
      </c>
      <c r="AB413" s="1" t="s">
        <v>4306</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186</v>
      </c>
      <c r="AP413" s="1" t="s">
        <v>74</v>
      </c>
      <c r="AQ413" s="1" t="s">
        <v>74</v>
      </c>
      <c r="AR413" s="1" t="s">
        <v>74</v>
      </c>
      <c r="AS413" s="1" t="s">
        <v>74</v>
      </c>
      <c r="AT413" s="1" t="s">
        <v>3277</v>
      </c>
      <c r="AU413" s="1">
        <v>2014.0</v>
      </c>
      <c r="AV413" s="1">
        <v>9.0</v>
      </c>
      <c r="AW413" s="1">
        <v>4.0</v>
      </c>
      <c r="AX413" s="1" t="s">
        <v>74</v>
      </c>
      <c r="AY413" s="1" t="s">
        <v>74</v>
      </c>
      <c r="AZ413" s="1" t="s">
        <v>74</v>
      </c>
      <c r="BA413" s="1" t="s">
        <v>74</v>
      </c>
      <c r="BB413" s="1" t="s">
        <v>74</v>
      </c>
      <c r="BC413" s="1" t="s">
        <v>74</v>
      </c>
      <c r="BD413" s="1" t="s">
        <v>4307</v>
      </c>
      <c r="BE413" s="1" t="s">
        <v>4308</v>
      </c>
      <c r="BF413" s="2" t="str">
        <f>HYPERLINK("http://dx.doi.org/10.1371/journal.pone.0094146","http://dx.doi.org/10.1371/journal.pone.0094146")</f>
        <v>http://dx.doi.org/10.1371/journal.pone.0094146</v>
      </c>
      <c r="BG413" s="1" t="s">
        <v>74</v>
      </c>
      <c r="BH413" s="1" t="s">
        <v>74</v>
      </c>
      <c r="BI413" s="1" t="s">
        <v>74</v>
      </c>
      <c r="BJ413" s="1" t="s">
        <v>74</v>
      </c>
      <c r="BK413" s="1" t="s">
        <v>74</v>
      </c>
      <c r="BL413" s="1" t="s">
        <v>74</v>
      </c>
      <c r="BM413" s="1" t="s">
        <v>74</v>
      </c>
      <c r="BN413" s="1">
        <v>2.4710004E7</v>
      </c>
      <c r="BO413" s="1" t="s">
        <v>74</v>
      </c>
      <c r="BP413" s="1" t="s">
        <v>74</v>
      </c>
      <c r="BQ413" s="1" t="s">
        <v>74</v>
      </c>
      <c r="BR413" s="1" t="s">
        <v>74</v>
      </c>
      <c r="BS413" s="1" t="s">
        <v>4309</v>
      </c>
      <c r="BT413" s="1" t="str">
        <f>HYPERLINK("https%3A%2F%2Fwww.webofscience.com%2Fwos%2Fwoscc%2Ffull-record%2FWOS:000334159800106","View Full Record in Web of Science")</f>
        <v>View Full Record in Web of Science</v>
      </c>
    </row>
    <row r="414" ht="12.75" customHeight="1">
      <c r="A414" s="1" t="s">
        <v>72</v>
      </c>
      <c r="B414" s="1" t="s">
        <v>4310</v>
      </c>
      <c r="C414" s="1" t="s">
        <v>74</v>
      </c>
      <c r="D414" s="1" t="s">
        <v>74</v>
      </c>
      <c r="E414" s="1" t="s">
        <v>74</v>
      </c>
      <c r="F414" s="1" t="s">
        <v>4311</v>
      </c>
      <c r="G414" s="1" t="s">
        <v>74</v>
      </c>
      <c r="H414" s="1" t="s">
        <v>74</v>
      </c>
      <c r="I414" s="1" t="s">
        <v>4312</v>
      </c>
      <c r="J414" s="1" t="s">
        <v>4313</v>
      </c>
      <c r="K414" s="1" t="s">
        <v>74</v>
      </c>
      <c r="L414" s="1" t="s">
        <v>74</v>
      </c>
      <c r="M414" s="1" t="s">
        <v>74</v>
      </c>
      <c r="N414" s="1" t="s">
        <v>74</v>
      </c>
      <c r="O414" s="1" t="s">
        <v>74</v>
      </c>
      <c r="P414" s="1" t="s">
        <v>74</v>
      </c>
      <c r="Q414" s="1" t="s">
        <v>74</v>
      </c>
      <c r="R414" s="1" t="s">
        <v>74</v>
      </c>
      <c r="S414" s="1" t="s">
        <v>74</v>
      </c>
      <c r="T414" s="1" t="s">
        <v>74</v>
      </c>
      <c r="U414" s="1" t="s">
        <v>74</v>
      </c>
      <c r="V414" s="1" t="s">
        <v>4314</v>
      </c>
      <c r="W414" s="1" t="s">
        <v>74</v>
      </c>
      <c r="X414" s="1" t="s">
        <v>74</v>
      </c>
      <c r="Y414" s="1" t="s">
        <v>74</v>
      </c>
      <c r="Z414" s="1" t="s">
        <v>74</v>
      </c>
      <c r="AA414" s="1" t="s">
        <v>4315</v>
      </c>
      <c r="AB414" s="1" t="s">
        <v>4316</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4317</v>
      </c>
      <c r="AP414" s="1" t="s">
        <v>4318</v>
      </c>
      <c r="AQ414" s="1" t="s">
        <v>74</v>
      </c>
      <c r="AR414" s="1" t="s">
        <v>74</v>
      </c>
      <c r="AS414" s="1" t="s">
        <v>74</v>
      </c>
      <c r="AT414" s="1" t="s">
        <v>308</v>
      </c>
      <c r="AU414" s="1">
        <v>2014.0</v>
      </c>
      <c r="AV414" s="1">
        <v>27.0</v>
      </c>
      <c r="AW414" s="1">
        <v>2.0</v>
      </c>
      <c r="AX414" s="1" t="s">
        <v>74</v>
      </c>
      <c r="AY414" s="1" t="s">
        <v>74</v>
      </c>
      <c r="AZ414" s="1" t="s">
        <v>74</v>
      </c>
      <c r="BA414" s="1" t="s">
        <v>74</v>
      </c>
      <c r="BB414" s="1">
        <v>237.0</v>
      </c>
      <c r="BC414" s="1">
        <v>246.0</v>
      </c>
      <c r="BD414" s="1" t="s">
        <v>74</v>
      </c>
      <c r="BE414" s="1" t="s">
        <v>4319</v>
      </c>
      <c r="BF414" s="2" t="str">
        <f>HYPERLINK("http://dx.doi.org/10.1007/s10534-013-9701-8","http://dx.doi.org/10.1007/s10534-013-9701-8")</f>
        <v>http://dx.doi.org/10.1007/s10534-013-9701-8</v>
      </c>
      <c r="BG414" s="1" t="s">
        <v>74</v>
      </c>
      <c r="BH414" s="1" t="s">
        <v>74</v>
      </c>
      <c r="BI414" s="1" t="s">
        <v>74</v>
      </c>
      <c r="BJ414" s="1" t="s">
        <v>74</v>
      </c>
      <c r="BK414" s="1" t="s">
        <v>74</v>
      </c>
      <c r="BL414" s="1" t="s">
        <v>74</v>
      </c>
      <c r="BM414" s="1" t="s">
        <v>74</v>
      </c>
      <c r="BN414" s="1">
        <v>2.448155E7</v>
      </c>
      <c r="BO414" s="1" t="s">
        <v>74</v>
      </c>
      <c r="BP414" s="1" t="s">
        <v>74</v>
      </c>
      <c r="BQ414" s="1" t="s">
        <v>74</v>
      </c>
      <c r="BR414" s="1" t="s">
        <v>74</v>
      </c>
      <c r="BS414" s="1" t="s">
        <v>4320</v>
      </c>
      <c r="BT414" s="1" t="str">
        <f>HYPERLINK("https%3A%2F%2Fwww.webofscience.com%2Fwos%2Fwoscc%2Ffull-record%2FWOS:000335729500003","View Full Record in Web of Science")</f>
        <v>View Full Record in Web of Science</v>
      </c>
    </row>
    <row r="415" ht="12.75" customHeight="1">
      <c r="A415" s="1" t="s">
        <v>72</v>
      </c>
      <c r="B415" s="1" t="s">
        <v>4321</v>
      </c>
      <c r="C415" s="1" t="s">
        <v>74</v>
      </c>
      <c r="D415" s="1" t="s">
        <v>74</v>
      </c>
      <c r="E415" s="1" t="s">
        <v>74</v>
      </c>
      <c r="F415" s="1" t="s">
        <v>4322</v>
      </c>
      <c r="G415" s="1" t="s">
        <v>74</v>
      </c>
      <c r="H415" s="1" t="s">
        <v>74</v>
      </c>
      <c r="I415" s="1" t="s">
        <v>4323</v>
      </c>
      <c r="J415" s="1" t="s">
        <v>4324</v>
      </c>
      <c r="K415" s="1" t="s">
        <v>74</v>
      </c>
      <c r="L415" s="1" t="s">
        <v>74</v>
      </c>
      <c r="M415" s="1" t="s">
        <v>74</v>
      </c>
      <c r="N415" s="1" t="s">
        <v>74</v>
      </c>
      <c r="O415" s="1" t="s">
        <v>74</v>
      </c>
      <c r="P415" s="1" t="s">
        <v>74</v>
      </c>
      <c r="Q415" s="1" t="s">
        <v>74</v>
      </c>
      <c r="R415" s="1" t="s">
        <v>74</v>
      </c>
      <c r="S415" s="1" t="s">
        <v>74</v>
      </c>
      <c r="T415" s="1" t="s">
        <v>74</v>
      </c>
      <c r="U415" s="1" t="s">
        <v>74</v>
      </c>
      <c r="V415" s="1" t="s">
        <v>4325</v>
      </c>
      <c r="W415" s="1" t="s">
        <v>74</v>
      </c>
      <c r="X415" s="1" t="s">
        <v>74</v>
      </c>
      <c r="Y415" s="1" t="s">
        <v>74</v>
      </c>
      <c r="Z415" s="1" t="s">
        <v>74</v>
      </c>
      <c r="AA415" s="1" t="s">
        <v>4326</v>
      </c>
      <c r="AB415" s="1" t="s">
        <v>4327</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4328</v>
      </c>
      <c r="AP415" s="1" t="s">
        <v>4329</v>
      </c>
      <c r="AQ415" s="1" t="s">
        <v>74</v>
      </c>
      <c r="AR415" s="1" t="s">
        <v>74</v>
      </c>
      <c r="AS415" s="1" t="s">
        <v>74</v>
      </c>
      <c r="AT415" s="1" t="s">
        <v>176</v>
      </c>
      <c r="AU415" s="1">
        <v>2014.0</v>
      </c>
      <c r="AV415" s="1">
        <v>105.0</v>
      </c>
      <c r="AW415" s="1">
        <v>3.0</v>
      </c>
      <c r="AX415" s="1" t="s">
        <v>74</v>
      </c>
      <c r="AY415" s="1" t="s">
        <v>74</v>
      </c>
      <c r="AZ415" s="1" t="s">
        <v>74</v>
      </c>
      <c r="BA415" s="1" t="s">
        <v>74</v>
      </c>
      <c r="BB415" s="1">
        <v>593.0</v>
      </c>
      <c r="BC415" s="1">
        <v>601.0</v>
      </c>
      <c r="BD415" s="1" t="s">
        <v>74</v>
      </c>
      <c r="BE415" s="1" t="s">
        <v>4330</v>
      </c>
      <c r="BF415" s="2" t="str">
        <f>HYPERLINK("http://dx.doi.org/10.1007/s10482-014-0114-7","http://dx.doi.org/10.1007/s10482-014-0114-7")</f>
        <v>http://dx.doi.org/10.1007/s10482-014-0114-7</v>
      </c>
      <c r="BG415" s="1" t="s">
        <v>74</v>
      </c>
      <c r="BH415" s="1" t="s">
        <v>74</v>
      </c>
      <c r="BI415" s="1" t="s">
        <v>74</v>
      </c>
      <c r="BJ415" s="1" t="s">
        <v>74</v>
      </c>
      <c r="BK415" s="1" t="s">
        <v>74</v>
      </c>
      <c r="BL415" s="1" t="s">
        <v>74</v>
      </c>
      <c r="BM415" s="1" t="s">
        <v>74</v>
      </c>
      <c r="BN415" s="1">
        <v>2.4435686E7</v>
      </c>
      <c r="BO415" s="1" t="s">
        <v>74</v>
      </c>
      <c r="BP415" s="1" t="s">
        <v>74</v>
      </c>
      <c r="BQ415" s="1" t="s">
        <v>74</v>
      </c>
      <c r="BR415" s="1" t="s">
        <v>74</v>
      </c>
      <c r="BS415" s="1" t="s">
        <v>4331</v>
      </c>
      <c r="BT415" s="1" t="str">
        <f>HYPERLINK("https%3A%2F%2Fwww.webofscience.com%2Fwos%2Fwoscc%2Ffull-record%2FWOS:000330953700016","View Full Record in Web of Science")</f>
        <v>View Full Record in Web of Science</v>
      </c>
    </row>
    <row r="416" ht="12.75" customHeight="1">
      <c r="A416" s="1" t="s">
        <v>72</v>
      </c>
      <c r="B416" s="1" t="s">
        <v>4332</v>
      </c>
      <c r="C416" s="1" t="s">
        <v>74</v>
      </c>
      <c r="D416" s="1" t="s">
        <v>74</v>
      </c>
      <c r="E416" s="1" t="s">
        <v>74</v>
      </c>
      <c r="F416" s="1" t="s">
        <v>4333</v>
      </c>
      <c r="G416" s="1" t="s">
        <v>74</v>
      </c>
      <c r="H416" s="1" t="s">
        <v>74</v>
      </c>
      <c r="I416" s="1" t="s">
        <v>4334</v>
      </c>
      <c r="J416" s="1" t="s">
        <v>4335</v>
      </c>
      <c r="K416" s="1" t="s">
        <v>74</v>
      </c>
      <c r="L416" s="1" t="s">
        <v>74</v>
      </c>
      <c r="M416" s="1" t="s">
        <v>74</v>
      </c>
      <c r="N416" s="1" t="s">
        <v>74</v>
      </c>
      <c r="O416" s="1" t="s">
        <v>74</v>
      </c>
      <c r="P416" s="1" t="s">
        <v>74</v>
      </c>
      <c r="Q416" s="1" t="s">
        <v>74</v>
      </c>
      <c r="R416" s="1" t="s">
        <v>74</v>
      </c>
      <c r="S416" s="1" t="s">
        <v>74</v>
      </c>
      <c r="T416" s="1" t="s">
        <v>74</v>
      </c>
      <c r="U416" s="1" t="s">
        <v>74</v>
      </c>
      <c r="V416" s="1" t="s">
        <v>4336</v>
      </c>
      <c r="W416" s="1" t="s">
        <v>74</v>
      </c>
      <c r="X416" s="1" t="s">
        <v>74</v>
      </c>
      <c r="Y416" s="1" t="s">
        <v>74</v>
      </c>
      <c r="Z416" s="1" t="s">
        <v>74</v>
      </c>
      <c r="AA416" s="1" t="s">
        <v>4337</v>
      </c>
      <c r="AB416" s="1" t="s">
        <v>4338</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4339</v>
      </c>
      <c r="AP416" s="1" t="s">
        <v>74</v>
      </c>
      <c r="AQ416" s="1" t="s">
        <v>74</v>
      </c>
      <c r="AR416" s="1" t="s">
        <v>74</v>
      </c>
      <c r="AS416" s="1" t="s">
        <v>74</v>
      </c>
      <c r="AT416" s="1" t="s">
        <v>74</v>
      </c>
      <c r="AU416" s="1">
        <v>2014.0</v>
      </c>
      <c r="AV416" s="1">
        <v>8.0</v>
      </c>
      <c r="AW416" s="1" t="s">
        <v>74</v>
      </c>
      <c r="AX416" s="1" t="s">
        <v>74</v>
      </c>
      <c r="AY416" s="1" t="s">
        <v>74</v>
      </c>
      <c r="AZ416" s="1" t="s">
        <v>74</v>
      </c>
      <c r="BA416" s="1" t="s">
        <v>74</v>
      </c>
      <c r="BB416" s="1">
        <v>651.0</v>
      </c>
      <c r="BC416" s="1">
        <v>666.0</v>
      </c>
      <c r="BD416" s="1" t="s">
        <v>74</v>
      </c>
      <c r="BE416" s="1" t="s">
        <v>4340</v>
      </c>
      <c r="BF416" s="2" t="str">
        <f>HYPERLINK("http://dx.doi.org/10.2147/DDDT.S60444","http://dx.doi.org/10.2147/DDDT.S60444")</f>
        <v>http://dx.doi.org/10.2147/DDDT.S60444</v>
      </c>
      <c r="BG416" s="1" t="s">
        <v>74</v>
      </c>
      <c r="BH416" s="1" t="s">
        <v>74</v>
      </c>
      <c r="BI416" s="1" t="s">
        <v>74</v>
      </c>
      <c r="BJ416" s="1" t="s">
        <v>74</v>
      </c>
      <c r="BK416" s="1" t="s">
        <v>74</v>
      </c>
      <c r="BL416" s="1" t="s">
        <v>74</v>
      </c>
      <c r="BM416" s="1" t="s">
        <v>74</v>
      </c>
      <c r="BN416" s="1">
        <v>2.4936127E7</v>
      </c>
      <c r="BO416" s="1" t="s">
        <v>74</v>
      </c>
      <c r="BP416" s="1" t="s">
        <v>74</v>
      </c>
      <c r="BQ416" s="1" t="s">
        <v>74</v>
      </c>
      <c r="BR416" s="1" t="s">
        <v>74</v>
      </c>
      <c r="BS416" s="1" t="s">
        <v>4341</v>
      </c>
      <c r="BT416" s="1" t="str">
        <f>HYPERLINK("https%3A%2F%2Fwww.webofscience.com%2Fwos%2Fwoscc%2Ffull-record%2FWOS:000354468700001","View Full Record in Web of Science")</f>
        <v>View Full Record in Web of Science</v>
      </c>
    </row>
    <row r="417" ht="12.75" customHeight="1">
      <c r="A417" s="1" t="s">
        <v>72</v>
      </c>
      <c r="B417" s="1" t="s">
        <v>4342</v>
      </c>
      <c r="C417" s="1" t="s">
        <v>74</v>
      </c>
      <c r="D417" s="1" t="s">
        <v>74</v>
      </c>
      <c r="E417" s="1" t="s">
        <v>74</v>
      </c>
      <c r="F417" s="1" t="s">
        <v>4343</v>
      </c>
      <c r="G417" s="1" t="s">
        <v>74</v>
      </c>
      <c r="H417" s="1" t="s">
        <v>74</v>
      </c>
      <c r="I417" s="1" t="s">
        <v>4344</v>
      </c>
      <c r="J417" s="1" t="s">
        <v>4345</v>
      </c>
      <c r="K417" s="1" t="s">
        <v>74</v>
      </c>
      <c r="L417" s="1" t="s">
        <v>74</v>
      </c>
      <c r="M417" s="1" t="s">
        <v>74</v>
      </c>
      <c r="N417" s="1" t="s">
        <v>74</v>
      </c>
      <c r="O417" s="1" t="s">
        <v>74</v>
      </c>
      <c r="P417" s="1" t="s">
        <v>74</v>
      </c>
      <c r="Q417" s="1" t="s">
        <v>74</v>
      </c>
      <c r="R417" s="1" t="s">
        <v>74</v>
      </c>
      <c r="S417" s="1" t="s">
        <v>74</v>
      </c>
      <c r="T417" s="1" t="s">
        <v>74</v>
      </c>
      <c r="U417" s="1" t="s">
        <v>74</v>
      </c>
      <c r="V417" s="1" t="s">
        <v>4346</v>
      </c>
      <c r="W417" s="1" t="s">
        <v>74</v>
      </c>
      <c r="X417" s="1" t="s">
        <v>74</v>
      </c>
      <c r="Y417" s="1" t="s">
        <v>74</v>
      </c>
      <c r="Z417" s="1" t="s">
        <v>74</v>
      </c>
      <c r="AA417" s="1" t="s">
        <v>4347</v>
      </c>
      <c r="AB417" s="1" t="s">
        <v>4348</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4349</v>
      </c>
      <c r="AP417" s="1" t="s">
        <v>4350</v>
      </c>
      <c r="AQ417" s="1" t="s">
        <v>74</v>
      </c>
      <c r="AR417" s="1" t="s">
        <v>74</v>
      </c>
      <c r="AS417" s="1" t="s">
        <v>74</v>
      </c>
      <c r="AT417" s="1" t="s">
        <v>176</v>
      </c>
      <c r="AU417" s="1">
        <v>2013.0</v>
      </c>
      <c r="AV417" s="1">
        <v>58.0</v>
      </c>
      <c r="AW417" s="1" t="s">
        <v>4351</v>
      </c>
      <c r="AX417" s="1" t="s">
        <v>74</v>
      </c>
      <c r="AY417" s="1" t="s">
        <v>74</v>
      </c>
      <c r="AZ417" s="1" t="s">
        <v>74</v>
      </c>
      <c r="BA417" s="1" t="s">
        <v>74</v>
      </c>
      <c r="BB417" s="1">
        <v>568.0</v>
      </c>
      <c r="BC417" s="1">
        <v>577.0</v>
      </c>
      <c r="BD417" s="1" t="s">
        <v>74</v>
      </c>
      <c r="BE417" s="1" t="s">
        <v>4352</v>
      </c>
      <c r="BF417" s="2" t="str">
        <f>HYPERLINK("http://dx.doi.org/10.1016/j.ijheatmasstransfer.2012.11.021","http://dx.doi.org/10.1016/j.ijheatmasstransfer.2012.11.021")</f>
        <v>http://dx.doi.org/10.1016/j.ijheatmasstransfer.2012.11.021</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4353</v>
      </c>
      <c r="BT417" s="1" t="str">
        <f>HYPERLINK("https%3A%2F%2Fwww.webofscience.com%2Fwos%2Fwoscc%2Ffull-record%2FWOS:000315001800055","View Full Record in Web of Science")</f>
        <v>View Full Record in Web of Science</v>
      </c>
    </row>
    <row r="418" ht="12.75" customHeight="1">
      <c r="A418" s="1" t="s">
        <v>72</v>
      </c>
      <c r="B418" s="1" t="s">
        <v>4354</v>
      </c>
      <c r="C418" s="1" t="s">
        <v>74</v>
      </c>
      <c r="D418" s="1" t="s">
        <v>74</v>
      </c>
      <c r="E418" s="1" t="s">
        <v>74</v>
      </c>
      <c r="F418" s="1" t="s">
        <v>4355</v>
      </c>
      <c r="G418" s="1" t="s">
        <v>74</v>
      </c>
      <c r="H418" s="1" t="s">
        <v>74</v>
      </c>
      <c r="I418" s="1" t="s">
        <v>4356</v>
      </c>
      <c r="J418" s="1" t="s">
        <v>4357</v>
      </c>
      <c r="K418" s="1" t="s">
        <v>74</v>
      </c>
      <c r="L418" s="1" t="s">
        <v>74</v>
      </c>
      <c r="M418" s="1" t="s">
        <v>74</v>
      </c>
      <c r="N418" s="1" t="s">
        <v>74</v>
      </c>
      <c r="O418" s="1" t="s">
        <v>74</v>
      </c>
      <c r="P418" s="1" t="s">
        <v>74</v>
      </c>
      <c r="Q418" s="1" t="s">
        <v>74</v>
      </c>
      <c r="R418" s="1" t="s">
        <v>74</v>
      </c>
      <c r="S418" s="1" t="s">
        <v>74</v>
      </c>
      <c r="T418" s="1" t="s">
        <v>74</v>
      </c>
      <c r="U418" s="1" t="s">
        <v>74</v>
      </c>
      <c r="V418" s="1" t="s">
        <v>4358</v>
      </c>
      <c r="W418" s="1" t="s">
        <v>74</v>
      </c>
      <c r="X418" s="1" t="s">
        <v>74</v>
      </c>
      <c r="Y418" s="1" t="s">
        <v>74</v>
      </c>
      <c r="Z418" s="1" t="s">
        <v>74</v>
      </c>
      <c r="AA418" s="1" t="s">
        <v>1612</v>
      </c>
      <c r="AB418" s="1" t="s">
        <v>1613</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4359</v>
      </c>
      <c r="AP418" s="1" t="s">
        <v>4360</v>
      </c>
      <c r="AQ418" s="1" t="s">
        <v>74</v>
      </c>
      <c r="AR418" s="1" t="s">
        <v>74</v>
      </c>
      <c r="AS418" s="1" t="s">
        <v>74</v>
      </c>
      <c r="AT418" s="1" t="s">
        <v>74</v>
      </c>
      <c r="AU418" s="1">
        <v>2006.0</v>
      </c>
      <c r="AV418" s="1">
        <v>38.0</v>
      </c>
      <c r="AW418" s="1">
        <v>8.0</v>
      </c>
      <c r="AX418" s="1" t="s">
        <v>74</v>
      </c>
      <c r="AY418" s="1" t="s">
        <v>74</v>
      </c>
      <c r="AZ418" s="1" t="s">
        <v>74</v>
      </c>
      <c r="BA418" s="1" t="s">
        <v>74</v>
      </c>
      <c r="BB418" s="1">
        <v>1637.0</v>
      </c>
      <c r="BC418" s="1">
        <v>1641.0</v>
      </c>
      <c r="BD418" s="1" t="s">
        <v>74</v>
      </c>
      <c r="BE418" s="1" t="s">
        <v>4361</v>
      </c>
      <c r="BF418" s="2" t="str">
        <f>HYPERLINK("http://dx.doi.org/10.1016/j.asr.2005.09.042","http://dx.doi.org/10.1016/j.asr.2005.09.042")</f>
        <v>http://dx.doi.org/10.1016/j.asr.2005.09.042</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4362</v>
      </c>
      <c r="BT418" s="1" t="str">
        <f>HYPERLINK("https%3A%2F%2Fwww.webofscience.com%2Fwos%2Fwoscc%2Ffull-record%2FWOS:000202988500011","View Full Record in Web of Science")</f>
        <v>View Full Record in Web of Science</v>
      </c>
    </row>
    <row r="419" ht="12.75" customHeight="1">
      <c r="A419" s="1" t="s">
        <v>72</v>
      </c>
      <c r="B419" s="1" t="s">
        <v>4363</v>
      </c>
      <c r="C419" s="1" t="s">
        <v>74</v>
      </c>
      <c r="D419" s="1" t="s">
        <v>74</v>
      </c>
      <c r="E419" s="1" t="s">
        <v>74</v>
      </c>
      <c r="F419" s="1" t="s">
        <v>4363</v>
      </c>
      <c r="G419" s="1" t="s">
        <v>74</v>
      </c>
      <c r="H419" s="1" t="s">
        <v>74</v>
      </c>
      <c r="I419" s="1" t="s">
        <v>4364</v>
      </c>
      <c r="J419" s="1" t="s">
        <v>171</v>
      </c>
      <c r="K419" s="1" t="s">
        <v>74</v>
      </c>
      <c r="L419" s="1" t="s">
        <v>74</v>
      </c>
      <c r="M419" s="1" t="s">
        <v>74</v>
      </c>
      <c r="N419" s="1" t="s">
        <v>74</v>
      </c>
      <c r="O419" s="1" t="s">
        <v>74</v>
      </c>
      <c r="P419" s="1" t="s">
        <v>74</v>
      </c>
      <c r="Q419" s="1" t="s">
        <v>74</v>
      </c>
      <c r="R419" s="1" t="s">
        <v>74</v>
      </c>
      <c r="S419" s="1" t="s">
        <v>74</v>
      </c>
      <c r="T419" s="1" t="s">
        <v>74</v>
      </c>
      <c r="U419" s="1" t="s">
        <v>74</v>
      </c>
      <c r="V419" s="1" t="s">
        <v>4365</v>
      </c>
      <c r="W419" s="1" t="s">
        <v>74</v>
      </c>
      <c r="X419" s="1" t="s">
        <v>74</v>
      </c>
      <c r="Y419" s="1" t="s">
        <v>74</v>
      </c>
      <c r="Z419" s="1" t="s">
        <v>74</v>
      </c>
      <c r="AA419" s="1" t="s">
        <v>4366</v>
      </c>
      <c r="AB419" s="1" t="s">
        <v>2662</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175</v>
      </c>
      <c r="AP419" s="1" t="s">
        <v>4367</v>
      </c>
      <c r="AQ419" s="1" t="s">
        <v>74</v>
      </c>
      <c r="AR419" s="1" t="s">
        <v>74</v>
      </c>
      <c r="AS419" s="1" t="s">
        <v>74</v>
      </c>
      <c r="AT419" s="1" t="s">
        <v>151</v>
      </c>
      <c r="AU419" s="1">
        <v>2004.0</v>
      </c>
      <c r="AV419" s="1">
        <v>16.0</v>
      </c>
      <c r="AW419" s="1">
        <v>19.0</v>
      </c>
      <c r="AX419" s="1" t="s">
        <v>74</v>
      </c>
      <c r="AY419" s="1" t="s">
        <v>74</v>
      </c>
      <c r="AZ419" s="1" t="s">
        <v>74</v>
      </c>
      <c r="BA419" s="1" t="s">
        <v>74</v>
      </c>
      <c r="BB419" s="1">
        <v>1632.0</v>
      </c>
      <c r="BC419" s="1">
        <v>1636.0</v>
      </c>
      <c r="BD419" s="1" t="s">
        <v>74</v>
      </c>
      <c r="BE419" s="1" t="s">
        <v>4368</v>
      </c>
      <c r="BF419" s="2" t="str">
        <f>HYPERLINK("http://dx.doi.org/10.1002/elan.200403038","http://dx.doi.org/10.1002/elan.200403038")</f>
        <v>http://dx.doi.org/10.1002/elan.200403038</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4369</v>
      </c>
      <c r="BT419" s="1" t="str">
        <f>HYPERLINK("https%3A%2F%2Fwww.webofscience.com%2Fwos%2Fwoscc%2Ffull-record%2FWOS:000224517400012","View Full Record in Web of Science")</f>
        <v>View Full Record in Web of Science</v>
      </c>
    </row>
    <row r="420" ht="12.75" customHeight="1">
      <c r="A420" s="1" t="s">
        <v>72</v>
      </c>
      <c r="B420" s="1" t="s">
        <v>4370</v>
      </c>
      <c r="C420" s="1" t="s">
        <v>74</v>
      </c>
      <c r="D420" s="1" t="s">
        <v>74</v>
      </c>
      <c r="E420" s="1" t="s">
        <v>74</v>
      </c>
      <c r="F420" s="1" t="s">
        <v>4370</v>
      </c>
      <c r="G420" s="1" t="s">
        <v>74</v>
      </c>
      <c r="H420" s="1" t="s">
        <v>74</v>
      </c>
      <c r="I420" s="1" t="s">
        <v>4371</v>
      </c>
      <c r="J420" s="1" t="s">
        <v>583</v>
      </c>
      <c r="K420" s="1" t="s">
        <v>74</v>
      </c>
      <c r="L420" s="1" t="s">
        <v>74</v>
      </c>
      <c r="M420" s="1" t="s">
        <v>74</v>
      </c>
      <c r="N420" s="1" t="s">
        <v>74</v>
      </c>
      <c r="O420" s="1" t="s">
        <v>74</v>
      </c>
      <c r="P420" s="1" t="s">
        <v>74</v>
      </c>
      <c r="Q420" s="1" t="s">
        <v>74</v>
      </c>
      <c r="R420" s="1" t="s">
        <v>74</v>
      </c>
      <c r="S420" s="1" t="s">
        <v>74</v>
      </c>
      <c r="T420" s="1" t="s">
        <v>74</v>
      </c>
      <c r="U420" s="1" t="s">
        <v>74</v>
      </c>
      <c r="V420" s="1" t="s">
        <v>4372</v>
      </c>
      <c r="W420" s="1" t="s">
        <v>74</v>
      </c>
      <c r="X420" s="1" t="s">
        <v>74</v>
      </c>
      <c r="Y420" s="1" t="s">
        <v>74</v>
      </c>
      <c r="Z420" s="1" t="s">
        <v>74</v>
      </c>
      <c r="AA420" s="1" t="s">
        <v>4373</v>
      </c>
      <c r="AB420" s="1" t="s">
        <v>4374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587</v>
      </c>
      <c r="AP420" s="1" t="s">
        <v>74</v>
      </c>
      <c r="AQ420" s="1" t="s">
        <v>74</v>
      </c>
      <c r="AR420" s="1" t="s">
        <v>74</v>
      </c>
      <c r="AS420" s="1" t="s">
        <v>74</v>
      </c>
      <c r="AT420" s="1" t="s">
        <v>74</v>
      </c>
      <c r="AU420" s="1">
        <v>2001.0</v>
      </c>
      <c r="AV420" s="1">
        <v>54.0</v>
      </c>
      <c r="AW420" s="1" t="s">
        <v>2143</v>
      </c>
      <c r="AX420" s="1" t="s">
        <v>74</v>
      </c>
      <c r="AY420" s="1" t="s">
        <v>74</v>
      </c>
      <c r="AZ420" s="1" t="s">
        <v>74</v>
      </c>
      <c r="BA420" s="1" t="s">
        <v>74</v>
      </c>
      <c r="BB420" s="1">
        <v>247.0</v>
      </c>
      <c r="BC420" s="1">
        <v>259.0</v>
      </c>
      <c r="BD420" s="1" t="s">
        <v>74</v>
      </c>
      <c r="BE420" s="1" t="s">
        <v>4375</v>
      </c>
      <c r="BF420" s="2" t="str">
        <f>HYPERLINK("http://dx.doi.org/10.1080/00958970108022638","http://dx.doi.org/10.1080/00958970108022638")</f>
        <v>http://dx.doi.org/10.1080/00958970108022638</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4376</v>
      </c>
      <c r="BT420" s="1" t="str">
        <f>HYPERLINK("https%3A%2F%2Fwww.webofscience.com%2Fwos%2Fwoscc%2Ffull-record%2FWOS:000172387600005","View Full Record in Web of Science")</f>
        <v>View Full Record in Web of Science</v>
      </c>
    </row>
    <row r="421" ht="12.75" customHeight="1">
      <c r="A421" s="1" t="s">
        <v>72</v>
      </c>
      <c r="B421" s="1" t="s">
        <v>4377</v>
      </c>
      <c r="C421" s="1" t="s">
        <v>74</v>
      </c>
      <c r="D421" s="1" t="s">
        <v>74</v>
      </c>
      <c r="E421" s="1" t="s">
        <v>74</v>
      </c>
      <c r="F421" s="1" t="s">
        <v>4378</v>
      </c>
      <c r="G421" s="1" t="s">
        <v>74</v>
      </c>
      <c r="H421" s="1" t="s">
        <v>74</v>
      </c>
      <c r="I421" s="1" t="s">
        <v>4379</v>
      </c>
      <c r="J421" s="1" t="s">
        <v>1517</v>
      </c>
      <c r="K421" s="1" t="s">
        <v>74</v>
      </c>
      <c r="L421" s="1" t="s">
        <v>74</v>
      </c>
      <c r="M421" s="1" t="s">
        <v>74</v>
      </c>
      <c r="N421" s="1" t="s">
        <v>74</v>
      </c>
      <c r="O421" s="1" t="s">
        <v>74</v>
      </c>
      <c r="P421" s="1" t="s">
        <v>74</v>
      </c>
      <c r="Q421" s="1" t="s">
        <v>74</v>
      </c>
      <c r="R421" s="1" t="s">
        <v>74</v>
      </c>
      <c r="S421" s="1" t="s">
        <v>74</v>
      </c>
      <c r="T421" s="1" t="s">
        <v>74</v>
      </c>
      <c r="U421" s="1" t="s">
        <v>74</v>
      </c>
      <c r="V421" s="1" t="s">
        <v>4380</v>
      </c>
      <c r="W421" s="1" t="s">
        <v>74</v>
      </c>
      <c r="X421" s="1" t="s">
        <v>74</v>
      </c>
      <c r="Y421" s="1" t="s">
        <v>74</v>
      </c>
      <c r="Z421" s="1" t="s">
        <v>74</v>
      </c>
      <c r="AA421" s="1" t="s">
        <v>4381</v>
      </c>
      <c r="AB421" s="1" t="s">
        <v>4382</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1521</v>
      </c>
      <c r="AP421" s="1" t="s">
        <v>1522</v>
      </c>
      <c r="AQ421" s="1" t="s">
        <v>74</v>
      </c>
      <c r="AR421" s="1" t="s">
        <v>74</v>
      </c>
      <c r="AS421" s="1" t="s">
        <v>74</v>
      </c>
      <c r="AT421" s="1" t="s">
        <v>4383</v>
      </c>
      <c r="AU421" s="1">
        <v>2023.0</v>
      </c>
      <c r="AV421" s="1">
        <v>466.0</v>
      </c>
      <c r="AW421" s="1" t="s">
        <v>74</v>
      </c>
      <c r="AX421" s="1" t="s">
        <v>74</v>
      </c>
      <c r="AY421" s="1" t="s">
        <v>74</v>
      </c>
      <c r="AZ421" s="1" t="s">
        <v>74</v>
      </c>
      <c r="BA421" s="1" t="s">
        <v>74</v>
      </c>
      <c r="BB421" s="1" t="s">
        <v>74</v>
      </c>
      <c r="BC421" s="1" t="s">
        <v>74</v>
      </c>
      <c r="BD421" s="1">
        <v>143060.0</v>
      </c>
      <c r="BE421" s="1" t="s">
        <v>4384</v>
      </c>
      <c r="BF421" s="2" t="str">
        <f>HYPERLINK("http://dx.doi.org/10.1016/j.electacta.2023.143060","http://dx.doi.org/10.1016/j.electacta.2023.143060")</f>
        <v>http://dx.doi.org/10.1016/j.electacta.2023.143060</v>
      </c>
      <c r="BG421" s="1" t="s">
        <v>74</v>
      </c>
      <c r="BH421" s="1" t="s">
        <v>4385</v>
      </c>
      <c r="BI421" s="1" t="s">
        <v>74</v>
      </c>
      <c r="BJ421" s="1" t="s">
        <v>74</v>
      </c>
      <c r="BK421" s="1" t="s">
        <v>74</v>
      </c>
      <c r="BL421" s="1" t="s">
        <v>74</v>
      </c>
      <c r="BM421" s="1" t="s">
        <v>74</v>
      </c>
      <c r="BN421" s="1" t="s">
        <v>74</v>
      </c>
      <c r="BO421" s="1" t="s">
        <v>74</v>
      </c>
      <c r="BP421" s="1" t="s">
        <v>74</v>
      </c>
      <c r="BQ421" s="1" t="s">
        <v>74</v>
      </c>
      <c r="BR421" s="1" t="s">
        <v>74</v>
      </c>
      <c r="BS421" s="1" t="s">
        <v>4386</v>
      </c>
      <c r="BT421" s="1" t="str">
        <f>HYPERLINK("https%3A%2F%2Fwww.webofscience.com%2Fwos%2Fwoscc%2Ffull-record%2FWOS:001065180200001","View Full Record in Web of Science")</f>
        <v>View Full Record in Web of Science</v>
      </c>
    </row>
    <row r="422" ht="12.75" customHeight="1">
      <c r="A422" s="1" t="s">
        <v>72</v>
      </c>
      <c r="B422" s="1" t="s">
        <v>4387</v>
      </c>
      <c r="C422" s="1" t="s">
        <v>74</v>
      </c>
      <c r="D422" s="1" t="s">
        <v>74</v>
      </c>
      <c r="E422" s="1" t="s">
        <v>74</v>
      </c>
      <c r="F422" s="1" t="s">
        <v>4388</v>
      </c>
      <c r="G422" s="1" t="s">
        <v>74</v>
      </c>
      <c r="H422" s="1" t="s">
        <v>74</v>
      </c>
      <c r="I422" s="1" t="s">
        <v>4389</v>
      </c>
      <c r="J422" s="1" t="s">
        <v>3081</v>
      </c>
      <c r="K422" s="1" t="s">
        <v>74</v>
      </c>
      <c r="L422" s="1" t="s">
        <v>74</v>
      </c>
      <c r="M422" s="1" t="s">
        <v>74</v>
      </c>
      <c r="N422" s="1" t="s">
        <v>74</v>
      </c>
      <c r="O422" s="1" t="s">
        <v>74</v>
      </c>
      <c r="P422" s="1" t="s">
        <v>74</v>
      </c>
      <c r="Q422" s="1" t="s">
        <v>74</v>
      </c>
      <c r="R422" s="1" t="s">
        <v>74</v>
      </c>
      <c r="S422" s="1" t="s">
        <v>74</v>
      </c>
      <c r="T422" s="1" t="s">
        <v>74</v>
      </c>
      <c r="U422" s="1" t="s">
        <v>74</v>
      </c>
      <c r="V422" s="1" t="s">
        <v>4390</v>
      </c>
      <c r="W422" s="1" t="s">
        <v>74</v>
      </c>
      <c r="X422" s="1" t="s">
        <v>74</v>
      </c>
      <c r="Y422" s="1" t="s">
        <v>74</v>
      </c>
      <c r="Z422" s="1" t="s">
        <v>74</v>
      </c>
      <c r="AA422" s="1" t="s">
        <v>4391</v>
      </c>
      <c r="AB422" s="1" t="s">
        <v>4392</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3085</v>
      </c>
      <c r="AP422" s="1" t="s">
        <v>3086</v>
      </c>
      <c r="AQ422" s="1" t="s">
        <v>74</v>
      </c>
      <c r="AR422" s="1" t="s">
        <v>74</v>
      </c>
      <c r="AS422" s="1" t="s">
        <v>74</v>
      </c>
      <c r="AT422" s="1" t="s">
        <v>187</v>
      </c>
      <c r="AU422" s="1">
        <v>2023.0</v>
      </c>
      <c r="AV422" s="1">
        <v>56.0</v>
      </c>
      <c r="AW422" s="1">
        <v>1.0</v>
      </c>
      <c r="AX422" s="1" t="s">
        <v>74</v>
      </c>
      <c r="AY422" s="1" t="s">
        <v>74</v>
      </c>
      <c r="AZ422" s="1" t="s">
        <v>74</v>
      </c>
      <c r="BA422" s="1" t="s">
        <v>74</v>
      </c>
      <c r="BB422" s="1" t="s">
        <v>74</v>
      </c>
      <c r="BC422" s="1" t="s">
        <v>74</v>
      </c>
      <c r="BD422" s="1">
        <v>43.0</v>
      </c>
      <c r="BE422" s="1" t="s">
        <v>4393</v>
      </c>
      <c r="BF422" s="2" t="str">
        <f>HYPERLINK("http://dx.doi.org/10.1186/s40659-023-00453-2","http://dx.doi.org/10.1186/s40659-023-00453-2")</f>
        <v>http://dx.doi.org/10.1186/s40659-023-00453-2</v>
      </c>
      <c r="BG422" s="1" t="s">
        <v>74</v>
      </c>
      <c r="BH422" s="1" t="s">
        <v>74</v>
      </c>
      <c r="BI422" s="1" t="s">
        <v>74</v>
      </c>
      <c r="BJ422" s="1" t="s">
        <v>74</v>
      </c>
      <c r="BK422" s="1" t="s">
        <v>74</v>
      </c>
      <c r="BL422" s="1" t="s">
        <v>74</v>
      </c>
      <c r="BM422" s="1" t="s">
        <v>74</v>
      </c>
      <c r="BN422" s="1">
        <v>3.7507753E7</v>
      </c>
      <c r="BO422" s="1" t="s">
        <v>74</v>
      </c>
      <c r="BP422" s="1" t="s">
        <v>74</v>
      </c>
      <c r="BQ422" s="1" t="s">
        <v>74</v>
      </c>
      <c r="BR422" s="1" t="s">
        <v>74</v>
      </c>
      <c r="BS422" s="1" t="s">
        <v>4394</v>
      </c>
      <c r="BT422" s="1" t="str">
        <f>HYPERLINK("https%3A%2F%2Fwww.webofscience.com%2Fwos%2Fwoscc%2Ffull-record%2FWOS:001037446700001","View Full Record in Web of Science")</f>
        <v>View Full Record in Web of Science</v>
      </c>
    </row>
    <row r="423" ht="12.75" customHeight="1">
      <c r="A423" s="1" t="s">
        <v>72</v>
      </c>
      <c r="B423" s="1" t="s">
        <v>4395</v>
      </c>
      <c r="C423" s="1" t="s">
        <v>74</v>
      </c>
      <c r="D423" s="1" t="s">
        <v>74</v>
      </c>
      <c r="E423" s="1" t="s">
        <v>74</v>
      </c>
      <c r="F423" s="1" t="s">
        <v>4396</v>
      </c>
      <c r="G423" s="1" t="s">
        <v>74</v>
      </c>
      <c r="H423" s="1" t="s">
        <v>74</v>
      </c>
      <c r="I423" s="1" t="s">
        <v>4397</v>
      </c>
      <c r="J423" s="1" t="s">
        <v>4398</v>
      </c>
      <c r="K423" s="1" t="s">
        <v>74</v>
      </c>
      <c r="L423" s="1" t="s">
        <v>74</v>
      </c>
      <c r="M423" s="1" t="s">
        <v>74</v>
      </c>
      <c r="N423" s="1" t="s">
        <v>74</v>
      </c>
      <c r="O423" s="1" t="s">
        <v>74</v>
      </c>
      <c r="P423" s="1" t="s">
        <v>74</v>
      </c>
      <c r="Q423" s="1" t="s">
        <v>74</v>
      </c>
      <c r="R423" s="1" t="s">
        <v>74</v>
      </c>
      <c r="S423" s="1" t="s">
        <v>74</v>
      </c>
      <c r="T423" s="1" t="s">
        <v>74</v>
      </c>
      <c r="U423" s="1" t="s">
        <v>74</v>
      </c>
      <c r="V423" s="1" t="s">
        <v>4399</v>
      </c>
      <c r="W423" s="1" t="s">
        <v>74</v>
      </c>
      <c r="X423" s="1" t="s">
        <v>74</v>
      </c>
      <c r="Y423" s="1" t="s">
        <v>74</v>
      </c>
      <c r="Z423" s="1" t="s">
        <v>74</v>
      </c>
      <c r="AA423" s="1" t="s">
        <v>4400</v>
      </c>
      <c r="AB423" s="1" t="s">
        <v>4401</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4402</v>
      </c>
      <c r="AP423" s="1" t="s">
        <v>4403</v>
      </c>
      <c r="AQ423" s="1" t="s">
        <v>74</v>
      </c>
      <c r="AR423" s="1" t="s">
        <v>74</v>
      </c>
      <c r="AS423" s="1" t="s">
        <v>74</v>
      </c>
      <c r="AT423" s="1" t="s">
        <v>4404</v>
      </c>
      <c r="AU423" s="1">
        <v>2023.0</v>
      </c>
      <c r="AV423" s="1">
        <v>484.0</v>
      </c>
      <c r="AW423" s="1" t="s">
        <v>74</v>
      </c>
      <c r="AX423" s="1" t="s">
        <v>74</v>
      </c>
      <c r="AY423" s="1" t="s">
        <v>74</v>
      </c>
      <c r="AZ423" s="1" t="s">
        <v>74</v>
      </c>
      <c r="BA423" s="1" t="s">
        <v>74</v>
      </c>
      <c r="BB423" s="1" t="s">
        <v>74</v>
      </c>
      <c r="BC423" s="1" t="s">
        <v>74</v>
      </c>
      <c r="BD423" s="1">
        <v>112086.0</v>
      </c>
      <c r="BE423" s="1" t="s">
        <v>4405</v>
      </c>
      <c r="BF423" s="2" t="str">
        <f>HYPERLINK("http://dx.doi.org/10.1016/j.jcp.2023.112086","http://dx.doi.org/10.1016/j.jcp.2023.112086")</f>
        <v>http://dx.doi.org/10.1016/j.jcp.2023.112086</v>
      </c>
      <c r="BG423" s="1" t="s">
        <v>74</v>
      </c>
      <c r="BH423" s="1" t="s">
        <v>4406</v>
      </c>
      <c r="BI423" s="1" t="s">
        <v>74</v>
      </c>
      <c r="BJ423" s="1" t="s">
        <v>74</v>
      </c>
      <c r="BK423" s="1" t="s">
        <v>74</v>
      </c>
      <c r="BL423" s="1" t="s">
        <v>74</v>
      </c>
      <c r="BM423" s="1" t="s">
        <v>74</v>
      </c>
      <c r="BN423" s="1" t="s">
        <v>74</v>
      </c>
      <c r="BO423" s="1" t="s">
        <v>74</v>
      </c>
      <c r="BP423" s="1" t="s">
        <v>74</v>
      </c>
      <c r="BQ423" s="1" t="s">
        <v>74</v>
      </c>
      <c r="BR423" s="1" t="s">
        <v>74</v>
      </c>
      <c r="BS423" s="1" t="s">
        <v>4407</v>
      </c>
      <c r="BT423" s="1" t="str">
        <f>HYPERLINK("https%3A%2F%2Fwww.webofscience.com%2Fwos%2Fwoscc%2Ffull-record%2FWOS:000971378400001","View Full Record in Web of Science")</f>
        <v>View Full Record in Web of Science</v>
      </c>
    </row>
    <row r="424" ht="12.75" customHeight="1">
      <c r="A424" s="1" t="s">
        <v>72</v>
      </c>
      <c r="B424" s="1" t="s">
        <v>4408</v>
      </c>
      <c r="C424" s="1" t="s">
        <v>74</v>
      </c>
      <c r="D424" s="1" t="s">
        <v>74</v>
      </c>
      <c r="E424" s="1" t="s">
        <v>74</v>
      </c>
      <c r="F424" s="1" t="s">
        <v>4409</v>
      </c>
      <c r="G424" s="1" t="s">
        <v>74</v>
      </c>
      <c r="H424" s="1" t="s">
        <v>74</v>
      </c>
      <c r="I424" s="1" t="s">
        <v>4410</v>
      </c>
      <c r="J424" s="1" t="s">
        <v>1571</v>
      </c>
      <c r="K424" s="1" t="s">
        <v>74</v>
      </c>
      <c r="L424" s="1" t="s">
        <v>74</v>
      </c>
      <c r="M424" s="1" t="s">
        <v>74</v>
      </c>
      <c r="N424" s="1" t="s">
        <v>74</v>
      </c>
      <c r="O424" s="1" t="s">
        <v>74</v>
      </c>
      <c r="P424" s="1" t="s">
        <v>74</v>
      </c>
      <c r="Q424" s="1" t="s">
        <v>74</v>
      </c>
      <c r="R424" s="1" t="s">
        <v>74</v>
      </c>
      <c r="S424" s="1" t="s">
        <v>74</v>
      </c>
      <c r="T424" s="1" t="s">
        <v>74</v>
      </c>
      <c r="U424" s="1" t="s">
        <v>74</v>
      </c>
      <c r="V424" s="1" t="s">
        <v>4411</v>
      </c>
      <c r="W424" s="1" t="s">
        <v>74</v>
      </c>
      <c r="X424" s="1" t="s">
        <v>74</v>
      </c>
      <c r="Y424" s="1" t="s">
        <v>74</v>
      </c>
      <c r="Z424" s="1" t="s">
        <v>74</v>
      </c>
      <c r="AA424" s="1" t="s">
        <v>4412</v>
      </c>
      <c r="AB424" s="1" t="s">
        <v>4413</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74</v>
      </c>
      <c r="AP424" s="1" t="s">
        <v>1575</v>
      </c>
      <c r="AQ424" s="1" t="s">
        <v>74</v>
      </c>
      <c r="AR424" s="1" t="s">
        <v>74</v>
      </c>
      <c r="AS424" s="1" t="s">
        <v>74</v>
      </c>
      <c r="AT424" s="1" t="s">
        <v>151</v>
      </c>
      <c r="AU424" s="1">
        <v>2022.0</v>
      </c>
      <c r="AV424" s="1">
        <v>14.0</v>
      </c>
      <c r="AW424" s="1">
        <v>19.0</v>
      </c>
      <c r="AX424" s="1" t="s">
        <v>74</v>
      </c>
      <c r="AY424" s="1" t="s">
        <v>74</v>
      </c>
      <c r="AZ424" s="1" t="s">
        <v>74</v>
      </c>
      <c r="BA424" s="1" t="s">
        <v>74</v>
      </c>
      <c r="BB424" s="1" t="s">
        <v>74</v>
      </c>
      <c r="BC424" s="1" t="s">
        <v>74</v>
      </c>
      <c r="BD424" s="1">
        <v>12754.0</v>
      </c>
      <c r="BE424" s="1" t="s">
        <v>4414</v>
      </c>
      <c r="BF424" s="2" t="str">
        <f>HYPERLINK("http://dx.doi.org/10.3390/su141912754","http://dx.doi.org/10.3390/su141912754")</f>
        <v>http://dx.doi.org/10.3390/su141912754</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4415</v>
      </c>
      <c r="BT424" s="1" t="str">
        <f>HYPERLINK("https%3A%2F%2Fwww.webofscience.com%2Fwos%2Fwoscc%2Ffull-record%2FWOS:000867215700001","View Full Record in Web of Science")</f>
        <v>View Full Record in Web of Science</v>
      </c>
    </row>
    <row r="425" ht="12.75" customHeight="1">
      <c r="A425" s="1" t="s">
        <v>72</v>
      </c>
      <c r="B425" s="1" t="s">
        <v>4416</v>
      </c>
      <c r="C425" s="1" t="s">
        <v>74</v>
      </c>
      <c r="D425" s="1" t="s">
        <v>74</v>
      </c>
      <c r="E425" s="1" t="s">
        <v>74</v>
      </c>
      <c r="F425" s="1" t="s">
        <v>4417</v>
      </c>
      <c r="G425" s="1" t="s">
        <v>74</v>
      </c>
      <c r="H425" s="1" t="s">
        <v>74</v>
      </c>
      <c r="I425" s="1" t="s">
        <v>4418</v>
      </c>
      <c r="J425" s="1" t="s">
        <v>3926</v>
      </c>
      <c r="K425" s="1" t="s">
        <v>74</v>
      </c>
      <c r="L425" s="1" t="s">
        <v>74</v>
      </c>
      <c r="M425" s="1" t="s">
        <v>74</v>
      </c>
      <c r="N425" s="1" t="s">
        <v>74</v>
      </c>
      <c r="O425" s="1" t="s">
        <v>74</v>
      </c>
      <c r="P425" s="1" t="s">
        <v>74</v>
      </c>
      <c r="Q425" s="1" t="s">
        <v>74</v>
      </c>
      <c r="R425" s="1" t="s">
        <v>74</v>
      </c>
      <c r="S425" s="1" t="s">
        <v>74</v>
      </c>
      <c r="T425" s="1" t="s">
        <v>74</v>
      </c>
      <c r="U425" s="1" t="s">
        <v>74</v>
      </c>
      <c r="V425" s="1" t="s">
        <v>4419</v>
      </c>
      <c r="W425" s="1" t="s">
        <v>74</v>
      </c>
      <c r="X425" s="1" t="s">
        <v>74</v>
      </c>
      <c r="Y425" s="1" t="s">
        <v>74</v>
      </c>
      <c r="Z425" s="1" t="s">
        <v>74</v>
      </c>
      <c r="AA425" s="1" t="s">
        <v>4420</v>
      </c>
      <c r="AB425" s="1" t="s">
        <v>4421</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3930</v>
      </c>
      <c r="AP425" s="1" t="s">
        <v>3931</v>
      </c>
      <c r="AQ425" s="1" t="s">
        <v>74</v>
      </c>
      <c r="AR425" s="1" t="s">
        <v>74</v>
      </c>
      <c r="AS425" s="1" t="s">
        <v>74</v>
      </c>
      <c r="AT425" s="1" t="s">
        <v>94</v>
      </c>
      <c r="AU425" s="1">
        <v>2022.0</v>
      </c>
      <c r="AV425" s="1">
        <v>164.0</v>
      </c>
      <c r="AW425" s="1" t="s">
        <v>74</v>
      </c>
      <c r="AX425" s="1" t="s">
        <v>74</v>
      </c>
      <c r="AY425" s="1" t="s">
        <v>74</v>
      </c>
      <c r="AZ425" s="1" t="s">
        <v>74</v>
      </c>
      <c r="BA425" s="1" t="s">
        <v>74</v>
      </c>
      <c r="BB425" s="1" t="s">
        <v>74</v>
      </c>
      <c r="BC425" s="1" t="s">
        <v>74</v>
      </c>
      <c r="BD425" s="1">
        <v>110646.0</v>
      </c>
      <c r="BE425" s="1" t="s">
        <v>4422</v>
      </c>
      <c r="BF425" s="2" t="str">
        <f>HYPERLINK("http://dx.doi.org/10.1016/j.jpcs.2022.110646","http://dx.doi.org/10.1016/j.jpcs.2022.110646")</f>
        <v>http://dx.doi.org/10.1016/j.jpcs.2022.110646</v>
      </c>
      <c r="BG425" s="1" t="s">
        <v>74</v>
      </c>
      <c r="BH425" s="1" t="s">
        <v>4423</v>
      </c>
      <c r="BI425" s="1" t="s">
        <v>74</v>
      </c>
      <c r="BJ425" s="1" t="s">
        <v>74</v>
      </c>
      <c r="BK425" s="1" t="s">
        <v>74</v>
      </c>
      <c r="BL425" s="1" t="s">
        <v>74</v>
      </c>
      <c r="BM425" s="1" t="s">
        <v>74</v>
      </c>
      <c r="BN425" s="1" t="s">
        <v>74</v>
      </c>
      <c r="BO425" s="1" t="s">
        <v>74</v>
      </c>
      <c r="BP425" s="1" t="s">
        <v>74</v>
      </c>
      <c r="BQ425" s="1" t="s">
        <v>74</v>
      </c>
      <c r="BR425" s="1" t="s">
        <v>74</v>
      </c>
      <c r="BS425" s="1" t="s">
        <v>4424</v>
      </c>
      <c r="BT425" s="1" t="str">
        <f>HYPERLINK("https%3A%2F%2Fwww.webofscience.com%2Fwos%2Fwoscc%2Ffull-record%2FWOS:000777863100006","View Full Record in Web of Science")</f>
        <v>View Full Record in Web of Science</v>
      </c>
    </row>
    <row r="426" ht="12.75" customHeight="1">
      <c r="A426" s="1" t="s">
        <v>72</v>
      </c>
      <c r="B426" s="1" t="s">
        <v>4425</v>
      </c>
      <c r="C426" s="1" t="s">
        <v>74</v>
      </c>
      <c r="D426" s="1" t="s">
        <v>74</v>
      </c>
      <c r="E426" s="1" t="s">
        <v>74</v>
      </c>
      <c r="F426" s="1" t="s">
        <v>4426</v>
      </c>
      <c r="G426" s="1" t="s">
        <v>74</v>
      </c>
      <c r="H426" s="1" t="s">
        <v>74</v>
      </c>
      <c r="I426" s="1" t="s">
        <v>4427</v>
      </c>
      <c r="J426" s="1" t="s">
        <v>1590</v>
      </c>
      <c r="K426" s="1" t="s">
        <v>74</v>
      </c>
      <c r="L426" s="1" t="s">
        <v>74</v>
      </c>
      <c r="M426" s="1" t="s">
        <v>74</v>
      </c>
      <c r="N426" s="1" t="s">
        <v>74</v>
      </c>
      <c r="O426" s="1" t="s">
        <v>74</v>
      </c>
      <c r="P426" s="1" t="s">
        <v>74</v>
      </c>
      <c r="Q426" s="1" t="s">
        <v>74</v>
      </c>
      <c r="R426" s="1" t="s">
        <v>74</v>
      </c>
      <c r="S426" s="1" t="s">
        <v>74</v>
      </c>
      <c r="T426" s="1" t="s">
        <v>74</v>
      </c>
      <c r="U426" s="1" t="s">
        <v>74</v>
      </c>
      <c r="V426" s="1" t="s">
        <v>4428</v>
      </c>
      <c r="W426" s="1" t="s">
        <v>74</v>
      </c>
      <c r="X426" s="1" t="s">
        <v>74</v>
      </c>
      <c r="Y426" s="1" t="s">
        <v>74</v>
      </c>
      <c r="Z426" s="1" t="s">
        <v>74</v>
      </c>
      <c r="AA426" s="1" t="s">
        <v>4429</v>
      </c>
      <c r="AB426" s="1" t="s">
        <v>4430</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74</v>
      </c>
      <c r="AP426" s="1" t="s">
        <v>1594</v>
      </c>
      <c r="AQ426" s="1" t="s">
        <v>74</v>
      </c>
      <c r="AR426" s="1" t="s">
        <v>74</v>
      </c>
      <c r="AS426" s="1" t="s">
        <v>74</v>
      </c>
      <c r="AT426" s="1" t="s">
        <v>176</v>
      </c>
      <c r="AU426" s="1">
        <v>2021.0</v>
      </c>
      <c r="AV426" s="1">
        <v>11.0</v>
      </c>
      <c r="AW426" s="1">
        <v>3.0</v>
      </c>
      <c r="AX426" s="1" t="s">
        <v>74</v>
      </c>
      <c r="AY426" s="1" t="s">
        <v>74</v>
      </c>
      <c r="AZ426" s="1" t="s">
        <v>74</v>
      </c>
      <c r="BA426" s="1" t="s">
        <v>74</v>
      </c>
      <c r="BB426" s="1" t="s">
        <v>74</v>
      </c>
      <c r="BC426" s="1" t="s">
        <v>74</v>
      </c>
      <c r="BD426" s="1">
        <v>718.0</v>
      </c>
      <c r="BE426" s="1" t="s">
        <v>4431</v>
      </c>
      <c r="BF426" s="2" t="str">
        <f>HYPERLINK("http://dx.doi.org/10.3390/nano11030718","http://dx.doi.org/10.3390/nano11030718")</f>
        <v>http://dx.doi.org/10.3390/nano11030718</v>
      </c>
      <c r="BG426" s="1" t="s">
        <v>74</v>
      </c>
      <c r="BH426" s="1" t="s">
        <v>74</v>
      </c>
      <c r="BI426" s="1" t="s">
        <v>74</v>
      </c>
      <c r="BJ426" s="1" t="s">
        <v>74</v>
      </c>
      <c r="BK426" s="1" t="s">
        <v>74</v>
      </c>
      <c r="BL426" s="1" t="s">
        <v>74</v>
      </c>
      <c r="BM426" s="1" t="s">
        <v>74</v>
      </c>
      <c r="BN426" s="1">
        <v>3.3809211E7</v>
      </c>
      <c r="BO426" s="1" t="s">
        <v>74</v>
      </c>
      <c r="BP426" s="1" t="s">
        <v>74</v>
      </c>
      <c r="BQ426" s="1" t="s">
        <v>74</v>
      </c>
      <c r="BR426" s="1" t="s">
        <v>74</v>
      </c>
      <c r="BS426" s="1" t="s">
        <v>4432</v>
      </c>
      <c r="BT426" s="1" t="str">
        <f>HYPERLINK("https%3A%2F%2Fwww.webofscience.com%2Fwos%2Fwoscc%2Ffull-record%2FWOS:000633990200001","View Full Record in Web of Science")</f>
        <v>View Full Record in Web of Science</v>
      </c>
    </row>
    <row r="427" ht="12.75" customHeight="1">
      <c r="A427" s="1" t="s">
        <v>72</v>
      </c>
      <c r="B427" s="1" t="s">
        <v>4433</v>
      </c>
      <c r="C427" s="1" t="s">
        <v>74</v>
      </c>
      <c r="D427" s="1" t="s">
        <v>74</v>
      </c>
      <c r="E427" s="1" t="s">
        <v>74</v>
      </c>
      <c r="F427" s="1" t="s">
        <v>4434</v>
      </c>
      <c r="G427" s="1" t="s">
        <v>74</v>
      </c>
      <c r="H427" s="1" t="s">
        <v>74</v>
      </c>
      <c r="I427" s="1" t="s">
        <v>4435</v>
      </c>
      <c r="J427" s="1" t="s">
        <v>1695</v>
      </c>
      <c r="K427" s="1" t="s">
        <v>74</v>
      </c>
      <c r="L427" s="1" t="s">
        <v>74</v>
      </c>
      <c r="M427" s="1" t="s">
        <v>74</v>
      </c>
      <c r="N427" s="1" t="s">
        <v>74</v>
      </c>
      <c r="O427" s="1" t="s">
        <v>74</v>
      </c>
      <c r="P427" s="1" t="s">
        <v>74</v>
      </c>
      <c r="Q427" s="1" t="s">
        <v>74</v>
      </c>
      <c r="R427" s="1" t="s">
        <v>74</v>
      </c>
      <c r="S427" s="1" t="s">
        <v>74</v>
      </c>
      <c r="T427" s="1" t="s">
        <v>74</v>
      </c>
      <c r="U427" s="1" t="s">
        <v>74</v>
      </c>
      <c r="V427" s="1" t="s">
        <v>4436</v>
      </c>
      <c r="W427" s="1" t="s">
        <v>74</v>
      </c>
      <c r="X427" s="1" t="s">
        <v>74</v>
      </c>
      <c r="Y427" s="1" t="s">
        <v>74</v>
      </c>
      <c r="Z427" s="1" t="s">
        <v>74</v>
      </c>
      <c r="AA427" s="1" t="s">
        <v>4437</v>
      </c>
      <c r="AB427" s="1" t="s">
        <v>4438</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74</v>
      </c>
      <c r="AP427" s="1" t="s">
        <v>1699</v>
      </c>
      <c r="AQ427" s="1" t="s">
        <v>74</v>
      </c>
      <c r="AR427" s="1" t="s">
        <v>74</v>
      </c>
      <c r="AS427" s="1" t="s">
        <v>74</v>
      </c>
      <c r="AT427" s="1" t="s">
        <v>385</v>
      </c>
      <c r="AU427" s="1">
        <v>2020.0</v>
      </c>
      <c r="AV427" s="1">
        <v>25.0</v>
      </c>
      <c r="AW427" s="1">
        <v>12.0</v>
      </c>
      <c r="AX427" s="1" t="s">
        <v>74</v>
      </c>
      <c r="AY427" s="1" t="s">
        <v>74</v>
      </c>
      <c r="AZ427" s="1" t="s">
        <v>74</v>
      </c>
      <c r="BA427" s="1" t="s">
        <v>74</v>
      </c>
      <c r="BB427" s="1" t="s">
        <v>74</v>
      </c>
      <c r="BC427" s="1" t="s">
        <v>74</v>
      </c>
      <c r="BD427" s="1">
        <v>2741.0</v>
      </c>
      <c r="BE427" s="1" t="s">
        <v>4439</v>
      </c>
      <c r="BF427" s="2" t="str">
        <f>HYPERLINK("http://dx.doi.org/10.3390/molecules25122741","http://dx.doi.org/10.3390/molecules25122741")</f>
        <v>http://dx.doi.org/10.3390/molecules25122741</v>
      </c>
      <c r="BG427" s="1" t="s">
        <v>74</v>
      </c>
      <c r="BH427" s="1" t="s">
        <v>74</v>
      </c>
      <c r="BI427" s="1" t="s">
        <v>74</v>
      </c>
      <c r="BJ427" s="1" t="s">
        <v>74</v>
      </c>
      <c r="BK427" s="1" t="s">
        <v>74</v>
      </c>
      <c r="BL427" s="1" t="s">
        <v>74</v>
      </c>
      <c r="BM427" s="1" t="s">
        <v>74</v>
      </c>
      <c r="BN427" s="1">
        <v>3.2545715E7</v>
      </c>
      <c r="BO427" s="1" t="s">
        <v>74</v>
      </c>
      <c r="BP427" s="1" t="s">
        <v>74</v>
      </c>
      <c r="BQ427" s="1" t="s">
        <v>74</v>
      </c>
      <c r="BR427" s="1" t="s">
        <v>74</v>
      </c>
      <c r="BS427" s="1" t="s">
        <v>4440</v>
      </c>
      <c r="BT427" s="1" t="str">
        <f>HYPERLINK("https%3A%2F%2Fwww.webofscience.com%2Fwos%2Fwoscc%2Ffull-record%2FWOS:000554012500001","View Full Record in Web of Science")</f>
        <v>View Full Record in Web of Science</v>
      </c>
    </row>
    <row r="428" ht="12.75" customHeight="1">
      <c r="A428" s="1" t="s">
        <v>72</v>
      </c>
      <c r="B428" s="1" t="s">
        <v>4441</v>
      </c>
      <c r="C428" s="1" t="s">
        <v>74</v>
      </c>
      <c r="D428" s="1" t="s">
        <v>74</v>
      </c>
      <c r="E428" s="1" t="s">
        <v>74</v>
      </c>
      <c r="F428" s="1" t="s">
        <v>4442</v>
      </c>
      <c r="G428" s="1" t="s">
        <v>74</v>
      </c>
      <c r="H428" s="1" t="s">
        <v>74</v>
      </c>
      <c r="I428" s="1" t="s">
        <v>4443</v>
      </c>
      <c r="J428" s="1" t="s">
        <v>4444</v>
      </c>
      <c r="K428" s="1" t="s">
        <v>74</v>
      </c>
      <c r="L428" s="1" t="s">
        <v>74</v>
      </c>
      <c r="M428" s="1" t="s">
        <v>74</v>
      </c>
      <c r="N428" s="1" t="s">
        <v>74</v>
      </c>
      <c r="O428" s="1" t="s">
        <v>74</v>
      </c>
      <c r="P428" s="1" t="s">
        <v>74</v>
      </c>
      <c r="Q428" s="1" t="s">
        <v>74</v>
      </c>
      <c r="R428" s="1" t="s">
        <v>74</v>
      </c>
      <c r="S428" s="1" t="s">
        <v>74</v>
      </c>
      <c r="T428" s="1" t="s">
        <v>74</v>
      </c>
      <c r="U428" s="1" t="s">
        <v>74</v>
      </c>
      <c r="V428" s="1" t="s">
        <v>4445</v>
      </c>
      <c r="W428" s="1" t="s">
        <v>74</v>
      </c>
      <c r="X428" s="1" t="s">
        <v>74</v>
      </c>
      <c r="Y428" s="1" t="s">
        <v>74</v>
      </c>
      <c r="Z428" s="1" t="s">
        <v>74</v>
      </c>
      <c r="AA428" s="1" t="s">
        <v>4446</v>
      </c>
      <c r="AB428" s="1" t="s">
        <v>4447</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4448</v>
      </c>
      <c r="AP428" s="1" t="s">
        <v>74</v>
      </c>
      <c r="AQ428" s="1" t="s">
        <v>74</v>
      </c>
      <c r="AR428" s="1" t="s">
        <v>74</v>
      </c>
      <c r="AS428" s="1" t="s">
        <v>74</v>
      </c>
      <c r="AT428" s="1" t="s">
        <v>308</v>
      </c>
      <c r="AU428" s="1">
        <v>2020.0</v>
      </c>
      <c r="AV428" s="1">
        <v>19.0</v>
      </c>
      <c r="AW428" s="1">
        <v>1.0</v>
      </c>
      <c r="AX428" s="1" t="s">
        <v>74</v>
      </c>
      <c r="AY428" s="1" t="s">
        <v>74</v>
      </c>
      <c r="AZ428" s="1" t="s">
        <v>74</v>
      </c>
      <c r="BA428" s="1" t="s">
        <v>74</v>
      </c>
      <c r="BB428" s="1">
        <v>134.0</v>
      </c>
      <c r="BC428" s="1">
        <v>145.0</v>
      </c>
      <c r="BD428" s="1" t="s">
        <v>74</v>
      </c>
      <c r="BE428" s="1" t="s">
        <v>4449</v>
      </c>
      <c r="BF428" s="2" t="str">
        <f>HYPERLINK("http://dx.doi.org/10.7764/RDLC.19.1.134-145","http://dx.doi.org/10.7764/RDLC.19.1.134-145")</f>
        <v>http://dx.doi.org/10.7764/RDLC.19.1.134-145</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4450</v>
      </c>
      <c r="BT428" s="1" t="str">
        <f>HYPERLINK("https%3A%2F%2Fwww.webofscience.com%2Fwos%2Fwoscc%2Ffull-record%2FWOS:000537097900012","View Full Record in Web of Science")</f>
        <v>View Full Record in Web of Science</v>
      </c>
    </row>
    <row r="429" ht="12.75" customHeight="1">
      <c r="A429" s="1" t="s">
        <v>72</v>
      </c>
      <c r="B429" s="1" t="s">
        <v>4451</v>
      </c>
      <c r="C429" s="1" t="s">
        <v>74</v>
      </c>
      <c r="D429" s="1" t="s">
        <v>74</v>
      </c>
      <c r="E429" s="1" t="s">
        <v>74</v>
      </c>
      <c r="F429" s="1" t="s">
        <v>4452</v>
      </c>
      <c r="G429" s="1" t="s">
        <v>74</v>
      </c>
      <c r="H429" s="1" t="s">
        <v>74</v>
      </c>
      <c r="I429" s="1" t="s">
        <v>4453</v>
      </c>
      <c r="J429" s="1" t="s">
        <v>4454</v>
      </c>
      <c r="K429" s="1" t="s">
        <v>74</v>
      </c>
      <c r="L429" s="1" t="s">
        <v>74</v>
      </c>
      <c r="M429" s="1" t="s">
        <v>74</v>
      </c>
      <c r="N429" s="1" t="s">
        <v>74</v>
      </c>
      <c r="O429" s="1" t="s">
        <v>74</v>
      </c>
      <c r="P429" s="1" t="s">
        <v>74</v>
      </c>
      <c r="Q429" s="1" t="s">
        <v>74</v>
      </c>
      <c r="R429" s="1" t="s">
        <v>74</v>
      </c>
      <c r="S429" s="1" t="s">
        <v>74</v>
      </c>
      <c r="T429" s="1" t="s">
        <v>74</v>
      </c>
      <c r="U429" s="1" t="s">
        <v>74</v>
      </c>
      <c r="V429" s="1" t="s">
        <v>4455</v>
      </c>
      <c r="W429" s="1" t="s">
        <v>74</v>
      </c>
      <c r="X429" s="1" t="s">
        <v>74</v>
      </c>
      <c r="Y429" s="1" t="s">
        <v>74</v>
      </c>
      <c r="Z429" s="1" t="s">
        <v>74</v>
      </c>
      <c r="AA429" s="1" t="s">
        <v>4456</v>
      </c>
      <c r="AB429" s="1" t="s">
        <v>4457</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74</v>
      </c>
      <c r="AP429" s="1" t="s">
        <v>4458</v>
      </c>
      <c r="AQ429" s="1" t="s">
        <v>74</v>
      </c>
      <c r="AR429" s="1" t="s">
        <v>74</v>
      </c>
      <c r="AS429" s="1" t="s">
        <v>74</v>
      </c>
      <c r="AT429" s="1" t="s">
        <v>822</v>
      </c>
      <c r="AU429" s="1">
        <v>2020.0</v>
      </c>
      <c r="AV429" s="1">
        <v>8.0</v>
      </c>
      <c r="AW429" s="1">
        <v>1.0</v>
      </c>
      <c r="AX429" s="1" t="s">
        <v>74</v>
      </c>
      <c r="AY429" s="1" t="s">
        <v>74</v>
      </c>
      <c r="AZ429" s="1" t="s">
        <v>74</v>
      </c>
      <c r="BA429" s="1" t="s">
        <v>74</v>
      </c>
      <c r="BB429" s="1" t="s">
        <v>74</v>
      </c>
      <c r="BC429" s="1" t="s">
        <v>74</v>
      </c>
      <c r="BD429" s="1">
        <v>32.0</v>
      </c>
      <c r="BE429" s="1" t="s">
        <v>4459</v>
      </c>
      <c r="BF429" s="2" t="str">
        <f>HYPERLINK("http://dx.doi.org/10.3390/microorganisms8010032","http://dx.doi.org/10.3390/microorganisms8010032")</f>
        <v>http://dx.doi.org/10.3390/microorganisms8010032</v>
      </c>
      <c r="BG429" s="1" t="s">
        <v>74</v>
      </c>
      <c r="BH429" s="1" t="s">
        <v>74</v>
      </c>
      <c r="BI429" s="1" t="s">
        <v>74</v>
      </c>
      <c r="BJ429" s="1" t="s">
        <v>74</v>
      </c>
      <c r="BK429" s="1" t="s">
        <v>74</v>
      </c>
      <c r="BL429" s="1" t="s">
        <v>74</v>
      </c>
      <c r="BM429" s="1" t="s">
        <v>74</v>
      </c>
      <c r="BN429" s="1">
        <v>3.1877949E7</v>
      </c>
      <c r="BO429" s="1" t="s">
        <v>74</v>
      </c>
      <c r="BP429" s="1" t="s">
        <v>74</v>
      </c>
      <c r="BQ429" s="1" t="s">
        <v>74</v>
      </c>
      <c r="BR429" s="1" t="s">
        <v>74</v>
      </c>
      <c r="BS429" s="1" t="s">
        <v>4460</v>
      </c>
      <c r="BT429" s="1" t="str">
        <f>HYPERLINK("https%3A%2F%2Fwww.webofscience.com%2Fwos%2Fwoscc%2Ffull-record%2FWOS:000514650700136","View Full Record in Web of Science")</f>
        <v>View Full Record in Web of Science</v>
      </c>
    </row>
    <row r="430" ht="12.75" customHeight="1">
      <c r="A430" s="1" t="s">
        <v>72</v>
      </c>
      <c r="B430" s="1" t="s">
        <v>4461</v>
      </c>
      <c r="C430" s="1" t="s">
        <v>74</v>
      </c>
      <c r="D430" s="1" t="s">
        <v>74</v>
      </c>
      <c r="E430" s="1" t="s">
        <v>74</v>
      </c>
      <c r="F430" s="1" t="s">
        <v>4462</v>
      </c>
      <c r="G430" s="1" t="s">
        <v>74</v>
      </c>
      <c r="H430" s="1" t="s">
        <v>74</v>
      </c>
      <c r="I430" s="1" t="s">
        <v>4463</v>
      </c>
      <c r="J430" s="1" t="s">
        <v>171</v>
      </c>
      <c r="K430" s="1" t="s">
        <v>74</v>
      </c>
      <c r="L430" s="1" t="s">
        <v>74</v>
      </c>
      <c r="M430" s="1" t="s">
        <v>74</v>
      </c>
      <c r="N430" s="1" t="s">
        <v>74</v>
      </c>
      <c r="O430" s="1" t="s">
        <v>74</v>
      </c>
      <c r="P430" s="1" t="s">
        <v>74</v>
      </c>
      <c r="Q430" s="1" t="s">
        <v>74</v>
      </c>
      <c r="R430" s="1" t="s">
        <v>74</v>
      </c>
      <c r="S430" s="1" t="s">
        <v>74</v>
      </c>
      <c r="T430" s="1" t="s">
        <v>74</v>
      </c>
      <c r="U430" s="1" t="s">
        <v>74</v>
      </c>
      <c r="V430" s="1" t="s">
        <v>4464</v>
      </c>
      <c r="W430" s="1" t="s">
        <v>74</v>
      </c>
      <c r="X430" s="1" t="s">
        <v>74</v>
      </c>
      <c r="Y430" s="1" t="s">
        <v>74</v>
      </c>
      <c r="Z430" s="1" t="s">
        <v>74</v>
      </c>
      <c r="AA430" s="1" t="s">
        <v>4465</v>
      </c>
      <c r="AB430" s="1" t="s">
        <v>4466</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175</v>
      </c>
      <c r="AP430" s="1" t="s">
        <v>4367</v>
      </c>
      <c r="AQ430" s="1" t="s">
        <v>74</v>
      </c>
      <c r="AR430" s="1" t="s">
        <v>74</v>
      </c>
      <c r="AS430" s="1" t="s">
        <v>74</v>
      </c>
      <c r="AT430" s="1" t="s">
        <v>1082</v>
      </c>
      <c r="AU430" s="1">
        <v>2018.0</v>
      </c>
      <c r="AV430" s="1">
        <v>30.0</v>
      </c>
      <c r="AW430" s="1">
        <v>11.0</v>
      </c>
      <c r="AX430" s="1" t="s">
        <v>74</v>
      </c>
      <c r="AY430" s="1" t="s">
        <v>74</v>
      </c>
      <c r="AZ430" s="1" t="s">
        <v>74</v>
      </c>
      <c r="BA430" s="1" t="s">
        <v>74</v>
      </c>
      <c r="BB430" s="1">
        <v>2525.0</v>
      </c>
      <c r="BC430" s="1">
        <v>2534.0</v>
      </c>
      <c r="BD430" s="1" t="s">
        <v>74</v>
      </c>
      <c r="BE430" s="1" t="s">
        <v>4467</v>
      </c>
      <c r="BF430" s="2" t="str">
        <f>HYPERLINK("http://dx.doi.org/10.1002/elan.201800439","http://dx.doi.org/10.1002/elan.201800439")</f>
        <v>http://dx.doi.org/10.1002/elan.201800439</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4468</v>
      </c>
      <c r="BT430" s="1" t="str">
        <f>HYPERLINK("https%3A%2F%2Fwww.webofscience.com%2Fwos%2Fwoscc%2Ffull-record%2FWOS:000450148200003","View Full Record in Web of Science")</f>
        <v>View Full Record in Web of Science</v>
      </c>
    </row>
    <row r="431" ht="12.75" customHeight="1">
      <c r="A431" s="1" t="s">
        <v>72</v>
      </c>
      <c r="B431" s="1" t="s">
        <v>4469</v>
      </c>
      <c r="C431" s="1" t="s">
        <v>74</v>
      </c>
      <c r="D431" s="1" t="s">
        <v>74</v>
      </c>
      <c r="E431" s="1" t="s">
        <v>74</v>
      </c>
      <c r="F431" s="1" t="s">
        <v>4470</v>
      </c>
      <c r="G431" s="1" t="s">
        <v>74</v>
      </c>
      <c r="H431" s="1" t="s">
        <v>74</v>
      </c>
      <c r="I431" s="1" t="s">
        <v>4471</v>
      </c>
      <c r="J431" s="1" t="s">
        <v>4472</v>
      </c>
      <c r="K431" s="1" t="s">
        <v>74</v>
      </c>
      <c r="L431" s="1" t="s">
        <v>74</v>
      </c>
      <c r="M431" s="1" t="s">
        <v>74</v>
      </c>
      <c r="N431" s="1" t="s">
        <v>74</v>
      </c>
      <c r="O431" s="1" t="s">
        <v>74</v>
      </c>
      <c r="P431" s="1" t="s">
        <v>74</v>
      </c>
      <c r="Q431" s="1" t="s">
        <v>74</v>
      </c>
      <c r="R431" s="1" t="s">
        <v>74</v>
      </c>
      <c r="S431" s="1" t="s">
        <v>74</v>
      </c>
      <c r="T431" s="1" t="s">
        <v>74</v>
      </c>
      <c r="U431" s="1" t="s">
        <v>74</v>
      </c>
      <c r="V431" s="1" t="s">
        <v>4473</v>
      </c>
      <c r="W431" s="1" t="s">
        <v>74</v>
      </c>
      <c r="X431" s="1" t="s">
        <v>74</v>
      </c>
      <c r="Y431" s="1" t="s">
        <v>74</v>
      </c>
      <c r="Z431" s="1" t="s">
        <v>74</v>
      </c>
      <c r="AA431" s="1" t="s">
        <v>4474</v>
      </c>
      <c r="AB431" s="1" t="s">
        <v>4475</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4476</v>
      </c>
      <c r="AP431" s="1" t="s">
        <v>4477</v>
      </c>
      <c r="AQ431" s="1" t="s">
        <v>74</v>
      </c>
      <c r="AR431" s="1" t="s">
        <v>74</v>
      </c>
      <c r="AS431" s="1" t="s">
        <v>74</v>
      </c>
      <c r="AT431" s="1" t="s">
        <v>176</v>
      </c>
      <c r="AU431" s="1">
        <v>2018.0</v>
      </c>
      <c r="AV431" s="1">
        <v>194.0</v>
      </c>
      <c r="AW431" s="1" t="s">
        <v>74</v>
      </c>
      <c r="AX431" s="1" t="s">
        <v>74</v>
      </c>
      <c r="AY431" s="1" t="s">
        <v>74</v>
      </c>
      <c r="AZ431" s="1" t="s">
        <v>74</v>
      </c>
      <c r="BA431" s="1" t="s">
        <v>74</v>
      </c>
      <c r="BB431" s="1">
        <v>152.0</v>
      </c>
      <c r="BC431" s="1" t="s">
        <v>662</v>
      </c>
      <c r="BD431" s="1" t="s">
        <v>74</v>
      </c>
      <c r="BE431" s="1" t="s">
        <v>4478</v>
      </c>
      <c r="BF431" s="2" t="str">
        <f>HYPERLINK("http://dx.doi.org/10.1016/j.jpeds.2017.11.007","http://dx.doi.org/10.1016/j.jpeds.2017.11.007")</f>
        <v>http://dx.doi.org/10.1016/j.jpeds.2017.11.007</v>
      </c>
      <c r="BG431" s="1" t="s">
        <v>74</v>
      </c>
      <c r="BH431" s="1" t="s">
        <v>74</v>
      </c>
      <c r="BI431" s="1" t="s">
        <v>74</v>
      </c>
      <c r="BJ431" s="1" t="s">
        <v>74</v>
      </c>
      <c r="BK431" s="1" t="s">
        <v>74</v>
      </c>
      <c r="BL431" s="1" t="s">
        <v>74</v>
      </c>
      <c r="BM431" s="1" t="s">
        <v>74</v>
      </c>
      <c r="BN431" s="1">
        <v>2.9305232E7</v>
      </c>
      <c r="BO431" s="1" t="s">
        <v>74</v>
      </c>
      <c r="BP431" s="1" t="s">
        <v>74</v>
      </c>
      <c r="BQ431" s="1" t="s">
        <v>74</v>
      </c>
      <c r="BR431" s="1" t="s">
        <v>74</v>
      </c>
      <c r="BS431" s="1" t="s">
        <v>4479</v>
      </c>
      <c r="BT431" s="1" t="str">
        <f>HYPERLINK("https%3A%2F%2Fwww.webofscience.com%2Fwos%2Fwoscc%2Ffull-record%2FWOS:000426440700032","View Full Record in Web of Science")</f>
        <v>View Full Record in Web of Science</v>
      </c>
    </row>
    <row r="432" ht="12.75" customHeight="1">
      <c r="A432" s="1" t="s">
        <v>72</v>
      </c>
      <c r="B432" s="1" t="s">
        <v>4480</v>
      </c>
      <c r="C432" s="1" t="s">
        <v>74</v>
      </c>
      <c r="D432" s="1" t="s">
        <v>74</v>
      </c>
      <c r="E432" s="1" t="s">
        <v>74</v>
      </c>
      <c r="F432" s="1" t="s">
        <v>4481</v>
      </c>
      <c r="G432" s="1" t="s">
        <v>74</v>
      </c>
      <c r="H432" s="1" t="s">
        <v>74</v>
      </c>
      <c r="I432" s="1" t="s">
        <v>4482</v>
      </c>
      <c r="J432" s="1" t="s">
        <v>4483</v>
      </c>
      <c r="K432" s="1" t="s">
        <v>74</v>
      </c>
      <c r="L432" s="1" t="s">
        <v>74</v>
      </c>
      <c r="M432" s="1" t="s">
        <v>74</v>
      </c>
      <c r="N432" s="1" t="s">
        <v>74</v>
      </c>
      <c r="O432" s="1" t="s">
        <v>74</v>
      </c>
      <c r="P432" s="1" t="s">
        <v>74</v>
      </c>
      <c r="Q432" s="1" t="s">
        <v>74</v>
      </c>
      <c r="R432" s="1" t="s">
        <v>74</v>
      </c>
      <c r="S432" s="1" t="s">
        <v>74</v>
      </c>
      <c r="T432" s="1" t="s">
        <v>74</v>
      </c>
      <c r="U432" s="1" t="s">
        <v>74</v>
      </c>
      <c r="V432" s="1" t="s">
        <v>4484</v>
      </c>
      <c r="W432" s="1" t="s">
        <v>74</v>
      </c>
      <c r="X432" s="1" t="s">
        <v>74</v>
      </c>
      <c r="Y432" s="1" t="s">
        <v>74</v>
      </c>
      <c r="Z432" s="1" t="s">
        <v>74</v>
      </c>
      <c r="AA432" s="1" t="s">
        <v>4485</v>
      </c>
      <c r="AB432" s="1" t="s">
        <v>4486</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74</v>
      </c>
      <c r="AP432" s="1" t="s">
        <v>4487</v>
      </c>
      <c r="AQ432" s="1" t="s">
        <v>74</v>
      </c>
      <c r="AR432" s="1" t="s">
        <v>74</v>
      </c>
      <c r="AS432" s="1" t="s">
        <v>74</v>
      </c>
      <c r="AT432" s="1" t="s">
        <v>4488</v>
      </c>
      <c r="AU432" s="1">
        <v>2016.0</v>
      </c>
      <c r="AV432" s="1">
        <v>17.0</v>
      </c>
      <c r="AW432" s="1" t="s">
        <v>74</v>
      </c>
      <c r="AX432" s="1" t="s">
        <v>74</v>
      </c>
      <c r="AY432" s="1" t="s">
        <v>74</v>
      </c>
      <c r="AZ432" s="1" t="s">
        <v>74</v>
      </c>
      <c r="BA432" s="1" t="s">
        <v>74</v>
      </c>
      <c r="BB432" s="1" t="s">
        <v>74</v>
      </c>
      <c r="BC432" s="1" t="s">
        <v>74</v>
      </c>
      <c r="BD432" s="1">
        <v>298.0</v>
      </c>
      <c r="BE432" s="1" t="s">
        <v>4489</v>
      </c>
      <c r="BF432" s="2" t="str">
        <f>HYPERLINK("http://dx.doi.org/10.1186/s13063-016-1422-1","http://dx.doi.org/10.1186/s13063-016-1422-1")</f>
        <v>http://dx.doi.org/10.1186/s13063-016-1422-1</v>
      </c>
      <c r="BG432" s="1" t="s">
        <v>74</v>
      </c>
      <c r="BH432" s="1" t="s">
        <v>74</v>
      </c>
      <c r="BI432" s="1" t="s">
        <v>74</v>
      </c>
      <c r="BJ432" s="1" t="s">
        <v>74</v>
      </c>
      <c r="BK432" s="1" t="s">
        <v>74</v>
      </c>
      <c r="BL432" s="1" t="s">
        <v>74</v>
      </c>
      <c r="BM432" s="1" t="s">
        <v>74</v>
      </c>
      <c r="BN432" s="1">
        <v>2.7342073E7</v>
      </c>
      <c r="BO432" s="1" t="s">
        <v>74</v>
      </c>
      <c r="BP432" s="1" t="s">
        <v>74</v>
      </c>
      <c r="BQ432" s="1" t="s">
        <v>74</v>
      </c>
      <c r="BR432" s="1" t="s">
        <v>74</v>
      </c>
      <c r="BS432" s="1" t="s">
        <v>4490</v>
      </c>
      <c r="BT432" s="1" t="str">
        <f>HYPERLINK("https%3A%2F%2Fwww.webofscience.com%2Fwos%2Fwoscc%2Ffull-record%2FWOS:000378990900002","View Full Record in Web of Science")</f>
        <v>View Full Record in Web of Science</v>
      </c>
    </row>
    <row r="433" ht="12.75" customHeight="1">
      <c r="A433" s="1" t="s">
        <v>72</v>
      </c>
      <c r="B433" s="1" t="s">
        <v>4491</v>
      </c>
      <c r="C433" s="1" t="s">
        <v>74</v>
      </c>
      <c r="D433" s="1" t="s">
        <v>74</v>
      </c>
      <c r="E433" s="1" t="s">
        <v>74</v>
      </c>
      <c r="F433" s="1" t="s">
        <v>4492</v>
      </c>
      <c r="G433" s="1" t="s">
        <v>74</v>
      </c>
      <c r="H433" s="1" t="s">
        <v>74</v>
      </c>
      <c r="I433" s="1" t="s">
        <v>4493</v>
      </c>
      <c r="J433" s="1" t="s">
        <v>4494</v>
      </c>
      <c r="K433" s="1" t="s">
        <v>74</v>
      </c>
      <c r="L433" s="1" t="s">
        <v>74</v>
      </c>
      <c r="M433" s="1" t="s">
        <v>74</v>
      </c>
      <c r="N433" s="1" t="s">
        <v>74</v>
      </c>
      <c r="O433" s="1" t="s">
        <v>74</v>
      </c>
      <c r="P433" s="1" t="s">
        <v>74</v>
      </c>
      <c r="Q433" s="1" t="s">
        <v>74</v>
      </c>
      <c r="R433" s="1" t="s">
        <v>74</v>
      </c>
      <c r="S433" s="1" t="s">
        <v>74</v>
      </c>
      <c r="T433" s="1" t="s">
        <v>74</v>
      </c>
      <c r="U433" s="1" t="s">
        <v>74</v>
      </c>
      <c r="V433" s="1" t="s">
        <v>4495</v>
      </c>
      <c r="W433" s="1" t="s">
        <v>74</v>
      </c>
      <c r="X433" s="1" t="s">
        <v>74</v>
      </c>
      <c r="Y433" s="1" t="s">
        <v>74</v>
      </c>
      <c r="Z433" s="1" t="s">
        <v>74</v>
      </c>
      <c r="AA433" s="1" t="s">
        <v>4496</v>
      </c>
      <c r="AB433" s="1" t="s">
        <v>4497</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4498</v>
      </c>
      <c r="AP433" s="1" t="s">
        <v>4499</v>
      </c>
      <c r="AQ433" s="1" t="s">
        <v>74</v>
      </c>
      <c r="AR433" s="1" t="s">
        <v>74</v>
      </c>
      <c r="AS433" s="1" t="s">
        <v>74</v>
      </c>
      <c r="AT433" s="1" t="s">
        <v>308</v>
      </c>
      <c r="AU433" s="1">
        <v>2016.0</v>
      </c>
      <c r="AV433" s="1">
        <v>79.0</v>
      </c>
      <c r="AW433" s="1">
        <v>4.0</v>
      </c>
      <c r="AX433" s="1" t="s">
        <v>74</v>
      </c>
      <c r="AY433" s="1" t="s">
        <v>74</v>
      </c>
      <c r="AZ433" s="1" t="s">
        <v>74</v>
      </c>
      <c r="BA433" s="1" t="s">
        <v>74</v>
      </c>
      <c r="BB433" s="1">
        <v>522.0</v>
      </c>
      <c r="BC433" s="1">
        <v>527.0</v>
      </c>
      <c r="BD433" s="1" t="s">
        <v>74</v>
      </c>
      <c r="BE433" s="1" t="s">
        <v>4500</v>
      </c>
      <c r="BF433" s="2" t="str">
        <f>HYPERLINK("http://dx.doi.org/10.1038/pr.2015.274","http://dx.doi.org/10.1038/pr.2015.274")</f>
        <v>http://dx.doi.org/10.1038/pr.2015.274</v>
      </c>
      <c r="BG433" s="1" t="s">
        <v>74</v>
      </c>
      <c r="BH433" s="1" t="s">
        <v>74</v>
      </c>
      <c r="BI433" s="1" t="s">
        <v>74</v>
      </c>
      <c r="BJ433" s="1" t="s">
        <v>74</v>
      </c>
      <c r="BK433" s="1" t="s">
        <v>74</v>
      </c>
      <c r="BL433" s="1" t="s">
        <v>74</v>
      </c>
      <c r="BM433" s="1" t="s">
        <v>74</v>
      </c>
      <c r="BN433" s="1">
        <v>2.6690715E7</v>
      </c>
      <c r="BO433" s="1" t="s">
        <v>74</v>
      </c>
      <c r="BP433" s="1" t="s">
        <v>74</v>
      </c>
      <c r="BQ433" s="1" t="s">
        <v>74</v>
      </c>
      <c r="BR433" s="1" t="s">
        <v>74</v>
      </c>
      <c r="BS433" s="1" t="s">
        <v>4501</v>
      </c>
      <c r="BT433" s="1" t="str">
        <f>HYPERLINK("https%3A%2F%2Fwww.webofscience.com%2Fwos%2Fwoscc%2Ffull-record%2FWOS:000374380400002","View Full Record in Web of Science")</f>
        <v>View Full Record in Web of Science</v>
      </c>
    </row>
    <row r="434" ht="12.75" customHeight="1">
      <c r="A434" s="1" t="s">
        <v>72</v>
      </c>
      <c r="B434" s="1" t="s">
        <v>4502</v>
      </c>
      <c r="C434" s="1" t="s">
        <v>74</v>
      </c>
      <c r="D434" s="1" t="s">
        <v>74</v>
      </c>
      <c r="E434" s="1" t="s">
        <v>74</v>
      </c>
      <c r="F434" s="1" t="s">
        <v>4503</v>
      </c>
      <c r="G434" s="1" t="s">
        <v>74</v>
      </c>
      <c r="H434" s="1" t="s">
        <v>74</v>
      </c>
      <c r="I434" s="1" t="s">
        <v>4504</v>
      </c>
      <c r="J434" s="1" t="s">
        <v>4505</v>
      </c>
      <c r="K434" s="1" t="s">
        <v>74</v>
      </c>
      <c r="L434" s="1" t="s">
        <v>74</v>
      </c>
      <c r="M434" s="1" t="s">
        <v>74</v>
      </c>
      <c r="N434" s="1" t="s">
        <v>74</v>
      </c>
      <c r="O434" s="1" t="s">
        <v>74</v>
      </c>
      <c r="P434" s="1" t="s">
        <v>74</v>
      </c>
      <c r="Q434" s="1" t="s">
        <v>74</v>
      </c>
      <c r="R434" s="1" t="s">
        <v>74</v>
      </c>
      <c r="S434" s="1" t="s">
        <v>74</v>
      </c>
      <c r="T434" s="1" t="s">
        <v>74</v>
      </c>
      <c r="U434" s="1" t="s">
        <v>74</v>
      </c>
      <c r="V434" s="1" t="s">
        <v>4506</v>
      </c>
      <c r="W434" s="1" t="s">
        <v>74</v>
      </c>
      <c r="X434" s="1" t="s">
        <v>74</v>
      </c>
      <c r="Y434" s="1" t="s">
        <v>74</v>
      </c>
      <c r="Z434" s="1" t="s">
        <v>74</v>
      </c>
      <c r="AA434" s="1" t="s">
        <v>4507</v>
      </c>
      <c r="AB434" s="1" t="s">
        <v>4508</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4509</v>
      </c>
      <c r="AP434" s="1" t="s">
        <v>4510</v>
      </c>
      <c r="AQ434" s="1" t="s">
        <v>74</v>
      </c>
      <c r="AR434" s="1" t="s">
        <v>74</v>
      </c>
      <c r="AS434" s="1" t="s">
        <v>74</v>
      </c>
      <c r="AT434" s="1" t="s">
        <v>74</v>
      </c>
      <c r="AU434" s="1">
        <v>2016.0</v>
      </c>
      <c r="AV434" s="1">
        <v>96.0</v>
      </c>
      <c r="AW434" s="1">
        <v>7.0</v>
      </c>
      <c r="AX434" s="1" t="s">
        <v>74</v>
      </c>
      <c r="AY434" s="1" t="s">
        <v>74</v>
      </c>
      <c r="AZ434" s="1" t="s">
        <v>74</v>
      </c>
      <c r="BA434" s="1" t="s">
        <v>74</v>
      </c>
      <c r="BB434" s="1">
        <v>627.0</v>
      </c>
      <c r="BC434" s="1">
        <v>635.0</v>
      </c>
      <c r="BD434" s="1" t="s">
        <v>74</v>
      </c>
      <c r="BE434" s="1" t="s">
        <v>4511</v>
      </c>
      <c r="BF434" s="2" t="str">
        <f>HYPERLINK("http://dx.doi.org/10.1080/03067319.2016.1180376","http://dx.doi.org/10.1080/03067319.2016.1180376")</f>
        <v>http://dx.doi.org/10.1080/03067319.2016.1180376</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4512</v>
      </c>
      <c r="BT434" s="1" t="str">
        <f>HYPERLINK("https%3A%2F%2Fwww.webofscience.com%2Fwos%2Fwoscc%2Ffull-record%2FWOS:000377032800002","View Full Record in Web of Science")</f>
        <v>View Full Record in Web of Science</v>
      </c>
    </row>
    <row r="435" ht="12.75" customHeight="1">
      <c r="A435" s="1" t="s">
        <v>72</v>
      </c>
      <c r="B435" s="1" t="s">
        <v>4513</v>
      </c>
      <c r="C435" s="1" t="s">
        <v>74</v>
      </c>
      <c r="D435" s="1" t="s">
        <v>74</v>
      </c>
      <c r="E435" s="1" t="s">
        <v>74</v>
      </c>
      <c r="F435" s="1" t="s">
        <v>4514</v>
      </c>
      <c r="G435" s="1" t="s">
        <v>74</v>
      </c>
      <c r="H435" s="1" t="s">
        <v>74</v>
      </c>
      <c r="I435" s="1" t="s">
        <v>4515</v>
      </c>
      <c r="J435" s="1" t="s">
        <v>4516</v>
      </c>
      <c r="K435" s="1" t="s">
        <v>74</v>
      </c>
      <c r="L435" s="1" t="s">
        <v>74</v>
      </c>
      <c r="M435" s="1" t="s">
        <v>74</v>
      </c>
      <c r="N435" s="1" t="s">
        <v>74</v>
      </c>
      <c r="O435" s="1" t="s">
        <v>74</v>
      </c>
      <c r="P435" s="1" t="s">
        <v>74</v>
      </c>
      <c r="Q435" s="1" t="s">
        <v>74</v>
      </c>
      <c r="R435" s="1" t="s">
        <v>74</v>
      </c>
      <c r="S435" s="1" t="s">
        <v>74</v>
      </c>
      <c r="T435" s="1" t="s">
        <v>74</v>
      </c>
      <c r="U435" s="1" t="s">
        <v>74</v>
      </c>
      <c r="V435" s="1" t="s">
        <v>4517</v>
      </c>
      <c r="W435" s="1" t="s">
        <v>74</v>
      </c>
      <c r="X435" s="1" t="s">
        <v>74</v>
      </c>
      <c r="Y435" s="1" t="s">
        <v>74</v>
      </c>
      <c r="Z435" s="1" t="s">
        <v>74</v>
      </c>
      <c r="AA435" s="1" t="s">
        <v>4518</v>
      </c>
      <c r="AB435" s="1" t="s">
        <v>4519</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4520</v>
      </c>
      <c r="AP435" s="1" t="s">
        <v>4521</v>
      </c>
      <c r="AQ435" s="1" t="s">
        <v>74</v>
      </c>
      <c r="AR435" s="1" t="s">
        <v>74</v>
      </c>
      <c r="AS435" s="1" t="s">
        <v>74</v>
      </c>
      <c r="AT435" s="1" t="s">
        <v>83</v>
      </c>
      <c r="AU435" s="1">
        <v>2014.0</v>
      </c>
      <c r="AV435" s="1">
        <v>110.0</v>
      </c>
      <c r="AW435" s="1" t="s">
        <v>74</v>
      </c>
      <c r="AX435" s="1" t="s">
        <v>74</v>
      </c>
      <c r="AY435" s="1" t="s">
        <v>74</v>
      </c>
      <c r="AZ435" s="1" t="s">
        <v>74</v>
      </c>
      <c r="BA435" s="1" t="s">
        <v>74</v>
      </c>
      <c r="BB435" s="1">
        <v>184.0</v>
      </c>
      <c r="BC435" s="1">
        <v>194.0</v>
      </c>
      <c r="BD435" s="1" t="s">
        <v>74</v>
      </c>
      <c r="BE435" s="1" t="s">
        <v>4522</v>
      </c>
      <c r="BF435" s="2" t="str">
        <f>HYPERLINK("http://dx.doi.org/10.1016/j.polymdegradstab.2014.08.026","http://dx.doi.org/10.1016/j.polymdegradstab.2014.08.026")</f>
        <v>http://dx.doi.org/10.1016/j.polymdegradstab.2014.08.026</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4523</v>
      </c>
      <c r="BT435" s="1" t="str">
        <f>HYPERLINK("https%3A%2F%2Fwww.webofscience.com%2Fwos%2Fwoscc%2Ffull-record%2FWOS:000347495700022","View Full Record in Web of Science")</f>
        <v>View Full Record in Web of Science</v>
      </c>
    </row>
    <row r="436" ht="12.75" customHeight="1">
      <c r="A436" s="1" t="s">
        <v>72</v>
      </c>
      <c r="B436" s="1" t="s">
        <v>4524</v>
      </c>
      <c r="C436" s="1" t="s">
        <v>74</v>
      </c>
      <c r="D436" s="1" t="s">
        <v>74</v>
      </c>
      <c r="E436" s="1" t="s">
        <v>74</v>
      </c>
      <c r="F436" s="1" t="s">
        <v>4525</v>
      </c>
      <c r="G436" s="1" t="s">
        <v>74</v>
      </c>
      <c r="H436" s="1" t="s">
        <v>74</v>
      </c>
      <c r="I436" s="1" t="s">
        <v>4526</v>
      </c>
      <c r="J436" s="1" t="s">
        <v>4527</v>
      </c>
      <c r="K436" s="1" t="s">
        <v>74</v>
      </c>
      <c r="L436" s="1" t="s">
        <v>74</v>
      </c>
      <c r="M436" s="1" t="s">
        <v>74</v>
      </c>
      <c r="N436" s="1" t="s">
        <v>74</v>
      </c>
      <c r="O436" s="1" t="s">
        <v>74</v>
      </c>
      <c r="P436" s="1" t="s">
        <v>74</v>
      </c>
      <c r="Q436" s="1" t="s">
        <v>74</v>
      </c>
      <c r="R436" s="1" t="s">
        <v>74</v>
      </c>
      <c r="S436" s="1" t="s">
        <v>74</v>
      </c>
      <c r="T436" s="1" t="s">
        <v>74</v>
      </c>
      <c r="U436" s="1" t="s">
        <v>74</v>
      </c>
      <c r="V436" s="1" t="s">
        <v>4528</v>
      </c>
      <c r="W436" s="1" t="s">
        <v>74</v>
      </c>
      <c r="X436" s="1" t="s">
        <v>74</v>
      </c>
      <c r="Y436" s="1" t="s">
        <v>74</v>
      </c>
      <c r="Z436" s="1" t="s">
        <v>74</v>
      </c>
      <c r="AA436" s="1" t="s">
        <v>4529</v>
      </c>
      <c r="AB436" s="1" t="s">
        <v>4530</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4531</v>
      </c>
      <c r="AP436" s="1" t="s">
        <v>4532</v>
      </c>
      <c r="AQ436" s="1" t="s">
        <v>74</v>
      </c>
      <c r="AR436" s="1" t="s">
        <v>74</v>
      </c>
      <c r="AS436" s="1" t="s">
        <v>74</v>
      </c>
      <c r="AT436" s="1" t="s">
        <v>385</v>
      </c>
      <c r="AU436" s="1">
        <v>2012.0</v>
      </c>
      <c r="AV436" s="1">
        <v>74.0</v>
      </c>
      <c r="AW436" s="1">
        <v>1.0</v>
      </c>
      <c r="AX436" s="1" t="s">
        <v>74</v>
      </c>
      <c r="AY436" s="1" t="s">
        <v>74</v>
      </c>
      <c r="AZ436" s="1" t="s">
        <v>74</v>
      </c>
      <c r="BA436" s="1" t="s">
        <v>74</v>
      </c>
      <c r="BB436" s="1">
        <v>61.0</v>
      </c>
      <c r="BC436" s="1">
        <v>71.0</v>
      </c>
      <c r="BD436" s="1" t="s">
        <v>74</v>
      </c>
      <c r="BE436" s="1" t="s">
        <v>4533</v>
      </c>
      <c r="BF436" s="2" t="str">
        <f>HYPERLINK("http://dx.doi.org/10.1007/s10665-011-9489-x","http://dx.doi.org/10.1007/s10665-011-9489-x")</f>
        <v>http://dx.doi.org/10.1007/s10665-011-9489-x</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4534</v>
      </c>
      <c r="BT436" s="1" t="str">
        <f>HYPERLINK("https%3A%2F%2Fwww.webofscience.com%2Fwos%2Fwoscc%2Ffull-record%2FWOS:000304104400006","View Full Record in Web of Science")</f>
        <v>View Full Record in Web of Science</v>
      </c>
    </row>
    <row r="437" ht="12.75" customHeight="1">
      <c r="A437" s="1" t="s">
        <v>72</v>
      </c>
      <c r="B437" s="1" t="s">
        <v>4535</v>
      </c>
      <c r="C437" s="1" t="s">
        <v>74</v>
      </c>
      <c r="D437" s="1" t="s">
        <v>74</v>
      </c>
      <c r="E437" s="1" t="s">
        <v>74</v>
      </c>
      <c r="F437" s="1" t="s">
        <v>4536</v>
      </c>
      <c r="G437" s="1" t="s">
        <v>74</v>
      </c>
      <c r="H437" s="1" t="s">
        <v>74</v>
      </c>
      <c r="I437" s="1" t="s">
        <v>4537</v>
      </c>
      <c r="J437" s="1" t="s">
        <v>4538</v>
      </c>
      <c r="K437" s="1" t="s">
        <v>74</v>
      </c>
      <c r="L437" s="1" t="s">
        <v>74</v>
      </c>
      <c r="M437" s="1" t="s">
        <v>74</v>
      </c>
      <c r="N437" s="1" t="s">
        <v>74</v>
      </c>
      <c r="O437" s="1" t="s">
        <v>74</v>
      </c>
      <c r="P437" s="1" t="s">
        <v>74</v>
      </c>
      <c r="Q437" s="1" t="s">
        <v>74</v>
      </c>
      <c r="R437" s="1" t="s">
        <v>74</v>
      </c>
      <c r="S437" s="1" t="s">
        <v>74</v>
      </c>
      <c r="T437" s="1" t="s">
        <v>74</v>
      </c>
      <c r="U437" s="1" t="s">
        <v>74</v>
      </c>
      <c r="V437" s="1" t="s">
        <v>4539</v>
      </c>
      <c r="W437" s="1" t="s">
        <v>74</v>
      </c>
      <c r="X437" s="1" t="s">
        <v>74</v>
      </c>
      <c r="Y437" s="1" t="s">
        <v>74</v>
      </c>
      <c r="Z437" s="1" t="s">
        <v>74</v>
      </c>
      <c r="AA437" s="1" t="s">
        <v>4540</v>
      </c>
      <c r="AB437" s="1" t="s">
        <v>4541</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4542</v>
      </c>
      <c r="AP437" s="1" t="s">
        <v>4543</v>
      </c>
      <c r="AQ437" s="1" t="s">
        <v>74</v>
      </c>
      <c r="AR437" s="1" t="s">
        <v>74</v>
      </c>
      <c r="AS437" s="1" t="s">
        <v>74</v>
      </c>
      <c r="AT437" s="1" t="s">
        <v>94</v>
      </c>
      <c r="AU437" s="1">
        <v>2010.0</v>
      </c>
      <c r="AV437" s="1">
        <v>12.0</v>
      </c>
      <c r="AW437" s="1">
        <v>5.0</v>
      </c>
      <c r="AX437" s="1" t="s">
        <v>74</v>
      </c>
      <c r="AY437" s="1" t="s">
        <v>74</v>
      </c>
      <c r="AZ437" s="1" t="s">
        <v>74</v>
      </c>
      <c r="BA437" s="1" t="s">
        <v>74</v>
      </c>
      <c r="BB437" s="1">
        <v>1295.0</v>
      </c>
      <c r="BC437" s="1">
        <v>1303.0</v>
      </c>
      <c r="BD437" s="1" t="s">
        <v>74</v>
      </c>
      <c r="BE437" s="1" t="s">
        <v>4544</v>
      </c>
      <c r="BF437" s="2" t="str">
        <f>HYPERLINK("http://dx.doi.org/10.1007/s10530-009-9547-8","http://dx.doi.org/10.1007/s10530-009-9547-8")</f>
        <v>http://dx.doi.org/10.1007/s10530-009-9547-8</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4545</v>
      </c>
      <c r="BT437" s="1" t="str">
        <f>HYPERLINK("https%3A%2F%2Fwww.webofscience.com%2Fwos%2Fwoscc%2Ffull-record%2FWOS:000276509400030","View Full Record in Web of Science")</f>
        <v>View Full Record in Web of Science</v>
      </c>
    </row>
    <row r="438" ht="12.75" customHeight="1">
      <c r="A438" s="1" t="s">
        <v>72</v>
      </c>
      <c r="B438" s="1" t="s">
        <v>4546</v>
      </c>
      <c r="C438" s="1" t="s">
        <v>74</v>
      </c>
      <c r="D438" s="1" t="s">
        <v>74</v>
      </c>
      <c r="E438" s="1" t="s">
        <v>74</v>
      </c>
      <c r="F438" s="1" t="s">
        <v>4547</v>
      </c>
      <c r="G438" s="1" t="s">
        <v>74</v>
      </c>
      <c r="H438" s="1" t="s">
        <v>74</v>
      </c>
      <c r="I438" s="1" t="s">
        <v>4548</v>
      </c>
      <c r="J438" s="1" t="s">
        <v>4549</v>
      </c>
      <c r="K438" s="1" t="s">
        <v>74</v>
      </c>
      <c r="L438" s="1" t="s">
        <v>74</v>
      </c>
      <c r="M438" s="1" t="s">
        <v>74</v>
      </c>
      <c r="N438" s="1" t="s">
        <v>74</v>
      </c>
      <c r="O438" s="1" t="s">
        <v>74</v>
      </c>
      <c r="P438" s="1" t="s">
        <v>74</v>
      </c>
      <c r="Q438" s="1" t="s">
        <v>74</v>
      </c>
      <c r="R438" s="1" t="s">
        <v>74</v>
      </c>
      <c r="S438" s="1" t="s">
        <v>74</v>
      </c>
      <c r="T438" s="1" t="s">
        <v>74</v>
      </c>
      <c r="U438" s="1" t="s">
        <v>74</v>
      </c>
      <c r="V438" s="1" t="s">
        <v>4550</v>
      </c>
      <c r="W438" s="1" t="s">
        <v>74</v>
      </c>
      <c r="X438" s="1" t="s">
        <v>74</v>
      </c>
      <c r="Y438" s="1" t="s">
        <v>74</v>
      </c>
      <c r="Z438" s="1" t="s">
        <v>74</v>
      </c>
      <c r="AA438" s="1" t="s">
        <v>4551</v>
      </c>
      <c r="AB438" s="1" t="s">
        <v>4552</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4553</v>
      </c>
      <c r="AP438" s="1" t="s">
        <v>4554</v>
      </c>
      <c r="AQ438" s="1" t="s">
        <v>74</v>
      </c>
      <c r="AR438" s="1" t="s">
        <v>74</v>
      </c>
      <c r="AS438" s="1" t="s">
        <v>74</v>
      </c>
      <c r="AT438" s="1" t="s">
        <v>74</v>
      </c>
      <c r="AU438" s="1">
        <v>2010.0</v>
      </c>
      <c r="AV438" s="1">
        <v>10.0</v>
      </c>
      <c r="AW438" s="1">
        <v>21.0</v>
      </c>
      <c r="AX438" s="1" t="s">
        <v>74</v>
      </c>
      <c r="AY438" s="1" t="s">
        <v>74</v>
      </c>
      <c r="AZ438" s="1" t="s">
        <v>74</v>
      </c>
      <c r="BA438" s="1" t="s">
        <v>74</v>
      </c>
      <c r="BB438" s="1">
        <v>10291.0</v>
      </c>
      <c r="BC438" s="1">
        <v>10303.0</v>
      </c>
      <c r="BD438" s="1" t="s">
        <v>74</v>
      </c>
      <c r="BE438" s="1" t="s">
        <v>4555</v>
      </c>
      <c r="BF438" s="2" t="str">
        <f>HYPERLINK("http://dx.doi.org/10.5194/acp-10-10291-2010","http://dx.doi.org/10.5194/acp-10-10291-2010")</f>
        <v>http://dx.doi.org/10.5194/acp-10-10291-2010</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4556</v>
      </c>
      <c r="BT438" s="1" t="str">
        <f>HYPERLINK("https%3A%2F%2Fwww.webofscience.com%2Fwos%2Fwoscc%2Ffull-record%2FWOS:000284210400009","View Full Record in Web of Science")</f>
        <v>View Full Record in Web of Science</v>
      </c>
    </row>
    <row r="439" ht="12.75" customHeight="1">
      <c r="A439" s="1" t="s">
        <v>72</v>
      </c>
      <c r="B439" s="1" t="s">
        <v>4557</v>
      </c>
      <c r="C439" s="1" t="s">
        <v>74</v>
      </c>
      <c r="D439" s="1" t="s">
        <v>74</v>
      </c>
      <c r="E439" s="1" t="s">
        <v>74</v>
      </c>
      <c r="F439" s="1" t="s">
        <v>4558</v>
      </c>
      <c r="G439" s="1" t="s">
        <v>74</v>
      </c>
      <c r="H439" s="1" t="s">
        <v>74</v>
      </c>
      <c r="I439" s="1" t="s">
        <v>4559</v>
      </c>
      <c r="J439" s="1" t="s">
        <v>4560</v>
      </c>
      <c r="K439" s="1" t="s">
        <v>74</v>
      </c>
      <c r="L439" s="1" t="s">
        <v>74</v>
      </c>
      <c r="M439" s="1" t="s">
        <v>74</v>
      </c>
      <c r="N439" s="1" t="s">
        <v>74</v>
      </c>
      <c r="O439" s="1" t="s">
        <v>74</v>
      </c>
      <c r="P439" s="1" t="s">
        <v>74</v>
      </c>
      <c r="Q439" s="1" t="s">
        <v>74</v>
      </c>
      <c r="R439" s="1" t="s">
        <v>74</v>
      </c>
      <c r="S439" s="1" t="s">
        <v>74</v>
      </c>
      <c r="T439" s="1" t="s">
        <v>74</v>
      </c>
      <c r="U439" s="1" t="s">
        <v>74</v>
      </c>
      <c r="V439" s="1" t="s">
        <v>4561</v>
      </c>
      <c r="W439" s="1" t="s">
        <v>74</v>
      </c>
      <c r="X439" s="1" t="s">
        <v>74</v>
      </c>
      <c r="Y439" s="1" t="s">
        <v>74</v>
      </c>
      <c r="Z439" s="1" t="s">
        <v>74</v>
      </c>
      <c r="AA439" s="1" t="s">
        <v>4562</v>
      </c>
      <c r="AB439" s="1" t="s">
        <v>4563</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4564</v>
      </c>
      <c r="AP439" s="1" t="s">
        <v>4565</v>
      </c>
      <c r="AQ439" s="1" t="s">
        <v>74</v>
      </c>
      <c r="AR439" s="1" t="s">
        <v>74</v>
      </c>
      <c r="AS439" s="1" t="s">
        <v>74</v>
      </c>
      <c r="AT439" s="1" t="s">
        <v>74</v>
      </c>
      <c r="AU439" s="1">
        <v>2009.0</v>
      </c>
      <c r="AV439" s="1">
        <v>27.0</v>
      </c>
      <c r="AW439" s="1">
        <v>10.0</v>
      </c>
      <c r="AX439" s="1" t="s">
        <v>74</v>
      </c>
      <c r="AY439" s="1" t="s">
        <v>74</v>
      </c>
      <c r="AZ439" s="1" t="s">
        <v>74</v>
      </c>
      <c r="BA439" s="1" t="s">
        <v>74</v>
      </c>
      <c r="BB439" s="1">
        <v>4069.0</v>
      </c>
      <c r="BC439" s="1">
        <v>4073.0</v>
      </c>
      <c r="BD439" s="1" t="s">
        <v>74</v>
      </c>
      <c r="BE439" s="1" t="s">
        <v>4566</v>
      </c>
      <c r="BF439" s="2" t="str">
        <f>HYPERLINK("http://dx.doi.org/10.5194/angeo-27-4069-2009","http://dx.doi.org/10.5194/angeo-27-4069-2009")</f>
        <v>http://dx.doi.org/10.5194/angeo-27-4069-2009</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4567</v>
      </c>
      <c r="BT439" s="1" t="str">
        <f>HYPERLINK("https%3A%2F%2Fwww.webofscience.com%2Fwos%2Fwoscc%2Ffull-record%2FWOS:000271356500031","View Full Record in Web of Science")</f>
        <v>View Full Record in Web of Science</v>
      </c>
    </row>
    <row r="440" ht="12.75" customHeight="1">
      <c r="A440" s="1" t="s">
        <v>72</v>
      </c>
      <c r="B440" s="1" t="s">
        <v>4568</v>
      </c>
      <c r="C440" s="1" t="s">
        <v>74</v>
      </c>
      <c r="D440" s="1" t="s">
        <v>74</v>
      </c>
      <c r="E440" s="1" t="s">
        <v>74</v>
      </c>
      <c r="F440" s="1" t="s">
        <v>4569</v>
      </c>
      <c r="G440" s="1" t="s">
        <v>74</v>
      </c>
      <c r="H440" s="1" t="s">
        <v>74</v>
      </c>
      <c r="I440" s="1" t="s">
        <v>4570</v>
      </c>
      <c r="J440" s="1" t="s">
        <v>3593</v>
      </c>
      <c r="K440" s="1" t="s">
        <v>74</v>
      </c>
      <c r="L440" s="1" t="s">
        <v>74</v>
      </c>
      <c r="M440" s="1" t="s">
        <v>74</v>
      </c>
      <c r="N440" s="1" t="s">
        <v>74</v>
      </c>
      <c r="O440" s="1" t="s">
        <v>74</v>
      </c>
      <c r="P440" s="1" t="s">
        <v>74</v>
      </c>
      <c r="Q440" s="1" t="s">
        <v>74</v>
      </c>
      <c r="R440" s="1" t="s">
        <v>74</v>
      </c>
      <c r="S440" s="1" t="s">
        <v>74</v>
      </c>
      <c r="T440" s="1" t="s">
        <v>74</v>
      </c>
      <c r="U440" s="1" t="s">
        <v>74</v>
      </c>
      <c r="V440" s="1" t="s">
        <v>4571</v>
      </c>
      <c r="W440" s="1" t="s">
        <v>74</v>
      </c>
      <c r="X440" s="1" t="s">
        <v>74</v>
      </c>
      <c r="Y440" s="1" t="s">
        <v>74</v>
      </c>
      <c r="Z440" s="1" t="s">
        <v>74</v>
      </c>
      <c r="AA440" s="1" t="s">
        <v>4572</v>
      </c>
      <c r="AB440" s="1" t="s">
        <v>4573</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3597</v>
      </c>
      <c r="AP440" s="1" t="s">
        <v>3598</v>
      </c>
      <c r="AQ440" s="1" t="s">
        <v>74</v>
      </c>
      <c r="AR440" s="1" t="s">
        <v>74</v>
      </c>
      <c r="AS440" s="1" t="s">
        <v>74</v>
      </c>
      <c r="AT440" s="1" t="s">
        <v>4574</v>
      </c>
      <c r="AU440" s="1">
        <v>2008.0</v>
      </c>
      <c r="AV440" s="1">
        <v>101.0</v>
      </c>
      <c r="AW440" s="1">
        <v>8.0</v>
      </c>
      <c r="AX440" s="1" t="s">
        <v>74</v>
      </c>
      <c r="AY440" s="1" t="s">
        <v>74</v>
      </c>
      <c r="AZ440" s="1" t="s">
        <v>74</v>
      </c>
      <c r="BA440" s="1" t="s">
        <v>74</v>
      </c>
      <c r="BB440" s="1" t="s">
        <v>74</v>
      </c>
      <c r="BC440" s="1" t="s">
        <v>74</v>
      </c>
      <c r="BD440" s="1">
        <v>80503.0</v>
      </c>
      <c r="BE440" s="1" t="s">
        <v>4575</v>
      </c>
      <c r="BF440" s="2" t="str">
        <f>HYPERLINK("http://dx.doi.org/10.1103/PhysRevLett.101.080503","http://dx.doi.org/10.1103/PhysRevLett.101.080503")</f>
        <v>http://dx.doi.org/10.1103/PhysRevLett.101.080503</v>
      </c>
      <c r="BG440" s="1" t="s">
        <v>74</v>
      </c>
      <c r="BH440" s="1" t="s">
        <v>74</v>
      </c>
      <c r="BI440" s="1" t="s">
        <v>74</v>
      </c>
      <c r="BJ440" s="1" t="s">
        <v>74</v>
      </c>
      <c r="BK440" s="1" t="s">
        <v>74</v>
      </c>
      <c r="BL440" s="1" t="s">
        <v>74</v>
      </c>
      <c r="BM440" s="1" t="s">
        <v>74</v>
      </c>
      <c r="BN440" s="1">
        <v>1.8764597E7</v>
      </c>
      <c r="BO440" s="1" t="s">
        <v>74</v>
      </c>
      <c r="BP440" s="1" t="s">
        <v>74</v>
      </c>
      <c r="BQ440" s="1" t="s">
        <v>74</v>
      </c>
      <c r="BR440" s="1" t="s">
        <v>74</v>
      </c>
      <c r="BS440" s="1" t="s">
        <v>4576</v>
      </c>
      <c r="BT440" s="1" t="str">
        <f>HYPERLINK("https%3A%2F%2Fwww.webofscience.com%2Fwos%2Fwoscc%2Ffull-record%2FWOS:000258643600006","View Full Record in Web of Science")</f>
        <v>View Full Record in Web of Science</v>
      </c>
    </row>
    <row r="441" ht="12.75" customHeight="1">
      <c r="A441" s="1" t="s">
        <v>72</v>
      </c>
      <c r="B441" s="1" t="s">
        <v>4577</v>
      </c>
      <c r="C441" s="1" t="s">
        <v>74</v>
      </c>
      <c r="D441" s="1" t="s">
        <v>74</v>
      </c>
      <c r="E441" s="1" t="s">
        <v>74</v>
      </c>
      <c r="F441" s="1" t="s">
        <v>4578</v>
      </c>
      <c r="G441" s="1" t="s">
        <v>74</v>
      </c>
      <c r="H441" s="1" t="s">
        <v>74</v>
      </c>
      <c r="I441" s="1" t="s">
        <v>4579</v>
      </c>
      <c r="J441" s="1" t="s">
        <v>4580</v>
      </c>
      <c r="K441" s="1" t="s">
        <v>74</v>
      </c>
      <c r="L441" s="1" t="s">
        <v>74</v>
      </c>
      <c r="M441" s="1" t="s">
        <v>74</v>
      </c>
      <c r="N441" s="1" t="s">
        <v>74</v>
      </c>
      <c r="O441" s="1" t="s">
        <v>74</v>
      </c>
      <c r="P441" s="1" t="s">
        <v>74</v>
      </c>
      <c r="Q441" s="1" t="s">
        <v>74</v>
      </c>
      <c r="R441" s="1" t="s">
        <v>74</v>
      </c>
      <c r="S441" s="1" t="s">
        <v>74</v>
      </c>
      <c r="T441" s="1" t="s">
        <v>74</v>
      </c>
      <c r="U441" s="1" t="s">
        <v>74</v>
      </c>
      <c r="V441" s="1" t="s">
        <v>4581</v>
      </c>
      <c r="W441" s="1" t="s">
        <v>74</v>
      </c>
      <c r="X441" s="1" t="s">
        <v>74</v>
      </c>
      <c r="Y441" s="1" t="s">
        <v>74</v>
      </c>
      <c r="Z441" s="1" t="s">
        <v>74</v>
      </c>
      <c r="AA441" s="1" t="s">
        <v>4582</v>
      </c>
      <c r="AB441" s="1" t="s">
        <v>4583</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4584</v>
      </c>
      <c r="AP441" s="1" t="s">
        <v>74</v>
      </c>
      <c r="AQ441" s="1" t="s">
        <v>74</v>
      </c>
      <c r="AR441" s="1" t="s">
        <v>74</v>
      </c>
      <c r="AS441" s="1" t="s">
        <v>74</v>
      </c>
      <c r="AT441" s="1" t="s">
        <v>4585</v>
      </c>
      <c r="AU441" s="1">
        <v>2006.0</v>
      </c>
      <c r="AV441" s="1">
        <v>48.0</v>
      </c>
      <c r="AW441" s="1">
        <v>8.0</v>
      </c>
      <c r="AX441" s="1" t="s">
        <v>74</v>
      </c>
      <c r="AY441" s="1" t="s">
        <v>74</v>
      </c>
      <c r="AZ441" s="1" t="s">
        <v>74</v>
      </c>
      <c r="BA441" s="1" t="s">
        <v>74</v>
      </c>
      <c r="BB441" s="1">
        <v>1083.0</v>
      </c>
      <c r="BC441" s="1">
        <v>1094.0</v>
      </c>
      <c r="BD441" s="1" t="s">
        <v>74</v>
      </c>
      <c r="BE441" s="1" t="s">
        <v>4586</v>
      </c>
      <c r="BF441" s="2" t="str">
        <f>HYPERLINK("http://dx.doi.org/10.1016/j.toxicon.2006.09.004","http://dx.doi.org/10.1016/j.toxicon.2006.09.004")</f>
        <v>http://dx.doi.org/10.1016/j.toxicon.2006.09.004</v>
      </c>
      <c r="BG441" s="1" t="s">
        <v>74</v>
      </c>
      <c r="BH441" s="1" t="s">
        <v>74</v>
      </c>
      <c r="BI441" s="1" t="s">
        <v>74</v>
      </c>
      <c r="BJ441" s="1" t="s">
        <v>74</v>
      </c>
      <c r="BK441" s="1" t="s">
        <v>74</v>
      </c>
      <c r="BL441" s="1" t="s">
        <v>74</v>
      </c>
      <c r="BM441" s="1" t="s">
        <v>74</v>
      </c>
      <c r="BN441" s="1">
        <v>1.7067649E7</v>
      </c>
      <c r="BO441" s="1" t="s">
        <v>74</v>
      </c>
      <c r="BP441" s="1" t="s">
        <v>74</v>
      </c>
      <c r="BQ441" s="1" t="s">
        <v>74</v>
      </c>
      <c r="BR441" s="1" t="s">
        <v>74</v>
      </c>
      <c r="BS441" s="1" t="s">
        <v>4587</v>
      </c>
      <c r="BT441" s="1" t="str">
        <f>HYPERLINK("https%3A%2F%2Fwww.webofscience.com%2Fwos%2Fwoscc%2Ffull-record%2FWOS:000242987700017","View Full Record in Web of Science")</f>
        <v>View Full Record in Web of Science</v>
      </c>
    </row>
    <row r="442" ht="12.75" customHeight="1">
      <c r="A442" s="1" t="s">
        <v>72</v>
      </c>
      <c r="B442" s="1" t="s">
        <v>4588</v>
      </c>
      <c r="C442" s="1" t="s">
        <v>74</v>
      </c>
      <c r="D442" s="1" t="s">
        <v>74</v>
      </c>
      <c r="E442" s="1" t="s">
        <v>74</v>
      </c>
      <c r="F442" s="1" t="s">
        <v>4589</v>
      </c>
      <c r="G442" s="1" t="s">
        <v>74</v>
      </c>
      <c r="H442" s="1" t="s">
        <v>74</v>
      </c>
      <c r="I442" s="1" t="s">
        <v>4590</v>
      </c>
      <c r="J442" s="1" t="s">
        <v>4591</v>
      </c>
      <c r="K442" s="1" t="s">
        <v>74</v>
      </c>
      <c r="L442" s="1" t="s">
        <v>74</v>
      </c>
      <c r="M442" s="1" t="s">
        <v>74</v>
      </c>
      <c r="N442" s="1" t="s">
        <v>74</v>
      </c>
      <c r="O442" s="1" t="s">
        <v>74</v>
      </c>
      <c r="P442" s="1" t="s">
        <v>74</v>
      </c>
      <c r="Q442" s="1" t="s">
        <v>74</v>
      </c>
      <c r="R442" s="1" t="s">
        <v>74</v>
      </c>
      <c r="S442" s="1" t="s">
        <v>74</v>
      </c>
      <c r="T442" s="1" t="s">
        <v>74</v>
      </c>
      <c r="U442" s="1" t="s">
        <v>74</v>
      </c>
      <c r="V442" s="1" t="s">
        <v>4592</v>
      </c>
      <c r="W442" s="1" t="s">
        <v>74</v>
      </c>
      <c r="X442" s="1" t="s">
        <v>74</v>
      </c>
      <c r="Y442" s="1" t="s">
        <v>74</v>
      </c>
      <c r="Z442" s="1" t="s">
        <v>74</v>
      </c>
      <c r="AA442" s="1" t="s">
        <v>4593</v>
      </c>
      <c r="AB442" s="1" t="s">
        <v>4594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4595</v>
      </c>
      <c r="AP442" s="1" t="s">
        <v>74</v>
      </c>
      <c r="AQ442" s="1" t="s">
        <v>74</v>
      </c>
      <c r="AR442" s="1" t="s">
        <v>74</v>
      </c>
      <c r="AS442" s="1" t="s">
        <v>74</v>
      </c>
      <c r="AT442" s="1" t="s">
        <v>4596</v>
      </c>
      <c r="AU442" s="1">
        <v>2006.0</v>
      </c>
      <c r="AV442" s="1">
        <v>7.0</v>
      </c>
      <c r="AW442" s="1" t="s">
        <v>74</v>
      </c>
      <c r="AX442" s="1" t="s">
        <v>74</v>
      </c>
      <c r="AY442" s="1" t="s">
        <v>74</v>
      </c>
      <c r="AZ442" s="1" t="s">
        <v>74</v>
      </c>
      <c r="BA442" s="1" t="s">
        <v>74</v>
      </c>
      <c r="BB442" s="1" t="s">
        <v>74</v>
      </c>
      <c r="BC442" s="1" t="s">
        <v>74</v>
      </c>
      <c r="BD442" s="1">
        <v>513.0</v>
      </c>
      <c r="BE442" s="1" t="s">
        <v>4597</v>
      </c>
      <c r="BF442" s="2" t="str">
        <f>HYPERLINK("http://dx.doi.org/10.1186/1471-2105-7-513","http://dx.doi.org/10.1186/1471-2105-7-513")</f>
        <v>http://dx.doi.org/10.1186/1471-2105-7-513</v>
      </c>
      <c r="BG442" s="1" t="s">
        <v>74</v>
      </c>
      <c r="BH442" s="1" t="s">
        <v>74</v>
      </c>
      <c r="BI442" s="1" t="s">
        <v>74</v>
      </c>
      <c r="BJ442" s="1" t="s">
        <v>74</v>
      </c>
      <c r="BK442" s="1" t="s">
        <v>74</v>
      </c>
      <c r="BL442" s="1" t="s">
        <v>74</v>
      </c>
      <c r="BM442" s="1" t="s">
        <v>74</v>
      </c>
      <c r="BN442" s="1">
        <v>1.7123449E7</v>
      </c>
      <c r="BO442" s="1" t="s">
        <v>74</v>
      </c>
      <c r="BP442" s="1" t="s">
        <v>74</v>
      </c>
      <c r="BQ442" s="1" t="s">
        <v>74</v>
      </c>
      <c r="BR442" s="1" t="s">
        <v>74</v>
      </c>
      <c r="BS442" s="1" t="s">
        <v>4598</v>
      </c>
      <c r="BT442" s="1" t="str">
        <f>HYPERLINK("https%3A%2F%2Fwww.webofscience.com%2Fwos%2Fwoscc%2Ffull-record%2FWOS:000242498800001","View Full Record in Web of Science")</f>
        <v>View Full Record in Web of Science</v>
      </c>
    </row>
    <row r="443" ht="12.75" customHeight="1">
      <c r="A443" s="1" t="s">
        <v>72</v>
      </c>
      <c r="B443" s="1" t="s">
        <v>4599</v>
      </c>
      <c r="C443" s="1" t="s">
        <v>74</v>
      </c>
      <c r="D443" s="1" t="s">
        <v>74</v>
      </c>
      <c r="E443" s="1" t="s">
        <v>74</v>
      </c>
      <c r="F443" s="1" t="s">
        <v>4599</v>
      </c>
      <c r="G443" s="1" t="s">
        <v>74</v>
      </c>
      <c r="H443" s="1" t="s">
        <v>74</v>
      </c>
      <c r="I443" s="1" t="s">
        <v>4600</v>
      </c>
      <c r="J443" s="1" t="s">
        <v>948</v>
      </c>
      <c r="K443" s="1" t="s">
        <v>74</v>
      </c>
      <c r="L443" s="1" t="s">
        <v>74</v>
      </c>
      <c r="M443" s="1" t="s">
        <v>74</v>
      </c>
      <c r="N443" s="1" t="s">
        <v>74</v>
      </c>
      <c r="O443" s="1" t="s">
        <v>74</v>
      </c>
      <c r="P443" s="1" t="s">
        <v>74</v>
      </c>
      <c r="Q443" s="1" t="s">
        <v>74</v>
      </c>
      <c r="R443" s="1" t="s">
        <v>74</v>
      </c>
      <c r="S443" s="1" t="s">
        <v>74</v>
      </c>
      <c r="T443" s="1" t="s">
        <v>74</v>
      </c>
      <c r="U443" s="1" t="s">
        <v>74</v>
      </c>
      <c r="V443" s="1" t="s">
        <v>4601</v>
      </c>
      <c r="W443" s="1" t="s">
        <v>74</v>
      </c>
      <c r="X443" s="1" t="s">
        <v>74</v>
      </c>
      <c r="Y443" s="1" t="s">
        <v>74</v>
      </c>
      <c r="Z443" s="1" t="s">
        <v>74</v>
      </c>
      <c r="AA443" s="1" t="s">
        <v>4602</v>
      </c>
      <c r="AB443" s="1" t="s">
        <v>4603</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952</v>
      </c>
      <c r="AP443" s="1" t="s">
        <v>74</v>
      </c>
      <c r="AQ443" s="1" t="s">
        <v>74</v>
      </c>
      <c r="AR443" s="1" t="s">
        <v>74</v>
      </c>
      <c r="AS443" s="1" t="s">
        <v>74</v>
      </c>
      <c r="AT443" s="1" t="s">
        <v>385</v>
      </c>
      <c r="AU443" s="1">
        <v>2005.0</v>
      </c>
      <c r="AV443" s="1">
        <v>50.0</v>
      </c>
      <c r="AW443" s="1">
        <v>2.0</v>
      </c>
      <c r="AX443" s="1" t="s">
        <v>74</v>
      </c>
      <c r="AY443" s="1" t="s">
        <v>74</v>
      </c>
      <c r="AZ443" s="1" t="s">
        <v>74</v>
      </c>
      <c r="BA443" s="1" t="s">
        <v>74</v>
      </c>
      <c r="BB443" s="1">
        <v>495.0</v>
      </c>
      <c r="BC443" s="1">
        <v>499.0</v>
      </c>
      <c r="BD443" s="1" t="s">
        <v>74</v>
      </c>
      <c r="BE443" s="1" t="s">
        <v>74</v>
      </c>
      <c r="BF443" s="1" t="s">
        <v>74</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4604</v>
      </c>
      <c r="BT443" s="1" t="str">
        <f>HYPERLINK("https%3A%2F%2Fwww.webofscience.com%2Fwos%2Fwoscc%2Ffull-record%2FWOS:000229785200011","View Full Record in Web of Science")</f>
        <v>View Full Record in Web of Science</v>
      </c>
    </row>
    <row r="444" ht="12.75" customHeight="1">
      <c r="A444" s="1" t="s">
        <v>72</v>
      </c>
      <c r="B444" s="1" t="s">
        <v>4605</v>
      </c>
      <c r="C444" s="1" t="s">
        <v>74</v>
      </c>
      <c r="D444" s="1" t="s">
        <v>74</v>
      </c>
      <c r="E444" s="1" t="s">
        <v>74</v>
      </c>
      <c r="F444" s="1" t="s">
        <v>4606</v>
      </c>
      <c r="G444" s="1" t="s">
        <v>74</v>
      </c>
      <c r="H444" s="1" t="s">
        <v>74</v>
      </c>
      <c r="I444" s="1" t="s">
        <v>4607</v>
      </c>
      <c r="J444" s="1" t="s">
        <v>2477</v>
      </c>
      <c r="K444" s="1" t="s">
        <v>74</v>
      </c>
      <c r="L444" s="1" t="s">
        <v>74</v>
      </c>
      <c r="M444" s="1" t="s">
        <v>74</v>
      </c>
      <c r="N444" s="1" t="s">
        <v>74</v>
      </c>
      <c r="O444" s="1" t="s">
        <v>74</v>
      </c>
      <c r="P444" s="1" t="s">
        <v>74</v>
      </c>
      <c r="Q444" s="1" t="s">
        <v>74</v>
      </c>
      <c r="R444" s="1" t="s">
        <v>74</v>
      </c>
      <c r="S444" s="1" t="s">
        <v>74</v>
      </c>
      <c r="T444" s="1" t="s">
        <v>74</v>
      </c>
      <c r="U444" s="1" t="s">
        <v>74</v>
      </c>
      <c r="V444" s="1" t="s">
        <v>4608</v>
      </c>
      <c r="W444" s="1" t="s">
        <v>74</v>
      </c>
      <c r="X444" s="1" t="s">
        <v>74</v>
      </c>
      <c r="Y444" s="1" t="s">
        <v>74</v>
      </c>
      <c r="Z444" s="1" t="s">
        <v>74</v>
      </c>
      <c r="AA444" s="1" t="s">
        <v>4609</v>
      </c>
      <c r="AB444" s="1" t="s">
        <v>4610</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74</v>
      </c>
      <c r="AP444" s="1" t="s">
        <v>2481</v>
      </c>
      <c r="AQ444" s="1" t="s">
        <v>74</v>
      </c>
      <c r="AR444" s="1" t="s">
        <v>74</v>
      </c>
      <c r="AS444" s="1" t="s">
        <v>74</v>
      </c>
      <c r="AT444" s="1" t="s">
        <v>877</v>
      </c>
      <c r="AU444" s="1">
        <v>2024.0</v>
      </c>
      <c r="AV444" s="1">
        <v>13.0</v>
      </c>
      <c r="AW444" s="1">
        <v>8.0</v>
      </c>
      <c r="AX444" s="1" t="s">
        <v>74</v>
      </c>
      <c r="AY444" s="1" t="s">
        <v>74</v>
      </c>
      <c r="AZ444" s="1" t="s">
        <v>74</v>
      </c>
      <c r="BA444" s="1" t="s">
        <v>74</v>
      </c>
      <c r="BB444" s="1" t="s">
        <v>74</v>
      </c>
      <c r="BC444" s="1" t="s">
        <v>74</v>
      </c>
      <c r="BD444" s="1">
        <v>914.0</v>
      </c>
      <c r="BE444" s="1" t="s">
        <v>4611</v>
      </c>
      <c r="BF444" s="2" t="str">
        <f>HYPERLINK("http://dx.doi.org/10.3390/antiox13080914","http://dx.doi.org/10.3390/antiox13080914")</f>
        <v>http://dx.doi.org/10.3390/antiox13080914</v>
      </c>
      <c r="BG444" s="1" t="s">
        <v>74</v>
      </c>
      <c r="BH444" s="1" t="s">
        <v>74</v>
      </c>
      <c r="BI444" s="1" t="s">
        <v>74</v>
      </c>
      <c r="BJ444" s="1" t="s">
        <v>74</v>
      </c>
      <c r="BK444" s="1" t="s">
        <v>74</v>
      </c>
      <c r="BL444" s="1" t="s">
        <v>74</v>
      </c>
      <c r="BM444" s="1" t="s">
        <v>74</v>
      </c>
      <c r="BN444" s="1">
        <v>3.919916E7</v>
      </c>
      <c r="BO444" s="1" t="s">
        <v>74</v>
      </c>
      <c r="BP444" s="1" t="s">
        <v>74</v>
      </c>
      <c r="BQ444" s="1" t="s">
        <v>74</v>
      </c>
      <c r="BR444" s="1" t="s">
        <v>74</v>
      </c>
      <c r="BS444" s="1" t="s">
        <v>4612</v>
      </c>
      <c r="BT444" s="1" t="str">
        <f>HYPERLINK("https%3A%2F%2Fwww.webofscience.com%2Fwos%2Fwoscc%2Ffull-record%2FWOS:001305855000001","View Full Record in Web of Science")</f>
        <v>View Full Record in Web of Science</v>
      </c>
    </row>
    <row r="445" ht="12.75" customHeight="1">
      <c r="A445" s="1" t="s">
        <v>72</v>
      </c>
      <c r="B445" s="1" t="s">
        <v>4613</v>
      </c>
      <c r="C445" s="1" t="s">
        <v>74</v>
      </c>
      <c r="D445" s="1" t="s">
        <v>74</v>
      </c>
      <c r="E445" s="1" t="s">
        <v>74</v>
      </c>
      <c r="F445" s="1" t="s">
        <v>4614</v>
      </c>
      <c r="G445" s="1" t="s">
        <v>74</v>
      </c>
      <c r="H445" s="1" t="s">
        <v>74</v>
      </c>
      <c r="I445" s="1" t="s">
        <v>4615</v>
      </c>
      <c r="J445" s="1" t="s">
        <v>4616</v>
      </c>
      <c r="K445" s="1" t="s">
        <v>74</v>
      </c>
      <c r="L445" s="1" t="s">
        <v>74</v>
      </c>
      <c r="M445" s="1" t="s">
        <v>74</v>
      </c>
      <c r="N445" s="1" t="s">
        <v>74</v>
      </c>
      <c r="O445" s="1" t="s">
        <v>74</v>
      </c>
      <c r="P445" s="1" t="s">
        <v>74</v>
      </c>
      <c r="Q445" s="1" t="s">
        <v>74</v>
      </c>
      <c r="R445" s="1" t="s">
        <v>74</v>
      </c>
      <c r="S445" s="1" t="s">
        <v>74</v>
      </c>
      <c r="T445" s="1" t="s">
        <v>74</v>
      </c>
      <c r="U445" s="1" t="s">
        <v>74</v>
      </c>
      <c r="V445" s="1" t="s">
        <v>4617</v>
      </c>
      <c r="W445" s="1" t="s">
        <v>74</v>
      </c>
      <c r="X445" s="1" t="s">
        <v>74</v>
      </c>
      <c r="Y445" s="1" t="s">
        <v>74</v>
      </c>
      <c r="Z445" s="1" t="s">
        <v>74</v>
      </c>
      <c r="AA445" s="1" t="s">
        <v>4618</v>
      </c>
      <c r="AB445" s="1" t="s">
        <v>4619</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4620</v>
      </c>
      <c r="AP445" s="1" t="s">
        <v>4621</v>
      </c>
      <c r="AQ445" s="1" t="s">
        <v>74</v>
      </c>
      <c r="AR445" s="1" t="s">
        <v>74</v>
      </c>
      <c r="AS445" s="1" t="s">
        <v>74</v>
      </c>
      <c r="AT445" s="1" t="s">
        <v>4622</v>
      </c>
      <c r="AU445" s="1">
        <v>2024.0</v>
      </c>
      <c r="AV445" s="1">
        <v>125.0</v>
      </c>
      <c r="AW445" s="1" t="s">
        <v>74</v>
      </c>
      <c r="AX445" s="1" t="s">
        <v>74</v>
      </c>
      <c r="AY445" s="1" t="s">
        <v>74</v>
      </c>
      <c r="AZ445" s="1" t="s">
        <v>74</v>
      </c>
      <c r="BA445" s="1" t="s">
        <v>74</v>
      </c>
      <c r="BB445" s="1">
        <v>364.0</v>
      </c>
      <c r="BC445" s="1">
        <v>373.0</v>
      </c>
      <c r="BD445" s="1" t="s">
        <v>74</v>
      </c>
      <c r="BE445" s="1" t="s">
        <v>4623</v>
      </c>
      <c r="BF445" s="2" t="str">
        <f>HYPERLINK("http://dx.doi.org/10.1016/j.jmapro.2024.07.052","http://dx.doi.org/10.1016/j.jmapro.2024.07.052")</f>
        <v>http://dx.doi.org/10.1016/j.jmapro.2024.07.052</v>
      </c>
      <c r="BG445" s="1" t="s">
        <v>74</v>
      </c>
      <c r="BH445" s="1" t="s">
        <v>4624</v>
      </c>
      <c r="BI445" s="1" t="s">
        <v>74</v>
      </c>
      <c r="BJ445" s="1" t="s">
        <v>74</v>
      </c>
      <c r="BK445" s="1" t="s">
        <v>74</v>
      </c>
      <c r="BL445" s="1" t="s">
        <v>74</v>
      </c>
      <c r="BM445" s="1" t="s">
        <v>74</v>
      </c>
      <c r="BN445" s="1" t="s">
        <v>74</v>
      </c>
      <c r="BO445" s="1" t="s">
        <v>74</v>
      </c>
      <c r="BP445" s="1" t="s">
        <v>74</v>
      </c>
      <c r="BQ445" s="1" t="s">
        <v>74</v>
      </c>
      <c r="BR445" s="1" t="s">
        <v>74</v>
      </c>
      <c r="BS445" s="1" t="s">
        <v>4625</v>
      </c>
      <c r="BT445" s="1" t="str">
        <f>HYPERLINK("https%3A%2F%2Fwww.webofscience.com%2Fwos%2Fwoscc%2Ffull-record%2FWOS:001279259800001","View Full Record in Web of Science")</f>
        <v>View Full Record in Web of Science</v>
      </c>
    </row>
    <row r="446" ht="12.75" customHeight="1">
      <c r="A446" s="1" t="s">
        <v>72</v>
      </c>
      <c r="B446" s="1" t="s">
        <v>4626</v>
      </c>
      <c r="C446" s="1" t="s">
        <v>74</v>
      </c>
      <c r="D446" s="1" t="s">
        <v>74</v>
      </c>
      <c r="E446" s="1" t="s">
        <v>74</v>
      </c>
      <c r="F446" s="1" t="s">
        <v>4627</v>
      </c>
      <c r="G446" s="1" t="s">
        <v>74</v>
      </c>
      <c r="H446" s="1" t="s">
        <v>74</v>
      </c>
      <c r="I446" s="1" t="s">
        <v>4628</v>
      </c>
      <c r="J446" s="1" t="s">
        <v>4629</v>
      </c>
      <c r="K446" s="1" t="s">
        <v>74</v>
      </c>
      <c r="L446" s="1" t="s">
        <v>74</v>
      </c>
      <c r="M446" s="1" t="s">
        <v>74</v>
      </c>
      <c r="N446" s="1" t="s">
        <v>74</v>
      </c>
      <c r="O446" s="1" t="s">
        <v>74</v>
      </c>
      <c r="P446" s="1" t="s">
        <v>74</v>
      </c>
      <c r="Q446" s="1" t="s">
        <v>74</v>
      </c>
      <c r="R446" s="1" t="s">
        <v>74</v>
      </c>
      <c r="S446" s="1" t="s">
        <v>74</v>
      </c>
      <c r="T446" s="1" t="s">
        <v>74</v>
      </c>
      <c r="U446" s="1" t="s">
        <v>74</v>
      </c>
      <c r="V446" s="1" t="s">
        <v>4630</v>
      </c>
      <c r="W446" s="1" t="s">
        <v>74</v>
      </c>
      <c r="X446" s="1" t="s">
        <v>74</v>
      </c>
      <c r="Y446" s="1" t="s">
        <v>74</v>
      </c>
      <c r="Z446" s="1" t="s">
        <v>74</v>
      </c>
      <c r="AA446" s="1" t="s">
        <v>74</v>
      </c>
      <c r="AB446" s="1" t="s">
        <v>4631</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4632</v>
      </c>
      <c r="AP446" s="1" t="s">
        <v>4633</v>
      </c>
      <c r="AQ446" s="1" t="s">
        <v>74</v>
      </c>
      <c r="AR446" s="1" t="s">
        <v>74</v>
      </c>
      <c r="AS446" s="1" t="s">
        <v>74</v>
      </c>
      <c r="AT446" s="1" t="s">
        <v>94</v>
      </c>
      <c r="AU446" s="1">
        <v>2024.0</v>
      </c>
      <c r="AV446" s="1">
        <v>171.0</v>
      </c>
      <c r="AW446" s="1" t="s">
        <v>74</v>
      </c>
      <c r="AX446" s="1" t="s">
        <v>74</v>
      </c>
      <c r="AY446" s="1" t="s">
        <v>74</v>
      </c>
      <c r="AZ446" s="1" t="s">
        <v>74</v>
      </c>
      <c r="BA446" s="1" t="s">
        <v>74</v>
      </c>
      <c r="BB446" s="1" t="s">
        <v>74</v>
      </c>
      <c r="BC446" s="1" t="s">
        <v>74</v>
      </c>
      <c r="BD446" s="1">
        <v>105223.0</v>
      </c>
      <c r="BE446" s="1" t="s">
        <v>4634</v>
      </c>
      <c r="BF446" s="2" t="str">
        <f>HYPERLINK("http://dx.doi.org/10.1016/j.rvsc.2024.105223","http://dx.doi.org/10.1016/j.rvsc.2024.105223")</f>
        <v>http://dx.doi.org/10.1016/j.rvsc.2024.105223</v>
      </c>
      <c r="BG446" s="1" t="s">
        <v>74</v>
      </c>
      <c r="BH446" s="1" t="s">
        <v>2347</v>
      </c>
      <c r="BI446" s="1" t="s">
        <v>74</v>
      </c>
      <c r="BJ446" s="1" t="s">
        <v>74</v>
      </c>
      <c r="BK446" s="1" t="s">
        <v>74</v>
      </c>
      <c r="BL446" s="1" t="s">
        <v>74</v>
      </c>
      <c r="BM446" s="1" t="s">
        <v>74</v>
      </c>
      <c r="BN446" s="1">
        <v>3.8520841E7</v>
      </c>
      <c r="BO446" s="1" t="s">
        <v>74</v>
      </c>
      <c r="BP446" s="1" t="s">
        <v>74</v>
      </c>
      <c r="BQ446" s="1" t="s">
        <v>74</v>
      </c>
      <c r="BR446" s="1" t="s">
        <v>74</v>
      </c>
      <c r="BS446" s="1" t="s">
        <v>4635</v>
      </c>
      <c r="BT446" s="1" t="str">
        <f>HYPERLINK("https%3A%2F%2Fwww.webofscience.com%2Fwos%2Fwoscc%2Ffull-record%2FWOS:001218465500001","View Full Record in Web of Science")</f>
        <v>View Full Record in Web of Science</v>
      </c>
    </row>
    <row r="447" ht="12.75" customHeight="1">
      <c r="A447" s="1" t="s">
        <v>72</v>
      </c>
      <c r="B447" s="1" t="s">
        <v>4636</v>
      </c>
      <c r="C447" s="1" t="s">
        <v>74</v>
      </c>
      <c r="D447" s="1" t="s">
        <v>74</v>
      </c>
      <c r="E447" s="1" t="s">
        <v>74</v>
      </c>
      <c r="F447" s="1" t="s">
        <v>4637</v>
      </c>
      <c r="G447" s="1" t="s">
        <v>74</v>
      </c>
      <c r="H447" s="1" t="s">
        <v>74</v>
      </c>
      <c r="I447" s="1" t="s">
        <v>4638</v>
      </c>
      <c r="J447" s="1" t="s">
        <v>4639</v>
      </c>
      <c r="K447" s="1" t="s">
        <v>74</v>
      </c>
      <c r="L447" s="1" t="s">
        <v>74</v>
      </c>
      <c r="M447" s="1" t="s">
        <v>74</v>
      </c>
      <c r="N447" s="1" t="s">
        <v>74</v>
      </c>
      <c r="O447" s="1" t="s">
        <v>74</v>
      </c>
      <c r="P447" s="1" t="s">
        <v>74</v>
      </c>
      <c r="Q447" s="1" t="s">
        <v>74</v>
      </c>
      <c r="R447" s="1" t="s">
        <v>74</v>
      </c>
      <c r="S447" s="1" t="s">
        <v>74</v>
      </c>
      <c r="T447" s="1" t="s">
        <v>74</v>
      </c>
      <c r="U447" s="1" t="s">
        <v>74</v>
      </c>
      <c r="V447" s="1" t="s">
        <v>4640</v>
      </c>
      <c r="W447" s="1" t="s">
        <v>74</v>
      </c>
      <c r="X447" s="1" t="s">
        <v>74</v>
      </c>
      <c r="Y447" s="1" t="s">
        <v>74</v>
      </c>
      <c r="Z447" s="1" t="s">
        <v>74</v>
      </c>
      <c r="AA447" s="1" t="s">
        <v>4641</v>
      </c>
      <c r="AB447" s="1" t="s">
        <v>4642</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4643</v>
      </c>
      <c r="AP447" s="1" t="s">
        <v>4644</v>
      </c>
      <c r="AQ447" s="1" t="s">
        <v>74</v>
      </c>
      <c r="AR447" s="1" t="s">
        <v>74</v>
      </c>
      <c r="AS447" s="1" t="s">
        <v>74</v>
      </c>
      <c r="AT447" s="1" t="s">
        <v>1266</v>
      </c>
      <c r="AU447" s="1">
        <v>2023.0</v>
      </c>
      <c r="AV447" s="1">
        <v>422.0</v>
      </c>
      <c r="AW447" s="1" t="s">
        <v>74</v>
      </c>
      <c r="AX447" s="1" t="s">
        <v>74</v>
      </c>
      <c r="AY447" s="1" t="s">
        <v>74</v>
      </c>
      <c r="AZ447" s="1" t="s">
        <v>74</v>
      </c>
      <c r="BA447" s="1" t="s">
        <v>74</v>
      </c>
      <c r="BB447" s="1" t="s">
        <v>74</v>
      </c>
      <c r="BC447" s="1" t="s">
        <v>74</v>
      </c>
      <c r="BD447" s="1">
        <v>118462.0</v>
      </c>
      <c r="BE447" s="1" t="s">
        <v>4645</v>
      </c>
      <c r="BF447" s="2" t="str">
        <f>HYPERLINK("http://dx.doi.org/10.1016/j.powtec.2023.118462","http://dx.doi.org/10.1016/j.powtec.2023.118462")</f>
        <v>http://dx.doi.org/10.1016/j.powtec.2023.118462</v>
      </c>
      <c r="BG447" s="1" t="s">
        <v>74</v>
      </c>
      <c r="BH447" s="1" t="s">
        <v>4406</v>
      </c>
      <c r="BI447" s="1" t="s">
        <v>74</v>
      </c>
      <c r="BJ447" s="1" t="s">
        <v>74</v>
      </c>
      <c r="BK447" s="1" t="s">
        <v>74</v>
      </c>
      <c r="BL447" s="1" t="s">
        <v>74</v>
      </c>
      <c r="BM447" s="1" t="s">
        <v>74</v>
      </c>
      <c r="BN447" s="1" t="s">
        <v>74</v>
      </c>
      <c r="BO447" s="1" t="s">
        <v>74</v>
      </c>
      <c r="BP447" s="1" t="s">
        <v>74</v>
      </c>
      <c r="BQ447" s="1" t="s">
        <v>74</v>
      </c>
      <c r="BR447" s="1" t="s">
        <v>74</v>
      </c>
      <c r="BS447" s="1" t="s">
        <v>4646</v>
      </c>
      <c r="BT447" s="1" t="str">
        <f>HYPERLINK("https%3A%2F%2Fwww.webofscience.com%2Fwos%2Fwoscc%2Ffull-record%2FWOS:000965265000001","View Full Record in Web of Science")</f>
        <v>View Full Record in Web of Science</v>
      </c>
    </row>
    <row r="448" ht="12.75" customHeight="1">
      <c r="A448" s="1" t="s">
        <v>72</v>
      </c>
      <c r="B448" s="1" t="s">
        <v>4647</v>
      </c>
      <c r="C448" s="1" t="s">
        <v>74</v>
      </c>
      <c r="D448" s="1" t="s">
        <v>74</v>
      </c>
      <c r="E448" s="1" t="s">
        <v>74</v>
      </c>
      <c r="F448" s="1" t="s">
        <v>4648</v>
      </c>
      <c r="G448" s="1" t="s">
        <v>74</v>
      </c>
      <c r="H448" s="1" t="s">
        <v>74</v>
      </c>
      <c r="I448" s="1" t="s">
        <v>4649</v>
      </c>
      <c r="J448" s="1" t="s">
        <v>4650</v>
      </c>
      <c r="K448" s="1" t="s">
        <v>74</v>
      </c>
      <c r="L448" s="1" t="s">
        <v>74</v>
      </c>
      <c r="M448" s="1" t="s">
        <v>74</v>
      </c>
      <c r="N448" s="1" t="s">
        <v>74</v>
      </c>
      <c r="O448" s="1" t="s">
        <v>74</v>
      </c>
      <c r="P448" s="1" t="s">
        <v>74</v>
      </c>
      <c r="Q448" s="1" t="s">
        <v>74</v>
      </c>
      <c r="R448" s="1" t="s">
        <v>74</v>
      </c>
      <c r="S448" s="1" t="s">
        <v>74</v>
      </c>
      <c r="T448" s="1" t="s">
        <v>74</v>
      </c>
      <c r="U448" s="1" t="s">
        <v>74</v>
      </c>
      <c r="V448" s="1" t="s">
        <v>4651</v>
      </c>
      <c r="W448" s="1" t="s">
        <v>74</v>
      </c>
      <c r="X448" s="1" t="s">
        <v>74</v>
      </c>
      <c r="Y448" s="1" t="s">
        <v>74</v>
      </c>
      <c r="Z448" s="1" t="s">
        <v>74</v>
      </c>
      <c r="AA448" s="1" t="s">
        <v>4652</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4653</v>
      </c>
      <c r="AP448" s="1" t="s">
        <v>74</v>
      </c>
      <c r="AQ448" s="1" t="s">
        <v>74</v>
      </c>
      <c r="AR448" s="1" t="s">
        <v>74</v>
      </c>
      <c r="AS448" s="1" t="s">
        <v>74</v>
      </c>
      <c r="AT448" s="1" t="s">
        <v>74</v>
      </c>
      <c r="AU448" s="1">
        <v>2023.0</v>
      </c>
      <c r="AV448" s="1">
        <v>12.0</v>
      </c>
      <c r="AW448" s="1" t="s">
        <v>74</v>
      </c>
      <c r="AX448" s="1" t="s">
        <v>74</v>
      </c>
      <c r="AY448" s="1">
        <v>4.0</v>
      </c>
      <c r="AZ448" s="1" t="s">
        <v>74</v>
      </c>
      <c r="BA448" s="1" t="s">
        <v>74</v>
      </c>
      <c r="BB448" s="1" t="s">
        <v>74</v>
      </c>
      <c r="BC448" s="1" t="s">
        <v>74</v>
      </c>
      <c r="BD448" s="1">
        <v>1.0</v>
      </c>
      <c r="BE448" s="1" t="s">
        <v>74</v>
      </c>
      <c r="BF448" s="1" t="s">
        <v>74</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4654</v>
      </c>
      <c r="BT448" s="1" t="str">
        <f>HYPERLINK("https%3A%2F%2Fwww.webofscience.com%2Fwos%2Fwoscc%2Ffull-record%2FWOS:001143891900010","View Full Record in Web of Science")</f>
        <v>View Full Record in Web of Science</v>
      </c>
    </row>
    <row r="449" ht="12.75" customHeight="1">
      <c r="A449" s="1" t="s">
        <v>72</v>
      </c>
      <c r="B449" s="1" t="s">
        <v>4655</v>
      </c>
      <c r="C449" s="1" t="s">
        <v>74</v>
      </c>
      <c r="D449" s="1" t="s">
        <v>74</v>
      </c>
      <c r="E449" s="1" t="s">
        <v>74</v>
      </c>
      <c r="F449" s="1" t="s">
        <v>4656</v>
      </c>
      <c r="G449" s="1" t="s">
        <v>74</v>
      </c>
      <c r="H449" s="1" t="s">
        <v>74</v>
      </c>
      <c r="I449" s="1" t="s">
        <v>4657</v>
      </c>
      <c r="J449" s="1" t="s">
        <v>4658</v>
      </c>
      <c r="K449" s="1" t="s">
        <v>74</v>
      </c>
      <c r="L449" s="1" t="s">
        <v>74</v>
      </c>
      <c r="M449" s="1" t="s">
        <v>74</v>
      </c>
      <c r="N449" s="1" t="s">
        <v>74</v>
      </c>
      <c r="O449" s="1" t="s">
        <v>74</v>
      </c>
      <c r="P449" s="1" t="s">
        <v>74</v>
      </c>
      <c r="Q449" s="1" t="s">
        <v>74</v>
      </c>
      <c r="R449" s="1" t="s">
        <v>74</v>
      </c>
      <c r="S449" s="1" t="s">
        <v>74</v>
      </c>
      <c r="T449" s="1" t="s">
        <v>74</v>
      </c>
      <c r="U449" s="1" t="s">
        <v>74</v>
      </c>
      <c r="V449" s="1" t="s">
        <v>4659</v>
      </c>
      <c r="W449" s="1" t="s">
        <v>74</v>
      </c>
      <c r="X449" s="1" t="s">
        <v>74</v>
      </c>
      <c r="Y449" s="1" t="s">
        <v>74</v>
      </c>
      <c r="Z449" s="1" t="s">
        <v>74</v>
      </c>
      <c r="AA449" s="1" t="s">
        <v>4660</v>
      </c>
      <c r="AB449" s="1" t="s">
        <v>4661</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4662</v>
      </c>
      <c r="AP449" s="1" t="s">
        <v>4663</v>
      </c>
      <c r="AQ449" s="1" t="s">
        <v>74</v>
      </c>
      <c r="AR449" s="1" t="s">
        <v>74</v>
      </c>
      <c r="AS449" s="1" t="s">
        <v>74</v>
      </c>
      <c r="AT449" s="1" t="s">
        <v>176</v>
      </c>
      <c r="AU449" s="1">
        <v>2022.0</v>
      </c>
      <c r="AV449" s="1">
        <v>52.0</v>
      </c>
      <c r="AW449" s="1">
        <v>5.0</v>
      </c>
      <c r="AX449" s="1" t="s">
        <v>74</v>
      </c>
      <c r="AY449" s="1" t="s">
        <v>74</v>
      </c>
      <c r="AZ449" s="1" t="s">
        <v>74</v>
      </c>
      <c r="BA449" s="1" t="s">
        <v>74</v>
      </c>
      <c r="BB449" s="1">
        <v>5770.0</v>
      </c>
      <c r="BC449" s="1">
        <v>5783.0</v>
      </c>
      <c r="BD449" s="1" t="s">
        <v>74</v>
      </c>
      <c r="BE449" s="1" t="s">
        <v>4664</v>
      </c>
      <c r="BF449" s="2" t="str">
        <f>HYPERLINK("http://dx.doi.org/10.1007/s10489-021-02735-2","http://dx.doi.org/10.1007/s10489-021-02735-2")</f>
        <v>http://dx.doi.org/10.1007/s10489-021-02735-2</v>
      </c>
      <c r="BG449" s="1" t="s">
        <v>74</v>
      </c>
      <c r="BH449" s="1" t="s">
        <v>4665</v>
      </c>
      <c r="BI449" s="1" t="s">
        <v>74</v>
      </c>
      <c r="BJ449" s="1" t="s">
        <v>74</v>
      </c>
      <c r="BK449" s="1" t="s">
        <v>74</v>
      </c>
      <c r="BL449" s="1" t="s">
        <v>74</v>
      </c>
      <c r="BM449" s="1" t="s">
        <v>74</v>
      </c>
      <c r="BN449" s="1" t="s">
        <v>74</v>
      </c>
      <c r="BO449" s="1" t="s">
        <v>74</v>
      </c>
      <c r="BP449" s="1" t="s">
        <v>74</v>
      </c>
      <c r="BQ449" s="1" t="s">
        <v>74</v>
      </c>
      <c r="BR449" s="1" t="s">
        <v>74</v>
      </c>
      <c r="BS449" s="1" t="s">
        <v>4666</v>
      </c>
      <c r="BT449" s="1" t="str">
        <f>HYPERLINK("https%3A%2F%2Fwww.webofscience.com%2Fwos%2Fwoscc%2Ffull-record%2FWOS:000686993000001","View Full Record in Web of Science")</f>
        <v>View Full Record in Web of Science</v>
      </c>
    </row>
    <row r="450" ht="12.75" customHeight="1">
      <c r="A450" s="1" t="s">
        <v>72</v>
      </c>
      <c r="B450" s="1" t="s">
        <v>4667</v>
      </c>
      <c r="C450" s="1" t="s">
        <v>74</v>
      </c>
      <c r="D450" s="1" t="s">
        <v>74</v>
      </c>
      <c r="E450" s="1" t="s">
        <v>74</v>
      </c>
      <c r="F450" s="1" t="s">
        <v>4668</v>
      </c>
      <c r="G450" s="1" t="s">
        <v>74</v>
      </c>
      <c r="H450" s="1" t="s">
        <v>74</v>
      </c>
      <c r="I450" s="1" t="s">
        <v>4669</v>
      </c>
      <c r="J450" s="1" t="s">
        <v>4670</v>
      </c>
      <c r="K450" s="1" t="s">
        <v>74</v>
      </c>
      <c r="L450" s="1" t="s">
        <v>74</v>
      </c>
      <c r="M450" s="1" t="s">
        <v>74</v>
      </c>
      <c r="N450" s="1" t="s">
        <v>74</v>
      </c>
      <c r="O450" s="1" t="s">
        <v>74</v>
      </c>
      <c r="P450" s="1" t="s">
        <v>74</v>
      </c>
      <c r="Q450" s="1" t="s">
        <v>74</v>
      </c>
      <c r="R450" s="1" t="s">
        <v>74</v>
      </c>
      <c r="S450" s="1" t="s">
        <v>74</v>
      </c>
      <c r="T450" s="1" t="s">
        <v>74</v>
      </c>
      <c r="U450" s="1" t="s">
        <v>74</v>
      </c>
      <c r="V450" s="1" t="s">
        <v>4671</v>
      </c>
      <c r="W450" s="1" t="s">
        <v>74</v>
      </c>
      <c r="X450" s="1" t="s">
        <v>74</v>
      </c>
      <c r="Y450" s="1" t="s">
        <v>74</v>
      </c>
      <c r="Z450" s="1" t="s">
        <v>74</v>
      </c>
      <c r="AA450" s="1" t="s">
        <v>74</v>
      </c>
      <c r="AB450" s="1" t="s">
        <v>4672</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4673</v>
      </c>
      <c r="AP450" s="1" t="s">
        <v>4674</v>
      </c>
      <c r="AQ450" s="1" t="s">
        <v>74</v>
      </c>
      <c r="AR450" s="1" t="s">
        <v>74</v>
      </c>
      <c r="AS450" s="1" t="s">
        <v>74</v>
      </c>
      <c r="AT450" s="1" t="s">
        <v>877</v>
      </c>
      <c r="AU450" s="1">
        <v>2021.0</v>
      </c>
      <c r="AV450" s="1">
        <v>41.0</v>
      </c>
      <c r="AW450" s="1">
        <v>8.0</v>
      </c>
      <c r="AX450" s="1" t="s">
        <v>74</v>
      </c>
      <c r="AY450" s="1" t="s">
        <v>74</v>
      </c>
      <c r="AZ450" s="1" t="s">
        <v>74</v>
      </c>
      <c r="BA450" s="1" t="s">
        <v>74</v>
      </c>
      <c r="BB450" s="1">
        <v>3555.0</v>
      </c>
      <c r="BC450" s="1">
        <v>3577.0</v>
      </c>
      <c r="BD450" s="1" t="s">
        <v>74</v>
      </c>
      <c r="BE450" s="1" t="s">
        <v>4675</v>
      </c>
      <c r="BF450" s="2" t="str">
        <f>HYPERLINK("http://dx.doi.org/10.3934/dcds.2021007","http://dx.doi.org/10.3934/dcds.2021007")</f>
        <v>http://dx.doi.org/10.3934/dcds.2021007</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4676</v>
      </c>
      <c r="BT450" s="1" t="str">
        <f>HYPERLINK("https%3A%2F%2Fwww.webofscience.com%2Fwos%2Fwoscc%2Ffull-record%2FWOS:000639149800002","View Full Record in Web of Science")</f>
        <v>View Full Record in Web of Science</v>
      </c>
    </row>
    <row r="451" ht="12.75" customHeight="1">
      <c r="A451" s="1" t="s">
        <v>72</v>
      </c>
      <c r="B451" s="1" t="s">
        <v>4677</v>
      </c>
      <c r="C451" s="1" t="s">
        <v>74</v>
      </c>
      <c r="D451" s="1" t="s">
        <v>74</v>
      </c>
      <c r="E451" s="1" t="s">
        <v>74</v>
      </c>
      <c r="F451" s="1" t="s">
        <v>4678</v>
      </c>
      <c r="G451" s="1" t="s">
        <v>74</v>
      </c>
      <c r="H451" s="1" t="s">
        <v>74</v>
      </c>
      <c r="I451" s="1" t="s">
        <v>4679</v>
      </c>
      <c r="J451" s="1" t="s">
        <v>4680</v>
      </c>
      <c r="K451" s="1" t="s">
        <v>74</v>
      </c>
      <c r="L451" s="1" t="s">
        <v>74</v>
      </c>
      <c r="M451" s="1" t="s">
        <v>74</v>
      </c>
      <c r="N451" s="1" t="s">
        <v>74</v>
      </c>
      <c r="O451" s="1" t="s">
        <v>74</v>
      </c>
      <c r="P451" s="1" t="s">
        <v>74</v>
      </c>
      <c r="Q451" s="1" t="s">
        <v>74</v>
      </c>
      <c r="R451" s="1" t="s">
        <v>74</v>
      </c>
      <c r="S451" s="1" t="s">
        <v>74</v>
      </c>
      <c r="T451" s="1" t="s">
        <v>74</v>
      </c>
      <c r="U451" s="1" t="s">
        <v>74</v>
      </c>
      <c r="V451" s="1" t="s">
        <v>4681</v>
      </c>
      <c r="W451" s="1" t="s">
        <v>74</v>
      </c>
      <c r="X451" s="1" t="s">
        <v>74</v>
      </c>
      <c r="Y451" s="1" t="s">
        <v>74</v>
      </c>
      <c r="Z451" s="1" t="s">
        <v>74</v>
      </c>
      <c r="AA451" s="1" t="s">
        <v>4682</v>
      </c>
      <c r="AB451" s="1" t="s">
        <v>4683</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74</v>
      </c>
      <c r="AP451" s="1" t="s">
        <v>4684</v>
      </c>
      <c r="AQ451" s="1" t="s">
        <v>74</v>
      </c>
      <c r="AR451" s="1" t="s">
        <v>74</v>
      </c>
      <c r="AS451" s="1" t="s">
        <v>74</v>
      </c>
      <c r="AT451" s="1" t="s">
        <v>822</v>
      </c>
      <c r="AU451" s="1">
        <v>2021.0</v>
      </c>
      <c r="AV451" s="1">
        <v>10.0</v>
      </c>
      <c r="AW451" s="1">
        <v>2.0</v>
      </c>
      <c r="AX451" s="1" t="s">
        <v>74</v>
      </c>
      <c r="AY451" s="1" t="s">
        <v>74</v>
      </c>
      <c r="AZ451" s="1" t="s">
        <v>74</v>
      </c>
      <c r="BA451" s="1" t="s">
        <v>74</v>
      </c>
      <c r="BB451" s="1" t="s">
        <v>74</v>
      </c>
      <c r="BC451" s="1" t="s">
        <v>74</v>
      </c>
      <c r="BD451" s="1">
        <v>290.0</v>
      </c>
      <c r="BE451" s="1" t="s">
        <v>4685</v>
      </c>
      <c r="BF451" s="2" t="str">
        <f>HYPERLINK("http://dx.doi.org/10.3390/jcm10020290","http://dx.doi.org/10.3390/jcm10020290")</f>
        <v>http://dx.doi.org/10.3390/jcm10020290</v>
      </c>
      <c r="BG451" s="1" t="s">
        <v>74</v>
      </c>
      <c r="BH451" s="1" t="s">
        <v>74</v>
      </c>
      <c r="BI451" s="1" t="s">
        <v>74</v>
      </c>
      <c r="BJ451" s="1" t="s">
        <v>74</v>
      </c>
      <c r="BK451" s="1" t="s">
        <v>74</v>
      </c>
      <c r="BL451" s="1" t="s">
        <v>74</v>
      </c>
      <c r="BM451" s="1" t="s">
        <v>74</v>
      </c>
      <c r="BN451" s="1">
        <v>3.3466835E7</v>
      </c>
      <c r="BO451" s="1" t="s">
        <v>74</v>
      </c>
      <c r="BP451" s="1" t="s">
        <v>74</v>
      </c>
      <c r="BQ451" s="1" t="s">
        <v>74</v>
      </c>
      <c r="BR451" s="1" t="s">
        <v>74</v>
      </c>
      <c r="BS451" s="1" t="s">
        <v>4686</v>
      </c>
      <c r="BT451" s="1" t="str">
        <f>HYPERLINK("https%3A%2F%2Fwww.webofscience.com%2Fwos%2Fwoscc%2Ffull-record%2FWOS:000611344000001","View Full Record in Web of Science")</f>
        <v>View Full Record in Web of Science</v>
      </c>
    </row>
    <row r="452" ht="12.75" customHeight="1">
      <c r="A452" s="1" t="s">
        <v>72</v>
      </c>
      <c r="B452" s="1" t="s">
        <v>4687</v>
      </c>
      <c r="C452" s="1" t="s">
        <v>74</v>
      </c>
      <c r="D452" s="1" t="s">
        <v>74</v>
      </c>
      <c r="E452" s="1" t="s">
        <v>74</v>
      </c>
      <c r="F452" s="1" t="s">
        <v>4688</v>
      </c>
      <c r="G452" s="1" t="s">
        <v>74</v>
      </c>
      <c r="H452" s="1" t="s">
        <v>74</v>
      </c>
      <c r="I452" s="1" t="s">
        <v>4689</v>
      </c>
      <c r="J452" s="1" t="s">
        <v>4690</v>
      </c>
      <c r="K452" s="1" t="s">
        <v>74</v>
      </c>
      <c r="L452" s="1" t="s">
        <v>74</v>
      </c>
      <c r="M452" s="1" t="s">
        <v>74</v>
      </c>
      <c r="N452" s="1" t="s">
        <v>74</v>
      </c>
      <c r="O452" s="1" t="s">
        <v>74</v>
      </c>
      <c r="P452" s="1" t="s">
        <v>74</v>
      </c>
      <c r="Q452" s="1" t="s">
        <v>74</v>
      </c>
      <c r="R452" s="1" t="s">
        <v>74</v>
      </c>
      <c r="S452" s="1" t="s">
        <v>74</v>
      </c>
      <c r="T452" s="1" t="s">
        <v>74</v>
      </c>
      <c r="U452" s="1" t="s">
        <v>74</v>
      </c>
      <c r="V452" s="1" t="s">
        <v>4691</v>
      </c>
      <c r="W452" s="1" t="s">
        <v>74</v>
      </c>
      <c r="X452" s="1" t="s">
        <v>74</v>
      </c>
      <c r="Y452" s="1" t="s">
        <v>74</v>
      </c>
      <c r="Z452" s="1" t="s">
        <v>74</v>
      </c>
      <c r="AA452" s="1" t="s">
        <v>4692</v>
      </c>
      <c r="AB452" s="1" t="s">
        <v>4693</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4694</v>
      </c>
      <c r="AP452" s="1" t="s">
        <v>4695</v>
      </c>
      <c r="AQ452" s="1" t="s">
        <v>74</v>
      </c>
      <c r="AR452" s="1" t="s">
        <v>74</v>
      </c>
      <c r="AS452" s="1" t="s">
        <v>74</v>
      </c>
      <c r="AT452" s="1" t="s">
        <v>83</v>
      </c>
      <c r="AU452" s="1">
        <v>2020.0</v>
      </c>
      <c r="AV452" s="1">
        <v>225.0</v>
      </c>
      <c r="AW452" s="1">
        <v>9.0</v>
      </c>
      <c r="AX452" s="1" t="s">
        <v>74</v>
      </c>
      <c r="AY452" s="1" t="s">
        <v>74</v>
      </c>
      <c r="AZ452" s="1" t="s">
        <v>74</v>
      </c>
      <c r="BA452" s="1" t="s">
        <v>74</v>
      </c>
      <c r="BB452" s="1">
        <v>2669.0</v>
      </c>
      <c r="BC452" s="1">
        <v>2688.0</v>
      </c>
      <c r="BD452" s="1" t="s">
        <v>74</v>
      </c>
      <c r="BE452" s="1" t="s">
        <v>4696</v>
      </c>
      <c r="BF452" s="2" t="str">
        <f>HYPERLINK("http://dx.doi.org/10.1007/s00429-020-02147-x","http://dx.doi.org/10.1007/s00429-020-02147-x")</f>
        <v>http://dx.doi.org/10.1007/s00429-020-02147-x</v>
      </c>
      <c r="BG452" s="1" t="s">
        <v>74</v>
      </c>
      <c r="BH452" s="1" t="s">
        <v>4697</v>
      </c>
      <c r="BI452" s="1" t="s">
        <v>74</v>
      </c>
      <c r="BJ452" s="1" t="s">
        <v>74</v>
      </c>
      <c r="BK452" s="1" t="s">
        <v>74</v>
      </c>
      <c r="BL452" s="1" t="s">
        <v>74</v>
      </c>
      <c r="BM452" s="1" t="s">
        <v>74</v>
      </c>
      <c r="BN452" s="1">
        <v>3.2989472E7</v>
      </c>
      <c r="BO452" s="1" t="s">
        <v>74</v>
      </c>
      <c r="BP452" s="1" t="s">
        <v>74</v>
      </c>
      <c r="BQ452" s="1" t="s">
        <v>74</v>
      </c>
      <c r="BR452" s="1" t="s">
        <v>74</v>
      </c>
      <c r="BS452" s="1" t="s">
        <v>4698</v>
      </c>
      <c r="BT452" s="1" t="str">
        <f>HYPERLINK("https%3A%2F%2Fwww.webofscience.com%2Fwos%2Fwoscc%2Ffull-record%2FWOS:000573466000001","View Full Record in Web of Science")</f>
        <v>View Full Record in Web of Science</v>
      </c>
    </row>
    <row r="453" ht="12.75" customHeight="1">
      <c r="A453" s="1" t="s">
        <v>72</v>
      </c>
      <c r="B453" s="1" t="s">
        <v>4699</v>
      </c>
      <c r="C453" s="1" t="s">
        <v>74</v>
      </c>
      <c r="D453" s="1" t="s">
        <v>74</v>
      </c>
      <c r="E453" s="1" t="s">
        <v>74</v>
      </c>
      <c r="F453" s="1" t="s">
        <v>4700</v>
      </c>
      <c r="G453" s="1" t="s">
        <v>74</v>
      </c>
      <c r="H453" s="1" t="s">
        <v>74</v>
      </c>
      <c r="I453" s="1" t="s">
        <v>4701</v>
      </c>
      <c r="J453" s="1" t="s">
        <v>4702</v>
      </c>
      <c r="K453" s="1" t="s">
        <v>74</v>
      </c>
      <c r="L453" s="1" t="s">
        <v>74</v>
      </c>
      <c r="M453" s="1" t="s">
        <v>74</v>
      </c>
      <c r="N453" s="1" t="s">
        <v>74</v>
      </c>
      <c r="O453" s="1" t="s">
        <v>74</v>
      </c>
      <c r="P453" s="1" t="s">
        <v>74</v>
      </c>
      <c r="Q453" s="1" t="s">
        <v>74</v>
      </c>
      <c r="R453" s="1" t="s">
        <v>74</v>
      </c>
      <c r="S453" s="1" t="s">
        <v>74</v>
      </c>
      <c r="T453" s="1" t="s">
        <v>74</v>
      </c>
      <c r="U453" s="1" t="s">
        <v>74</v>
      </c>
      <c r="V453" s="1" t="s">
        <v>4703</v>
      </c>
      <c r="W453" s="1" t="s">
        <v>74</v>
      </c>
      <c r="X453" s="1" t="s">
        <v>74</v>
      </c>
      <c r="Y453" s="1" t="s">
        <v>74</v>
      </c>
      <c r="Z453" s="1" t="s">
        <v>74</v>
      </c>
      <c r="AA453" s="1" t="s">
        <v>4704</v>
      </c>
      <c r="AB453" s="1" t="s">
        <v>4705</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4706</v>
      </c>
      <c r="AP453" s="1" t="s">
        <v>4707</v>
      </c>
      <c r="AQ453" s="1" t="s">
        <v>74</v>
      </c>
      <c r="AR453" s="1" t="s">
        <v>74</v>
      </c>
      <c r="AS453" s="1" t="s">
        <v>74</v>
      </c>
      <c r="AT453" s="1" t="s">
        <v>83</v>
      </c>
      <c r="AU453" s="1">
        <v>2020.0</v>
      </c>
      <c r="AV453" s="1">
        <v>43.0</v>
      </c>
      <c r="AW453" s="1">
        <v>12.0</v>
      </c>
      <c r="AX453" s="1" t="s">
        <v>74</v>
      </c>
      <c r="AY453" s="1" t="s">
        <v>74</v>
      </c>
      <c r="AZ453" s="1" t="s">
        <v>74</v>
      </c>
      <c r="BA453" s="1" t="s">
        <v>74</v>
      </c>
      <c r="BB453" s="1">
        <v>1483.0</v>
      </c>
      <c r="BC453" s="1">
        <v>1496.0</v>
      </c>
      <c r="BD453" s="1" t="s">
        <v>74</v>
      </c>
      <c r="BE453" s="1" t="s">
        <v>4708</v>
      </c>
      <c r="BF453" s="2" t="str">
        <f>HYPERLINK("http://dx.doi.org/10.1111/jfd.13242","http://dx.doi.org/10.1111/jfd.13242")</f>
        <v>http://dx.doi.org/10.1111/jfd.13242</v>
      </c>
      <c r="BG453" s="1" t="s">
        <v>74</v>
      </c>
      <c r="BH453" s="1" t="s">
        <v>4697</v>
      </c>
      <c r="BI453" s="1" t="s">
        <v>74</v>
      </c>
      <c r="BJ453" s="1" t="s">
        <v>74</v>
      </c>
      <c r="BK453" s="1" t="s">
        <v>74</v>
      </c>
      <c r="BL453" s="1" t="s">
        <v>74</v>
      </c>
      <c r="BM453" s="1" t="s">
        <v>74</v>
      </c>
      <c r="BN453" s="1">
        <v>3.2955147E7</v>
      </c>
      <c r="BO453" s="1" t="s">
        <v>74</v>
      </c>
      <c r="BP453" s="1" t="s">
        <v>74</v>
      </c>
      <c r="BQ453" s="1" t="s">
        <v>74</v>
      </c>
      <c r="BR453" s="1" t="s">
        <v>74</v>
      </c>
      <c r="BS453" s="1" t="s">
        <v>4709</v>
      </c>
      <c r="BT453" s="1" t="str">
        <f>HYPERLINK("https%3A%2F%2Fwww.webofscience.com%2Fwos%2Fwoscc%2Ffull-record%2FWOS:000571621100001","View Full Record in Web of Science")</f>
        <v>View Full Record in Web of Science</v>
      </c>
    </row>
    <row r="454" ht="12.75" customHeight="1">
      <c r="A454" s="1" t="s">
        <v>154</v>
      </c>
      <c r="B454" s="1" t="s">
        <v>4710</v>
      </c>
      <c r="C454" s="1" t="s">
        <v>74</v>
      </c>
      <c r="D454" s="1" t="s">
        <v>74</v>
      </c>
      <c r="E454" s="1" t="s">
        <v>880</v>
      </c>
      <c r="F454" s="1" t="s">
        <v>4711</v>
      </c>
      <c r="G454" s="1" t="s">
        <v>74</v>
      </c>
      <c r="H454" s="1" t="s">
        <v>74</v>
      </c>
      <c r="I454" s="1" t="s">
        <v>4712</v>
      </c>
      <c r="J454" s="1" t="s">
        <v>3916</v>
      </c>
      <c r="K454" s="1" t="s">
        <v>74</v>
      </c>
      <c r="L454" s="1" t="s">
        <v>74</v>
      </c>
      <c r="M454" s="1" t="s">
        <v>74</v>
      </c>
      <c r="N454" s="1" t="s">
        <v>74</v>
      </c>
      <c r="O454" s="1" t="s">
        <v>3917</v>
      </c>
      <c r="P454" s="1" t="s">
        <v>3918</v>
      </c>
      <c r="Q454" s="1" t="s">
        <v>1242</v>
      </c>
      <c r="R454" s="1" t="s">
        <v>887</v>
      </c>
      <c r="S454" s="1" t="s">
        <v>74</v>
      </c>
      <c r="T454" s="1" t="s">
        <v>74</v>
      </c>
      <c r="U454" s="1" t="s">
        <v>74</v>
      </c>
      <c r="V454" s="1" t="s">
        <v>4713</v>
      </c>
      <c r="W454" s="1" t="s">
        <v>74</v>
      </c>
      <c r="X454" s="1" t="s">
        <v>74</v>
      </c>
      <c r="Y454" s="1" t="s">
        <v>74</v>
      </c>
      <c r="Z454" s="1" t="s">
        <v>74</v>
      </c>
      <c r="AA454" s="1" t="s">
        <v>74</v>
      </c>
      <c r="AB454" s="1" t="s">
        <v>74</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74</v>
      </c>
      <c r="AP454" s="1" t="s">
        <v>74</v>
      </c>
      <c r="AQ454" s="1" t="s">
        <v>3920</v>
      </c>
      <c r="AR454" s="1" t="s">
        <v>74</v>
      </c>
      <c r="AS454" s="1" t="s">
        <v>74</v>
      </c>
      <c r="AT454" s="1" t="s">
        <v>74</v>
      </c>
      <c r="AU454" s="1">
        <v>2020.0</v>
      </c>
      <c r="AV454" s="1" t="s">
        <v>74</v>
      </c>
      <c r="AW454" s="1" t="s">
        <v>74</v>
      </c>
      <c r="AX454" s="1" t="s">
        <v>74</v>
      </c>
      <c r="AY454" s="1" t="s">
        <v>74</v>
      </c>
      <c r="AZ454" s="1" t="s">
        <v>74</v>
      </c>
      <c r="BA454" s="1" t="s">
        <v>74</v>
      </c>
      <c r="BB454" s="1" t="s">
        <v>74</v>
      </c>
      <c r="BC454" s="1" t="s">
        <v>74</v>
      </c>
      <c r="BD454" s="1" t="s">
        <v>4714</v>
      </c>
      <c r="BE454" s="1" t="s">
        <v>74</v>
      </c>
      <c r="BF454" s="1" t="s">
        <v>74</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4715</v>
      </c>
      <c r="BT454" s="1" t="str">
        <f>HYPERLINK("https%3A%2F%2Fwww.webofscience.com%2Fwos%2Fwoscc%2Ffull-record%2FWOS:001233269200019","View Full Record in Web of Science")</f>
        <v>View Full Record in Web of Science</v>
      </c>
    </row>
    <row r="455" ht="12.75" customHeight="1">
      <c r="A455" s="1" t="s">
        <v>72</v>
      </c>
      <c r="B455" s="1" t="s">
        <v>4716</v>
      </c>
      <c r="C455" s="1" t="s">
        <v>74</v>
      </c>
      <c r="D455" s="1" t="s">
        <v>74</v>
      </c>
      <c r="E455" s="1" t="s">
        <v>74</v>
      </c>
      <c r="F455" s="1" t="s">
        <v>4717</v>
      </c>
      <c r="G455" s="1" t="s">
        <v>74</v>
      </c>
      <c r="H455" s="1" t="s">
        <v>74</v>
      </c>
      <c r="I455" s="1" t="s">
        <v>4718</v>
      </c>
      <c r="J455" s="1" t="s">
        <v>182</v>
      </c>
      <c r="K455" s="1" t="s">
        <v>74</v>
      </c>
      <c r="L455" s="1" t="s">
        <v>74</v>
      </c>
      <c r="M455" s="1" t="s">
        <v>74</v>
      </c>
      <c r="N455" s="1" t="s">
        <v>74</v>
      </c>
      <c r="O455" s="1" t="s">
        <v>74</v>
      </c>
      <c r="P455" s="1" t="s">
        <v>74</v>
      </c>
      <c r="Q455" s="1" t="s">
        <v>74</v>
      </c>
      <c r="R455" s="1" t="s">
        <v>74</v>
      </c>
      <c r="S455" s="1" t="s">
        <v>74</v>
      </c>
      <c r="T455" s="1" t="s">
        <v>74</v>
      </c>
      <c r="U455" s="1" t="s">
        <v>74</v>
      </c>
      <c r="V455" s="1" t="s">
        <v>4719</v>
      </c>
      <c r="W455" s="1" t="s">
        <v>74</v>
      </c>
      <c r="X455" s="1" t="s">
        <v>74</v>
      </c>
      <c r="Y455" s="1" t="s">
        <v>74</v>
      </c>
      <c r="Z455" s="1" t="s">
        <v>74</v>
      </c>
      <c r="AA455" s="1" t="s">
        <v>4720</v>
      </c>
      <c r="AB455" s="1" t="s">
        <v>4721</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186</v>
      </c>
      <c r="AP455" s="1" t="s">
        <v>74</v>
      </c>
      <c r="AQ455" s="1" t="s">
        <v>74</v>
      </c>
      <c r="AR455" s="1" t="s">
        <v>74</v>
      </c>
      <c r="AS455" s="1" t="s">
        <v>74</v>
      </c>
      <c r="AT455" s="1" t="s">
        <v>4722</v>
      </c>
      <c r="AU455" s="1">
        <v>2019.0</v>
      </c>
      <c r="AV455" s="1">
        <v>14.0</v>
      </c>
      <c r="AW455" s="1">
        <v>7.0</v>
      </c>
      <c r="AX455" s="1" t="s">
        <v>74</v>
      </c>
      <c r="AY455" s="1" t="s">
        <v>74</v>
      </c>
      <c r="AZ455" s="1" t="s">
        <v>74</v>
      </c>
      <c r="BA455" s="1" t="s">
        <v>74</v>
      </c>
      <c r="BB455" s="1" t="s">
        <v>74</v>
      </c>
      <c r="BC455" s="1" t="s">
        <v>74</v>
      </c>
      <c r="BD455" s="1" t="s">
        <v>4723</v>
      </c>
      <c r="BE455" s="1" t="s">
        <v>4724</v>
      </c>
      <c r="BF455" s="2" t="str">
        <f>HYPERLINK("http://dx.doi.org/10.1371/journal.pone.0220515","http://dx.doi.org/10.1371/journal.pone.0220515")</f>
        <v>http://dx.doi.org/10.1371/journal.pone.0220515</v>
      </c>
      <c r="BG455" s="1" t="s">
        <v>74</v>
      </c>
      <c r="BH455" s="1" t="s">
        <v>74</v>
      </c>
      <c r="BI455" s="1" t="s">
        <v>74</v>
      </c>
      <c r="BJ455" s="1" t="s">
        <v>74</v>
      </c>
      <c r="BK455" s="1" t="s">
        <v>74</v>
      </c>
      <c r="BL455" s="1" t="s">
        <v>74</v>
      </c>
      <c r="BM455" s="1" t="s">
        <v>74</v>
      </c>
      <c r="BN455" s="1">
        <v>3.1348805E7</v>
      </c>
      <c r="BO455" s="1" t="s">
        <v>74</v>
      </c>
      <c r="BP455" s="1" t="s">
        <v>74</v>
      </c>
      <c r="BQ455" s="1" t="s">
        <v>74</v>
      </c>
      <c r="BR455" s="1" t="s">
        <v>74</v>
      </c>
      <c r="BS455" s="1" t="s">
        <v>4725</v>
      </c>
      <c r="BT455" s="1" t="str">
        <f>HYPERLINK("https%3A%2F%2Fwww.webofscience.com%2Fwos%2Fwoscc%2Ffull-record%2FWOS:000484979500039","View Full Record in Web of Science")</f>
        <v>View Full Record in Web of Science</v>
      </c>
    </row>
    <row r="456" ht="12.75" customHeight="1">
      <c r="A456" s="1" t="s">
        <v>72</v>
      </c>
      <c r="B456" s="1" t="s">
        <v>4726</v>
      </c>
      <c r="C456" s="1" t="s">
        <v>74</v>
      </c>
      <c r="D456" s="1" t="s">
        <v>74</v>
      </c>
      <c r="E456" s="1" t="s">
        <v>74</v>
      </c>
      <c r="F456" s="1" t="s">
        <v>4727</v>
      </c>
      <c r="G456" s="1" t="s">
        <v>74</v>
      </c>
      <c r="H456" s="1" t="s">
        <v>74</v>
      </c>
      <c r="I456" s="1" t="s">
        <v>4728</v>
      </c>
      <c r="J456" s="1" t="s">
        <v>4729</v>
      </c>
      <c r="K456" s="1" t="s">
        <v>74</v>
      </c>
      <c r="L456" s="1" t="s">
        <v>74</v>
      </c>
      <c r="M456" s="1" t="s">
        <v>74</v>
      </c>
      <c r="N456" s="1" t="s">
        <v>74</v>
      </c>
      <c r="O456" s="1" t="s">
        <v>74</v>
      </c>
      <c r="P456" s="1" t="s">
        <v>74</v>
      </c>
      <c r="Q456" s="1" t="s">
        <v>74</v>
      </c>
      <c r="R456" s="1" t="s">
        <v>74</v>
      </c>
      <c r="S456" s="1" t="s">
        <v>74</v>
      </c>
      <c r="T456" s="1" t="s">
        <v>74</v>
      </c>
      <c r="U456" s="1" t="s">
        <v>74</v>
      </c>
      <c r="V456" s="1" t="s">
        <v>4730</v>
      </c>
      <c r="W456" s="1" t="s">
        <v>74</v>
      </c>
      <c r="X456" s="1" t="s">
        <v>74</v>
      </c>
      <c r="Y456" s="1" t="s">
        <v>74</v>
      </c>
      <c r="Z456" s="1" t="s">
        <v>74</v>
      </c>
      <c r="AA456" s="1" t="s">
        <v>4731</v>
      </c>
      <c r="AB456" s="1" t="s">
        <v>4732</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4733</v>
      </c>
      <c r="AP456" s="1" t="s">
        <v>4734</v>
      </c>
      <c r="AQ456" s="1" t="s">
        <v>74</v>
      </c>
      <c r="AR456" s="1" t="s">
        <v>74</v>
      </c>
      <c r="AS456" s="1" t="s">
        <v>74</v>
      </c>
      <c r="AT456" s="1" t="s">
        <v>2902</v>
      </c>
      <c r="AU456" s="1">
        <v>2019.0</v>
      </c>
      <c r="AV456" s="1">
        <v>11.0</v>
      </c>
      <c r="AW456" s="1">
        <v>2.0</v>
      </c>
      <c r="AX456" s="1" t="s">
        <v>74</v>
      </c>
      <c r="AY456" s="1" t="s">
        <v>74</v>
      </c>
      <c r="AZ456" s="1" t="s">
        <v>74</v>
      </c>
      <c r="BA456" s="1" t="s">
        <v>74</v>
      </c>
      <c r="BB456" s="1">
        <v>349.0</v>
      </c>
      <c r="BC456" s="1">
        <v>361.0</v>
      </c>
      <c r="BD456" s="1" t="s">
        <v>74</v>
      </c>
      <c r="BE456" s="1" t="s">
        <v>4735</v>
      </c>
      <c r="BF456" s="2" t="str">
        <f>HYPERLINK("http://dx.doi.org/10.1039/c8mt00294k","http://dx.doi.org/10.1039/c8mt00294k")</f>
        <v>http://dx.doi.org/10.1039/c8mt00294k</v>
      </c>
      <c r="BG456" s="1" t="s">
        <v>74</v>
      </c>
      <c r="BH456" s="1" t="s">
        <v>74</v>
      </c>
      <c r="BI456" s="1" t="s">
        <v>74</v>
      </c>
      <c r="BJ456" s="1" t="s">
        <v>74</v>
      </c>
      <c r="BK456" s="1" t="s">
        <v>74</v>
      </c>
      <c r="BL456" s="1" t="s">
        <v>74</v>
      </c>
      <c r="BM456" s="1" t="s">
        <v>74</v>
      </c>
      <c r="BN456" s="1">
        <v>3.0516222E7</v>
      </c>
      <c r="BO456" s="1" t="s">
        <v>74</v>
      </c>
      <c r="BP456" s="1" t="s">
        <v>74</v>
      </c>
      <c r="BQ456" s="1" t="s">
        <v>74</v>
      </c>
      <c r="BR456" s="1" t="s">
        <v>74</v>
      </c>
      <c r="BS456" s="1" t="s">
        <v>4736</v>
      </c>
      <c r="BT456" s="1" t="str">
        <f>HYPERLINK("https%3A%2F%2Fwww.webofscience.com%2Fwos%2Fwoscc%2Ffull-record%2FWOS:000459517300007","View Full Record in Web of Science")</f>
        <v>View Full Record in Web of Science</v>
      </c>
    </row>
    <row r="457" ht="12.75" customHeight="1">
      <c r="A457" s="1" t="s">
        <v>72</v>
      </c>
      <c r="B457" s="1" t="s">
        <v>4737</v>
      </c>
      <c r="C457" s="1" t="s">
        <v>74</v>
      </c>
      <c r="D457" s="1" t="s">
        <v>74</v>
      </c>
      <c r="E457" s="1" t="s">
        <v>74</v>
      </c>
      <c r="F457" s="1" t="s">
        <v>4738</v>
      </c>
      <c r="G457" s="1" t="s">
        <v>74</v>
      </c>
      <c r="H457" s="1" t="s">
        <v>74</v>
      </c>
      <c r="I457" s="1" t="s">
        <v>4739</v>
      </c>
      <c r="J457" s="1" t="s">
        <v>4740</v>
      </c>
      <c r="K457" s="1" t="s">
        <v>74</v>
      </c>
      <c r="L457" s="1" t="s">
        <v>74</v>
      </c>
      <c r="M457" s="1" t="s">
        <v>74</v>
      </c>
      <c r="N457" s="1" t="s">
        <v>74</v>
      </c>
      <c r="O457" s="1" t="s">
        <v>74</v>
      </c>
      <c r="P457" s="1" t="s">
        <v>74</v>
      </c>
      <c r="Q457" s="1" t="s">
        <v>74</v>
      </c>
      <c r="R457" s="1" t="s">
        <v>74</v>
      </c>
      <c r="S457" s="1" t="s">
        <v>74</v>
      </c>
      <c r="T457" s="1" t="s">
        <v>74</v>
      </c>
      <c r="U457" s="1" t="s">
        <v>74</v>
      </c>
      <c r="V457" s="1" t="s">
        <v>4741</v>
      </c>
      <c r="W457" s="1" t="s">
        <v>74</v>
      </c>
      <c r="X457" s="1" t="s">
        <v>74</v>
      </c>
      <c r="Y457" s="1" t="s">
        <v>74</v>
      </c>
      <c r="Z457" s="1" t="s">
        <v>74</v>
      </c>
      <c r="AA457" s="1" t="s">
        <v>4742</v>
      </c>
      <c r="AB457" s="1" t="s">
        <v>4743</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4744</v>
      </c>
      <c r="AP457" s="1" t="s">
        <v>74</v>
      </c>
      <c r="AQ457" s="1" t="s">
        <v>74</v>
      </c>
      <c r="AR457" s="1" t="s">
        <v>74</v>
      </c>
      <c r="AS457" s="1" t="s">
        <v>74</v>
      </c>
      <c r="AT457" s="1" t="s">
        <v>308</v>
      </c>
      <c r="AU457" s="1">
        <v>2018.0</v>
      </c>
      <c r="AV457" s="1">
        <v>20.0</v>
      </c>
      <c r="AW457" s="1">
        <v>4.0</v>
      </c>
      <c r="AX457" s="1" t="s">
        <v>74</v>
      </c>
      <c r="AY457" s="1" t="s">
        <v>74</v>
      </c>
      <c r="AZ457" s="1" t="s">
        <v>74</v>
      </c>
      <c r="BA457" s="1" t="s">
        <v>74</v>
      </c>
      <c r="BB457" s="1" t="s">
        <v>74</v>
      </c>
      <c r="BC457" s="1" t="s">
        <v>74</v>
      </c>
      <c r="BD457" s="1" t="s">
        <v>4745</v>
      </c>
      <c r="BE457" s="1" t="s">
        <v>4746</v>
      </c>
      <c r="BF457" s="2" t="str">
        <f>HYPERLINK("http://dx.doi.org/10.2196/jmir.8803","http://dx.doi.org/10.2196/jmir.8803")</f>
        <v>http://dx.doi.org/10.2196/jmir.8803</v>
      </c>
      <c r="BG457" s="1" t="s">
        <v>74</v>
      </c>
      <c r="BH457" s="1" t="s">
        <v>74</v>
      </c>
      <c r="BI457" s="1" t="s">
        <v>74</v>
      </c>
      <c r="BJ457" s="1" t="s">
        <v>74</v>
      </c>
      <c r="BK457" s="1" t="s">
        <v>74</v>
      </c>
      <c r="BL457" s="1" t="s">
        <v>74</v>
      </c>
      <c r="BM457" s="1" t="s">
        <v>74</v>
      </c>
      <c r="BN457" s="1">
        <v>2.9712627E7</v>
      </c>
      <c r="BO457" s="1" t="s">
        <v>74</v>
      </c>
      <c r="BP457" s="1" t="s">
        <v>74</v>
      </c>
      <c r="BQ457" s="1" t="s">
        <v>74</v>
      </c>
      <c r="BR457" s="1" t="s">
        <v>74</v>
      </c>
      <c r="BS457" s="1" t="s">
        <v>4747</v>
      </c>
      <c r="BT457" s="1" t="str">
        <f>HYPERLINK("https%3A%2F%2Fwww.webofscience.com%2Fwos%2Fwoscc%2Ffull-record%2FWOS:000431148200002","View Full Record in Web of Science")</f>
        <v>View Full Record in Web of Science</v>
      </c>
    </row>
    <row r="458" ht="12.75" customHeight="1">
      <c r="A458" s="1" t="s">
        <v>72</v>
      </c>
      <c r="B458" s="1" t="s">
        <v>4748</v>
      </c>
      <c r="C458" s="1" t="s">
        <v>74</v>
      </c>
      <c r="D458" s="1" t="s">
        <v>74</v>
      </c>
      <c r="E458" s="1" t="s">
        <v>74</v>
      </c>
      <c r="F458" s="1" t="s">
        <v>4749</v>
      </c>
      <c r="G458" s="1" t="s">
        <v>74</v>
      </c>
      <c r="H458" s="1" t="s">
        <v>74</v>
      </c>
      <c r="I458" s="1" t="s">
        <v>4750</v>
      </c>
      <c r="J458" s="1" t="s">
        <v>4751</v>
      </c>
      <c r="K458" s="1" t="s">
        <v>74</v>
      </c>
      <c r="L458" s="1" t="s">
        <v>74</v>
      </c>
      <c r="M458" s="1" t="s">
        <v>74</v>
      </c>
      <c r="N458" s="1" t="s">
        <v>74</v>
      </c>
      <c r="O458" s="1" t="s">
        <v>74</v>
      </c>
      <c r="P458" s="1" t="s">
        <v>74</v>
      </c>
      <c r="Q458" s="1" t="s">
        <v>74</v>
      </c>
      <c r="R458" s="1" t="s">
        <v>74</v>
      </c>
      <c r="S458" s="1" t="s">
        <v>74</v>
      </c>
      <c r="T458" s="1" t="s">
        <v>74</v>
      </c>
      <c r="U458" s="1" t="s">
        <v>74</v>
      </c>
      <c r="V458" s="1" t="s">
        <v>4752</v>
      </c>
      <c r="W458" s="1" t="s">
        <v>74</v>
      </c>
      <c r="X458" s="1" t="s">
        <v>74</v>
      </c>
      <c r="Y458" s="1" t="s">
        <v>74</v>
      </c>
      <c r="Z458" s="1" t="s">
        <v>74</v>
      </c>
      <c r="AA458" s="1" t="s">
        <v>4753</v>
      </c>
      <c r="AB458" s="1" t="s">
        <v>4754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4755</v>
      </c>
      <c r="AP458" s="1" t="s">
        <v>4756</v>
      </c>
      <c r="AQ458" s="1" t="s">
        <v>74</v>
      </c>
      <c r="AR458" s="1" t="s">
        <v>74</v>
      </c>
      <c r="AS458" s="1" t="s">
        <v>74</v>
      </c>
      <c r="AT458" s="1" t="s">
        <v>1082</v>
      </c>
      <c r="AU458" s="1">
        <v>2017.0</v>
      </c>
      <c r="AV458" s="1">
        <v>26.0</v>
      </c>
      <c r="AW458" s="1">
        <v>11.0</v>
      </c>
      <c r="AX458" s="1" t="s">
        <v>74</v>
      </c>
      <c r="AY458" s="1" t="s">
        <v>74</v>
      </c>
      <c r="AZ458" s="1" t="s">
        <v>74</v>
      </c>
      <c r="BA458" s="1" t="s">
        <v>74</v>
      </c>
      <c r="BB458" s="1">
        <v>2707.0</v>
      </c>
      <c r="BC458" s="1">
        <v>2717.0</v>
      </c>
      <c r="BD458" s="1" t="s">
        <v>74</v>
      </c>
      <c r="BE458" s="1" t="s">
        <v>4757</v>
      </c>
      <c r="BF458" s="2" t="str">
        <f>HYPERLINK("http://dx.doi.org/10.1007/s00044-017-1968-9","http://dx.doi.org/10.1007/s00044-017-1968-9")</f>
        <v>http://dx.doi.org/10.1007/s00044-017-1968-9</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4758</v>
      </c>
      <c r="BT458" s="1" t="str">
        <f>HYPERLINK("https%3A%2F%2Fwww.webofscience.com%2Fwos%2Fwoscc%2Ffull-record%2FWOS:000413763600002","View Full Record in Web of Science")</f>
        <v>View Full Record in Web of Science</v>
      </c>
    </row>
    <row r="459" ht="12.75" customHeight="1">
      <c r="A459" s="1" t="s">
        <v>72</v>
      </c>
      <c r="B459" s="1" t="s">
        <v>4759</v>
      </c>
      <c r="C459" s="1" t="s">
        <v>74</v>
      </c>
      <c r="D459" s="1" t="s">
        <v>74</v>
      </c>
      <c r="E459" s="1" t="s">
        <v>74</v>
      </c>
      <c r="F459" s="1" t="s">
        <v>4760</v>
      </c>
      <c r="G459" s="1" t="s">
        <v>74</v>
      </c>
      <c r="H459" s="1" t="s">
        <v>74</v>
      </c>
      <c r="I459" s="1" t="s">
        <v>4761</v>
      </c>
      <c r="J459" s="1" t="s">
        <v>4762</v>
      </c>
      <c r="K459" s="1" t="s">
        <v>74</v>
      </c>
      <c r="L459" s="1" t="s">
        <v>74</v>
      </c>
      <c r="M459" s="1" t="s">
        <v>74</v>
      </c>
      <c r="N459" s="1" t="s">
        <v>74</v>
      </c>
      <c r="O459" s="1" t="s">
        <v>74</v>
      </c>
      <c r="P459" s="1" t="s">
        <v>74</v>
      </c>
      <c r="Q459" s="1" t="s">
        <v>74</v>
      </c>
      <c r="R459" s="1" t="s">
        <v>74</v>
      </c>
      <c r="S459" s="1" t="s">
        <v>74</v>
      </c>
      <c r="T459" s="1" t="s">
        <v>74</v>
      </c>
      <c r="U459" s="1" t="s">
        <v>74</v>
      </c>
      <c r="V459" s="1" t="s">
        <v>4763</v>
      </c>
      <c r="W459" s="1" t="s">
        <v>74</v>
      </c>
      <c r="X459" s="1" t="s">
        <v>74</v>
      </c>
      <c r="Y459" s="1" t="s">
        <v>74</v>
      </c>
      <c r="Z459" s="1" t="s">
        <v>74</v>
      </c>
      <c r="AA459" s="1" t="s">
        <v>4764</v>
      </c>
      <c r="AB459" s="1" t="s">
        <v>4765</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4766</v>
      </c>
      <c r="AP459" s="1" t="s">
        <v>4767</v>
      </c>
      <c r="AQ459" s="1" t="s">
        <v>74</v>
      </c>
      <c r="AR459" s="1" t="s">
        <v>74</v>
      </c>
      <c r="AS459" s="1" t="s">
        <v>74</v>
      </c>
      <c r="AT459" s="1" t="s">
        <v>176</v>
      </c>
      <c r="AU459" s="1">
        <v>2016.0</v>
      </c>
      <c r="AV459" s="1">
        <v>31.0</v>
      </c>
      <c r="AW459" s="1">
        <v>2.0</v>
      </c>
      <c r="AX459" s="1" t="s">
        <v>74</v>
      </c>
      <c r="AY459" s="1" t="s">
        <v>74</v>
      </c>
      <c r="AZ459" s="1" t="s">
        <v>74</v>
      </c>
      <c r="BA459" s="1" t="s">
        <v>74</v>
      </c>
      <c r="BB459" s="1">
        <v>326.0</v>
      </c>
      <c r="BC459" s="1">
        <v>349.0</v>
      </c>
      <c r="BD459" s="1" t="s">
        <v>74</v>
      </c>
      <c r="BE459" s="1" t="s">
        <v>4768</v>
      </c>
      <c r="BF459" s="2" t="str">
        <f>HYPERLINK("http://dx.doi.org/10.1007/s11390-016-1630-x","http://dx.doi.org/10.1007/s11390-016-1630-x")</f>
        <v>http://dx.doi.org/10.1007/s11390-016-1630-x</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4769</v>
      </c>
      <c r="BT459" s="1" t="str">
        <f>HYPERLINK("https%3A%2F%2Fwww.webofscience.com%2Fwos%2Fwoscc%2Ffull-record%2FWOS:000372154100008","View Full Record in Web of Science")</f>
        <v>View Full Record in Web of Science</v>
      </c>
    </row>
    <row r="460" ht="12.75" customHeight="1">
      <c r="A460" s="1" t="s">
        <v>72</v>
      </c>
      <c r="B460" s="1" t="s">
        <v>4770</v>
      </c>
      <c r="C460" s="1" t="s">
        <v>74</v>
      </c>
      <c r="D460" s="1" t="s">
        <v>74</v>
      </c>
      <c r="E460" s="1" t="s">
        <v>74</v>
      </c>
      <c r="F460" s="1" t="s">
        <v>4771</v>
      </c>
      <c r="G460" s="1" t="s">
        <v>74</v>
      </c>
      <c r="H460" s="1" t="s">
        <v>74</v>
      </c>
      <c r="I460" s="1" t="s">
        <v>4772</v>
      </c>
      <c r="J460" s="1" t="s">
        <v>4773</v>
      </c>
      <c r="K460" s="1" t="s">
        <v>74</v>
      </c>
      <c r="L460" s="1" t="s">
        <v>74</v>
      </c>
      <c r="M460" s="1" t="s">
        <v>74</v>
      </c>
      <c r="N460" s="1" t="s">
        <v>74</v>
      </c>
      <c r="O460" s="1" t="s">
        <v>74</v>
      </c>
      <c r="P460" s="1" t="s">
        <v>74</v>
      </c>
      <c r="Q460" s="1" t="s">
        <v>74</v>
      </c>
      <c r="R460" s="1" t="s">
        <v>74</v>
      </c>
      <c r="S460" s="1" t="s">
        <v>74</v>
      </c>
      <c r="T460" s="1" t="s">
        <v>74</v>
      </c>
      <c r="U460" s="1" t="s">
        <v>74</v>
      </c>
      <c r="V460" s="1" t="s">
        <v>4774</v>
      </c>
      <c r="W460" s="1" t="s">
        <v>74</v>
      </c>
      <c r="X460" s="1" t="s">
        <v>74</v>
      </c>
      <c r="Y460" s="1" t="s">
        <v>74</v>
      </c>
      <c r="Z460" s="1" t="s">
        <v>74</v>
      </c>
      <c r="AA460" s="1" t="s">
        <v>4775</v>
      </c>
      <c r="AB460" s="1" t="s">
        <v>4776</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4777</v>
      </c>
      <c r="AP460" s="1" t="s">
        <v>4778</v>
      </c>
      <c r="AQ460" s="1" t="s">
        <v>74</v>
      </c>
      <c r="AR460" s="1" t="s">
        <v>74</v>
      </c>
      <c r="AS460" s="1" t="s">
        <v>74</v>
      </c>
      <c r="AT460" s="1" t="s">
        <v>151</v>
      </c>
      <c r="AU460" s="1">
        <v>2014.0</v>
      </c>
      <c r="AV460" s="1">
        <v>11.0</v>
      </c>
      <c r="AW460" s="1">
        <v>10.0</v>
      </c>
      <c r="AX460" s="1" t="s">
        <v>74</v>
      </c>
      <c r="AY460" s="1" t="s">
        <v>74</v>
      </c>
      <c r="AZ460" s="1" t="s">
        <v>74</v>
      </c>
      <c r="BA460" s="1" t="s">
        <v>74</v>
      </c>
      <c r="BB460" s="1">
        <v>1840.0</v>
      </c>
      <c r="BC460" s="1">
        <v>1843.0</v>
      </c>
      <c r="BD460" s="1" t="s">
        <v>74</v>
      </c>
      <c r="BE460" s="1" t="s">
        <v>4779</v>
      </c>
      <c r="BF460" s="2" t="str">
        <f>HYPERLINK("http://dx.doi.org/10.1109/LGRS.2014.2312032","http://dx.doi.org/10.1109/LGRS.2014.2312032")</f>
        <v>http://dx.doi.org/10.1109/LGRS.2014.2312032</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4780</v>
      </c>
      <c r="BT460" s="1" t="str">
        <f>HYPERLINK("https%3A%2F%2Fwww.webofscience.com%2Fwos%2Fwoscc%2Ffull-record%2FWOS:000337174100036","View Full Record in Web of Science")</f>
        <v>View Full Record in Web of Science</v>
      </c>
    </row>
    <row r="461" ht="12.75" customHeight="1">
      <c r="A461" s="1" t="s">
        <v>72</v>
      </c>
      <c r="B461" s="1" t="s">
        <v>4781</v>
      </c>
      <c r="C461" s="1" t="s">
        <v>74</v>
      </c>
      <c r="D461" s="1" t="s">
        <v>74</v>
      </c>
      <c r="E461" s="1" t="s">
        <v>74</v>
      </c>
      <c r="F461" s="1" t="s">
        <v>4782</v>
      </c>
      <c r="G461" s="1" t="s">
        <v>74</v>
      </c>
      <c r="H461" s="1" t="s">
        <v>74</v>
      </c>
      <c r="I461" s="1" t="s">
        <v>4783</v>
      </c>
      <c r="J461" s="1" t="s">
        <v>4784</v>
      </c>
      <c r="K461" s="1" t="s">
        <v>74</v>
      </c>
      <c r="L461" s="1" t="s">
        <v>74</v>
      </c>
      <c r="M461" s="1" t="s">
        <v>74</v>
      </c>
      <c r="N461" s="1" t="s">
        <v>74</v>
      </c>
      <c r="O461" s="1" t="s">
        <v>74</v>
      </c>
      <c r="P461" s="1" t="s">
        <v>74</v>
      </c>
      <c r="Q461" s="1" t="s">
        <v>74</v>
      </c>
      <c r="R461" s="1" t="s">
        <v>74</v>
      </c>
      <c r="S461" s="1" t="s">
        <v>74</v>
      </c>
      <c r="T461" s="1" t="s">
        <v>74</v>
      </c>
      <c r="U461" s="1" t="s">
        <v>74</v>
      </c>
      <c r="V461" s="1" t="s">
        <v>4785</v>
      </c>
      <c r="W461" s="1" t="s">
        <v>74</v>
      </c>
      <c r="X461" s="1" t="s">
        <v>74</v>
      </c>
      <c r="Y461" s="1" t="s">
        <v>74</v>
      </c>
      <c r="Z461" s="1" t="s">
        <v>74</v>
      </c>
      <c r="AA461" s="1" t="s">
        <v>4786</v>
      </c>
      <c r="AB461" s="1" t="s">
        <v>4787</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4788</v>
      </c>
      <c r="AP461" s="1" t="s">
        <v>4789</v>
      </c>
      <c r="AQ461" s="1" t="s">
        <v>74</v>
      </c>
      <c r="AR461" s="1" t="s">
        <v>74</v>
      </c>
      <c r="AS461" s="1" t="s">
        <v>74</v>
      </c>
      <c r="AT461" s="1" t="s">
        <v>74</v>
      </c>
      <c r="AU461" s="1">
        <v>2012.0</v>
      </c>
      <c r="AV461" s="1">
        <v>22.0</v>
      </c>
      <c r="AW461" s="1">
        <v>2.0</v>
      </c>
      <c r="AX461" s="1" t="s">
        <v>74</v>
      </c>
      <c r="AY461" s="1" t="s">
        <v>74</v>
      </c>
      <c r="AZ461" s="1" t="s">
        <v>74</v>
      </c>
      <c r="BA461" s="1" t="s">
        <v>74</v>
      </c>
      <c r="BB461" s="1">
        <v>94.0</v>
      </c>
      <c r="BC461" s="1">
        <v>104.0</v>
      </c>
      <c r="BD461" s="1" t="s">
        <v>74</v>
      </c>
      <c r="BE461" s="1" t="s">
        <v>4790</v>
      </c>
      <c r="BF461" s="2" t="str">
        <f>HYPERLINK("http://dx.doi.org/10.1159/000338105","http://dx.doi.org/10.1159/000338105")</f>
        <v>http://dx.doi.org/10.1159/000338105</v>
      </c>
      <c r="BG461" s="1" t="s">
        <v>74</v>
      </c>
      <c r="BH461" s="1" t="s">
        <v>74</v>
      </c>
      <c r="BI461" s="1" t="s">
        <v>74</v>
      </c>
      <c r="BJ461" s="1" t="s">
        <v>74</v>
      </c>
      <c r="BK461" s="1" t="s">
        <v>74</v>
      </c>
      <c r="BL461" s="1" t="s">
        <v>74</v>
      </c>
      <c r="BM461" s="1" t="s">
        <v>74</v>
      </c>
      <c r="BN461" s="1">
        <v>2.2627128E7</v>
      </c>
      <c r="BO461" s="1" t="s">
        <v>74</v>
      </c>
      <c r="BP461" s="1" t="s">
        <v>74</v>
      </c>
      <c r="BQ461" s="1" t="s">
        <v>74</v>
      </c>
      <c r="BR461" s="1" t="s">
        <v>74</v>
      </c>
      <c r="BS461" s="1" t="s">
        <v>4791</v>
      </c>
      <c r="BT461" s="1" t="str">
        <f>HYPERLINK("https%3A%2F%2Fwww.webofscience.com%2Fwos%2Fwoscc%2Ffull-record%2FWOS:000306883100003","View Full Record in Web of Science")</f>
        <v>View Full Record in Web of Science</v>
      </c>
    </row>
    <row r="462" ht="12.75" customHeight="1">
      <c r="A462" s="1" t="s">
        <v>154</v>
      </c>
      <c r="B462" s="1" t="s">
        <v>4792</v>
      </c>
      <c r="C462" s="1" t="s">
        <v>74</v>
      </c>
      <c r="D462" s="1" t="s">
        <v>4793</v>
      </c>
      <c r="E462" s="1" t="s">
        <v>74</v>
      </c>
      <c r="F462" s="1" t="s">
        <v>4794</v>
      </c>
      <c r="G462" s="1" t="s">
        <v>74</v>
      </c>
      <c r="H462" s="1" t="s">
        <v>74</v>
      </c>
      <c r="I462" s="1" t="s">
        <v>4795</v>
      </c>
      <c r="J462" s="1" t="s">
        <v>4796</v>
      </c>
      <c r="K462" s="1" t="s">
        <v>1294</v>
      </c>
      <c r="L462" s="1" t="s">
        <v>74</v>
      </c>
      <c r="M462" s="1" t="s">
        <v>74</v>
      </c>
      <c r="N462" s="1" t="s">
        <v>74</v>
      </c>
      <c r="O462" s="1" t="s">
        <v>4797</v>
      </c>
      <c r="P462" s="1" t="s">
        <v>4798</v>
      </c>
      <c r="Q462" s="1" t="s">
        <v>4799</v>
      </c>
      <c r="R462" s="1" t="s">
        <v>74</v>
      </c>
      <c r="S462" s="1" t="s">
        <v>74</v>
      </c>
      <c r="T462" s="1" t="s">
        <v>74</v>
      </c>
      <c r="U462" s="1" t="s">
        <v>74</v>
      </c>
      <c r="V462" s="1" t="s">
        <v>4800</v>
      </c>
      <c r="W462" s="1" t="s">
        <v>74</v>
      </c>
      <c r="X462" s="1" t="s">
        <v>74</v>
      </c>
      <c r="Y462" s="1" t="s">
        <v>74</v>
      </c>
      <c r="Z462" s="1" t="s">
        <v>74</v>
      </c>
      <c r="AA462" s="1" t="s">
        <v>74</v>
      </c>
      <c r="AB462" s="1" t="s">
        <v>4801</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1300</v>
      </c>
      <c r="AP462" s="1" t="s">
        <v>74</v>
      </c>
      <c r="AQ462" s="1" t="s">
        <v>4802</v>
      </c>
      <c r="AR462" s="1" t="s">
        <v>74</v>
      </c>
      <c r="AS462" s="1" t="s">
        <v>74</v>
      </c>
      <c r="AT462" s="1" t="s">
        <v>74</v>
      </c>
      <c r="AU462" s="1">
        <v>2009.0</v>
      </c>
      <c r="AV462" s="1">
        <v>5833.0</v>
      </c>
      <c r="AW462" s="1" t="s">
        <v>74</v>
      </c>
      <c r="AX462" s="1" t="s">
        <v>74</v>
      </c>
      <c r="AY462" s="1" t="s">
        <v>74</v>
      </c>
      <c r="AZ462" s="1" t="s">
        <v>74</v>
      </c>
      <c r="BA462" s="1" t="s">
        <v>74</v>
      </c>
      <c r="BB462" s="1">
        <v>65.0</v>
      </c>
      <c r="BC462" s="1" t="s">
        <v>662</v>
      </c>
      <c r="BD462" s="1" t="s">
        <v>74</v>
      </c>
      <c r="BE462" s="1" t="s">
        <v>74</v>
      </c>
      <c r="BF462" s="1" t="s">
        <v>74</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4803</v>
      </c>
      <c r="BT462" s="1" t="str">
        <f>HYPERLINK("https%3A%2F%2Fwww.webofscience.com%2Fwos%2Fwoscc%2Ffull-record%2FWOS:000278582000008","View Full Record in Web of Science")</f>
        <v>View Full Record in Web of Science</v>
      </c>
    </row>
    <row r="463" ht="12.75" customHeight="1">
      <c r="A463" s="1" t="s">
        <v>72</v>
      </c>
      <c r="B463" s="1" t="s">
        <v>4804</v>
      </c>
      <c r="C463" s="1" t="s">
        <v>74</v>
      </c>
      <c r="D463" s="1" t="s">
        <v>74</v>
      </c>
      <c r="E463" s="1" t="s">
        <v>74</v>
      </c>
      <c r="F463" s="1" t="s">
        <v>4805</v>
      </c>
      <c r="G463" s="1" t="s">
        <v>74</v>
      </c>
      <c r="H463" s="1" t="s">
        <v>74</v>
      </c>
      <c r="I463" s="1" t="s">
        <v>4806</v>
      </c>
      <c r="J463" s="1" t="s">
        <v>4807</v>
      </c>
      <c r="K463" s="1" t="s">
        <v>74</v>
      </c>
      <c r="L463" s="1" t="s">
        <v>74</v>
      </c>
      <c r="M463" s="1" t="s">
        <v>74</v>
      </c>
      <c r="N463" s="1" t="s">
        <v>74</v>
      </c>
      <c r="O463" s="1" t="s">
        <v>4808</v>
      </c>
      <c r="P463" s="1" t="s">
        <v>4809</v>
      </c>
      <c r="Q463" s="1" t="s">
        <v>3028</v>
      </c>
      <c r="R463" s="1" t="s">
        <v>74</v>
      </c>
      <c r="S463" s="1" t="s">
        <v>74</v>
      </c>
      <c r="T463" s="1" t="s">
        <v>74</v>
      </c>
      <c r="U463" s="1" t="s">
        <v>74</v>
      </c>
      <c r="V463" s="1" t="s">
        <v>4810</v>
      </c>
      <c r="W463" s="1" t="s">
        <v>74</v>
      </c>
      <c r="X463" s="1" t="s">
        <v>74</v>
      </c>
      <c r="Y463" s="1" t="s">
        <v>74</v>
      </c>
      <c r="Z463" s="1" t="s">
        <v>74</v>
      </c>
      <c r="AA463" s="1" t="s">
        <v>4811</v>
      </c>
      <c r="AB463" s="1" t="s">
        <v>4812</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4813</v>
      </c>
      <c r="AP463" s="1" t="s">
        <v>4814</v>
      </c>
      <c r="AQ463" s="1" t="s">
        <v>74</v>
      </c>
      <c r="AR463" s="1" t="s">
        <v>74</v>
      </c>
      <c r="AS463" s="1" t="s">
        <v>74</v>
      </c>
      <c r="AT463" s="1" t="s">
        <v>743</v>
      </c>
      <c r="AU463" s="1">
        <v>2008.0</v>
      </c>
      <c r="AV463" s="1">
        <v>130.0</v>
      </c>
      <c r="AW463" s="1">
        <v>1.0</v>
      </c>
      <c r="AX463" s="1" t="s">
        <v>74</v>
      </c>
      <c r="AY463" s="1" t="s">
        <v>74</v>
      </c>
      <c r="AZ463" s="1" t="s">
        <v>74</v>
      </c>
      <c r="BA463" s="1" t="s">
        <v>74</v>
      </c>
      <c r="BB463" s="1">
        <v>50.0</v>
      </c>
      <c r="BC463" s="1">
        <v>55.0</v>
      </c>
      <c r="BD463" s="1" t="s">
        <v>74</v>
      </c>
      <c r="BE463" s="1" t="s">
        <v>4815</v>
      </c>
      <c r="BF463" s="2" t="str">
        <f>HYPERLINK("http://dx.doi.org/10.1016/j.cattod.2007.07.022","http://dx.doi.org/10.1016/j.cattod.2007.07.022")</f>
        <v>http://dx.doi.org/10.1016/j.cattod.2007.07.022</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4816</v>
      </c>
      <c r="BT463" s="1" t="str">
        <f>HYPERLINK("https%3A%2F%2Fwww.webofscience.com%2Fwos%2Fwoscc%2Ffull-record%2FWOS:000251685000007","View Full Record in Web of Science")</f>
        <v>View Full Record in Web of Science</v>
      </c>
    </row>
    <row r="464" ht="12.75" customHeight="1">
      <c r="A464" s="1" t="s">
        <v>72</v>
      </c>
      <c r="B464" s="1" t="s">
        <v>4817</v>
      </c>
      <c r="C464" s="1" t="s">
        <v>74</v>
      </c>
      <c r="D464" s="1" t="s">
        <v>74</v>
      </c>
      <c r="E464" s="1" t="s">
        <v>74</v>
      </c>
      <c r="F464" s="1" t="s">
        <v>4817</v>
      </c>
      <c r="G464" s="1" t="s">
        <v>74</v>
      </c>
      <c r="H464" s="1" t="s">
        <v>74</v>
      </c>
      <c r="I464" s="1" t="s">
        <v>4818</v>
      </c>
      <c r="J464" s="1" t="s">
        <v>4819</v>
      </c>
      <c r="K464" s="1" t="s">
        <v>74</v>
      </c>
      <c r="L464" s="1" t="s">
        <v>74</v>
      </c>
      <c r="M464" s="1" t="s">
        <v>74</v>
      </c>
      <c r="N464" s="1" t="s">
        <v>74</v>
      </c>
      <c r="O464" s="1" t="s">
        <v>74</v>
      </c>
      <c r="P464" s="1" t="s">
        <v>74</v>
      </c>
      <c r="Q464" s="1" t="s">
        <v>74</v>
      </c>
      <c r="R464" s="1" t="s">
        <v>74</v>
      </c>
      <c r="S464" s="1" t="s">
        <v>74</v>
      </c>
      <c r="T464" s="1" t="s">
        <v>74</v>
      </c>
      <c r="U464" s="1" t="s">
        <v>74</v>
      </c>
      <c r="V464" s="1" t="s">
        <v>4820</v>
      </c>
      <c r="W464" s="1" t="s">
        <v>74</v>
      </c>
      <c r="X464" s="1" t="s">
        <v>74</v>
      </c>
      <c r="Y464" s="1" t="s">
        <v>74</v>
      </c>
      <c r="Z464" s="1" t="s">
        <v>74</v>
      </c>
      <c r="AA464" s="1" t="s">
        <v>4821</v>
      </c>
      <c r="AB464" s="1" t="s">
        <v>4822</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4823</v>
      </c>
      <c r="AP464" s="1" t="s">
        <v>74</v>
      </c>
      <c r="AQ464" s="1" t="s">
        <v>74</v>
      </c>
      <c r="AR464" s="1" t="s">
        <v>74</v>
      </c>
      <c r="AS464" s="1" t="s">
        <v>74</v>
      </c>
      <c r="AT464" s="1" t="s">
        <v>974</v>
      </c>
      <c r="AU464" s="1">
        <v>2003.0</v>
      </c>
      <c r="AV464" s="1">
        <v>7.0</v>
      </c>
      <c r="AW464" s="1">
        <v>7.0</v>
      </c>
      <c r="AX464" s="1" t="s">
        <v>74</v>
      </c>
      <c r="AY464" s="1" t="s">
        <v>74</v>
      </c>
      <c r="AZ464" s="1" t="s">
        <v>74</v>
      </c>
      <c r="BA464" s="1" t="s">
        <v>74</v>
      </c>
      <c r="BB464" s="1">
        <v>442.0</v>
      </c>
      <c r="BC464" s="1">
        <v>449.0</v>
      </c>
      <c r="BD464" s="1" t="s">
        <v>74</v>
      </c>
      <c r="BE464" s="1" t="s">
        <v>4824</v>
      </c>
      <c r="BF464" s="2" t="str">
        <f>HYPERLINK("http://dx.doi.org/10.1007/s10008-002-0345-9","http://dx.doi.org/10.1007/s10008-002-0345-9")</f>
        <v>http://dx.doi.org/10.1007/s10008-002-0345-9</v>
      </c>
      <c r="BG464" s="1" t="s">
        <v>74</v>
      </c>
      <c r="BH464" s="1" t="s">
        <v>74</v>
      </c>
      <c r="BI464" s="1" t="s">
        <v>74</v>
      </c>
      <c r="BJ464" s="1" t="s">
        <v>74</v>
      </c>
      <c r="BK464" s="1" t="s">
        <v>74</v>
      </c>
      <c r="BL464" s="1" t="s">
        <v>74</v>
      </c>
      <c r="BM464" s="1" t="s">
        <v>74</v>
      </c>
      <c r="BN464" s="1" t="s">
        <v>74</v>
      </c>
      <c r="BO464" s="1" t="s">
        <v>74</v>
      </c>
      <c r="BP464" s="1" t="s">
        <v>74</v>
      </c>
      <c r="BQ464" s="1" t="s">
        <v>74</v>
      </c>
      <c r="BR464" s="1" t="s">
        <v>74</v>
      </c>
      <c r="BS464" s="1" t="s">
        <v>4825</v>
      </c>
      <c r="BT464" s="1" t="str">
        <f>HYPERLINK("https%3A%2F%2Fwww.webofscience.com%2Fwos%2Fwoscc%2Ffull-record%2FWOS:000184060300005","View Full Record in Web of Science")</f>
        <v>View Full Record in Web of Science</v>
      </c>
    </row>
    <row r="465" ht="12.75" customHeight="1">
      <c r="A465" s="1" t="s">
        <v>72</v>
      </c>
      <c r="B465" s="1" t="s">
        <v>4826</v>
      </c>
      <c r="C465" s="1" t="s">
        <v>74</v>
      </c>
      <c r="D465" s="1" t="s">
        <v>74</v>
      </c>
      <c r="E465" s="1" t="s">
        <v>74</v>
      </c>
      <c r="F465" s="1" t="s">
        <v>4827</v>
      </c>
      <c r="G465" s="1" t="s">
        <v>74</v>
      </c>
      <c r="H465" s="1" t="s">
        <v>74</v>
      </c>
      <c r="I465" s="1" t="s">
        <v>4828</v>
      </c>
      <c r="J465" s="1" t="s">
        <v>759</v>
      </c>
      <c r="K465" s="1" t="s">
        <v>74</v>
      </c>
      <c r="L465" s="1" t="s">
        <v>74</v>
      </c>
      <c r="M465" s="1" t="s">
        <v>74</v>
      </c>
      <c r="N465" s="1" t="s">
        <v>74</v>
      </c>
      <c r="O465" s="1" t="s">
        <v>74</v>
      </c>
      <c r="P465" s="1" t="s">
        <v>74</v>
      </c>
      <c r="Q465" s="1" t="s">
        <v>74</v>
      </c>
      <c r="R465" s="1" t="s">
        <v>74</v>
      </c>
      <c r="S465" s="1" t="s">
        <v>74</v>
      </c>
      <c r="T465" s="1" t="s">
        <v>74</v>
      </c>
      <c r="U465" s="1" t="s">
        <v>74</v>
      </c>
      <c r="V465" s="1" t="s">
        <v>4829</v>
      </c>
      <c r="W465" s="1" t="s">
        <v>74</v>
      </c>
      <c r="X465" s="1" t="s">
        <v>74</v>
      </c>
      <c r="Y465" s="1" t="s">
        <v>74</v>
      </c>
      <c r="Z465" s="1" t="s">
        <v>74</v>
      </c>
      <c r="AA465" s="1" t="s">
        <v>4830</v>
      </c>
      <c r="AB465" s="1" t="s">
        <v>74</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762</v>
      </c>
      <c r="AP465" s="1" t="s">
        <v>763</v>
      </c>
      <c r="AQ465" s="1" t="s">
        <v>74</v>
      </c>
      <c r="AR465" s="1" t="s">
        <v>74</v>
      </c>
      <c r="AS465" s="1" t="s">
        <v>74</v>
      </c>
      <c r="AT465" s="1" t="s">
        <v>74</v>
      </c>
      <c r="AU465" s="1">
        <v>2024.0</v>
      </c>
      <c r="AV465" s="1" t="s">
        <v>74</v>
      </c>
      <c r="AW465" s="1">
        <v>60.0</v>
      </c>
      <c r="AX465" s="1" t="s">
        <v>74</v>
      </c>
      <c r="AY465" s="1" t="s">
        <v>74</v>
      </c>
      <c r="AZ465" s="1" t="s">
        <v>74</v>
      </c>
      <c r="BA465" s="1" t="s">
        <v>74</v>
      </c>
      <c r="BB465" s="1">
        <v>596.0</v>
      </c>
      <c r="BC465" s="1">
        <v>604.0</v>
      </c>
      <c r="BD465" s="1" t="s">
        <v>74</v>
      </c>
      <c r="BE465" s="1" t="s">
        <v>74</v>
      </c>
      <c r="BF465" s="1" t="s">
        <v>74</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4831</v>
      </c>
      <c r="BT465" s="1" t="str">
        <f>HYPERLINK("https%3A%2F%2Fwww.webofscience.com%2Fwos%2Fwoscc%2Ffull-record%2FWOS:001330528300001","View Full Record in Web of Science")</f>
        <v>View Full Record in Web of Science</v>
      </c>
    </row>
    <row r="466" ht="12.75" customHeight="1">
      <c r="A466" s="1" t="s">
        <v>72</v>
      </c>
      <c r="B466" s="1" t="s">
        <v>4832</v>
      </c>
      <c r="C466" s="1" t="s">
        <v>74</v>
      </c>
      <c r="D466" s="1" t="s">
        <v>74</v>
      </c>
      <c r="E466" s="1" t="s">
        <v>74</v>
      </c>
      <c r="F466" s="1" t="s">
        <v>4833</v>
      </c>
      <c r="G466" s="1" t="s">
        <v>74</v>
      </c>
      <c r="H466" s="1" t="s">
        <v>74</v>
      </c>
      <c r="I466" s="1" t="s">
        <v>4834</v>
      </c>
      <c r="J466" s="1" t="s">
        <v>4835</v>
      </c>
      <c r="K466" s="1" t="s">
        <v>74</v>
      </c>
      <c r="L466" s="1" t="s">
        <v>74</v>
      </c>
      <c r="M466" s="1" t="s">
        <v>74</v>
      </c>
      <c r="N466" s="1" t="s">
        <v>74</v>
      </c>
      <c r="O466" s="1" t="s">
        <v>74</v>
      </c>
      <c r="P466" s="1" t="s">
        <v>74</v>
      </c>
      <c r="Q466" s="1" t="s">
        <v>74</v>
      </c>
      <c r="R466" s="1" t="s">
        <v>74</v>
      </c>
      <c r="S466" s="1" t="s">
        <v>74</v>
      </c>
      <c r="T466" s="1" t="s">
        <v>74</v>
      </c>
      <c r="U466" s="1" t="s">
        <v>74</v>
      </c>
      <c r="V466" s="1" t="s">
        <v>74</v>
      </c>
      <c r="W466" s="1" t="s">
        <v>74</v>
      </c>
      <c r="X466" s="1" t="s">
        <v>74</v>
      </c>
      <c r="Y466" s="1" t="s">
        <v>74</v>
      </c>
      <c r="Z466" s="1" t="s">
        <v>74</v>
      </c>
      <c r="AA466" s="1" t="s">
        <v>4836</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4837</v>
      </c>
      <c r="AP466" s="1" t="s">
        <v>4838</v>
      </c>
      <c r="AQ466" s="1" t="s">
        <v>74</v>
      </c>
      <c r="AR466" s="1" t="s">
        <v>74</v>
      </c>
      <c r="AS466" s="1" t="s">
        <v>74</v>
      </c>
      <c r="AT466" s="1" t="s">
        <v>600</v>
      </c>
      <c r="AU466" s="1">
        <v>2022.0</v>
      </c>
      <c r="AV466" s="1">
        <v>27.0</v>
      </c>
      <c r="AW466" s="1">
        <v>2.0</v>
      </c>
      <c r="AX466" s="1" t="s">
        <v>74</v>
      </c>
      <c r="AY466" s="1" t="s">
        <v>74</v>
      </c>
      <c r="AZ466" s="1" t="s">
        <v>74</v>
      </c>
      <c r="BA466" s="1" t="s">
        <v>74</v>
      </c>
      <c r="BB466" s="1">
        <v>173.0</v>
      </c>
      <c r="BC466" s="1">
        <v>174.0</v>
      </c>
      <c r="BD466" s="1" t="s">
        <v>74</v>
      </c>
      <c r="BE466" s="1" t="s">
        <v>4839</v>
      </c>
      <c r="BF466" s="2" t="str">
        <f>HYPERLINK("http://dx.doi.org/10.1111/resp.14196","http://dx.doi.org/10.1111/resp.14196")</f>
        <v>http://dx.doi.org/10.1111/resp.14196</v>
      </c>
      <c r="BG466" s="1" t="s">
        <v>74</v>
      </c>
      <c r="BH466" s="1" t="s">
        <v>345</v>
      </c>
      <c r="BI466" s="1" t="s">
        <v>74</v>
      </c>
      <c r="BJ466" s="1" t="s">
        <v>74</v>
      </c>
      <c r="BK466" s="1" t="s">
        <v>74</v>
      </c>
      <c r="BL466" s="1" t="s">
        <v>74</v>
      </c>
      <c r="BM466" s="1" t="s">
        <v>74</v>
      </c>
      <c r="BN466" s="1">
        <v>3.4913226E7</v>
      </c>
      <c r="BO466" s="1" t="s">
        <v>74</v>
      </c>
      <c r="BP466" s="1" t="s">
        <v>74</v>
      </c>
      <c r="BQ466" s="1" t="s">
        <v>74</v>
      </c>
      <c r="BR466" s="1" t="s">
        <v>74</v>
      </c>
      <c r="BS466" s="1" t="s">
        <v>4840</v>
      </c>
      <c r="BT466" s="1" t="str">
        <f>HYPERLINK("https%3A%2F%2Fwww.webofscience.com%2Fwos%2Fwoscc%2Ffull-record%2FWOS:000730456000001","View Full Record in Web of Science")</f>
        <v>View Full Record in Web of Science</v>
      </c>
    </row>
    <row r="467" ht="12.75" customHeight="1">
      <c r="A467" s="1" t="s">
        <v>72</v>
      </c>
      <c r="B467" s="1" t="s">
        <v>4841</v>
      </c>
      <c r="C467" s="1" t="s">
        <v>74</v>
      </c>
      <c r="D467" s="1" t="s">
        <v>74</v>
      </c>
      <c r="E467" s="1" t="s">
        <v>74</v>
      </c>
      <c r="F467" s="1" t="s">
        <v>4842</v>
      </c>
      <c r="G467" s="1" t="s">
        <v>74</v>
      </c>
      <c r="H467" s="1" t="s">
        <v>74</v>
      </c>
      <c r="I467" s="1" t="s">
        <v>4843</v>
      </c>
      <c r="J467" s="1" t="s">
        <v>4844</v>
      </c>
      <c r="K467" s="1" t="s">
        <v>74</v>
      </c>
      <c r="L467" s="1" t="s">
        <v>74</v>
      </c>
      <c r="M467" s="1" t="s">
        <v>74</v>
      </c>
      <c r="N467" s="1" t="s">
        <v>74</v>
      </c>
      <c r="O467" s="1" t="s">
        <v>74</v>
      </c>
      <c r="P467" s="1" t="s">
        <v>74</v>
      </c>
      <c r="Q467" s="1" t="s">
        <v>74</v>
      </c>
      <c r="R467" s="1" t="s">
        <v>74</v>
      </c>
      <c r="S467" s="1" t="s">
        <v>74</v>
      </c>
      <c r="T467" s="1" t="s">
        <v>74</v>
      </c>
      <c r="U467" s="1" t="s">
        <v>74</v>
      </c>
      <c r="V467" s="1" t="s">
        <v>74</v>
      </c>
      <c r="W467" s="1" t="s">
        <v>74</v>
      </c>
      <c r="X467" s="1" t="s">
        <v>74</v>
      </c>
      <c r="Y467" s="1" t="s">
        <v>74</v>
      </c>
      <c r="Z467" s="1" t="s">
        <v>74</v>
      </c>
      <c r="AA467" s="1" t="s">
        <v>585</v>
      </c>
      <c r="AB467" s="1" t="s">
        <v>2635</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4845</v>
      </c>
      <c r="AP467" s="1" t="s">
        <v>4846</v>
      </c>
      <c r="AQ467" s="1" t="s">
        <v>74</v>
      </c>
      <c r="AR467" s="1" t="s">
        <v>74</v>
      </c>
      <c r="AS467" s="1" t="s">
        <v>74</v>
      </c>
      <c r="AT467" s="1" t="s">
        <v>4847</v>
      </c>
      <c r="AU467" s="1">
        <v>2019.0</v>
      </c>
      <c r="AV467" s="1">
        <v>55.0</v>
      </c>
      <c r="AW467" s="1">
        <v>87.0</v>
      </c>
      <c r="AX467" s="1" t="s">
        <v>74</v>
      </c>
      <c r="AY467" s="1" t="s">
        <v>74</v>
      </c>
      <c r="AZ467" s="1" t="s">
        <v>74</v>
      </c>
      <c r="BA467" s="1" t="s">
        <v>74</v>
      </c>
      <c r="BB467" s="1">
        <v>13183.0</v>
      </c>
      <c r="BC467" s="1">
        <v>13183.0</v>
      </c>
      <c r="BD467" s="1" t="s">
        <v>74</v>
      </c>
      <c r="BE467" s="1" t="s">
        <v>4848</v>
      </c>
      <c r="BF467" s="2" t="str">
        <f>HYPERLINK("http://dx.doi.org/10.1039/c9cc90457c","http://dx.doi.org/10.1039/c9cc90457c")</f>
        <v>http://dx.doi.org/10.1039/c9cc90457c</v>
      </c>
      <c r="BG467" s="1" t="s">
        <v>74</v>
      </c>
      <c r="BH467" s="1" t="s">
        <v>74</v>
      </c>
      <c r="BI467" s="1" t="s">
        <v>74</v>
      </c>
      <c r="BJ467" s="1" t="s">
        <v>74</v>
      </c>
      <c r="BK467" s="1" t="s">
        <v>74</v>
      </c>
      <c r="BL467" s="1" t="s">
        <v>74</v>
      </c>
      <c r="BM467" s="1" t="s">
        <v>74</v>
      </c>
      <c r="BN467" s="1">
        <v>3.1624821E7</v>
      </c>
      <c r="BO467" s="1" t="s">
        <v>74</v>
      </c>
      <c r="BP467" s="1" t="s">
        <v>74</v>
      </c>
      <c r="BQ467" s="1" t="s">
        <v>74</v>
      </c>
      <c r="BR467" s="1" t="s">
        <v>74</v>
      </c>
      <c r="BS467" s="1" t="s">
        <v>4849</v>
      </c>
      <c r="BT467" s="1" t="str">
        <f>HYPERLINK("https%3A%2F%2Fwww.webofscience.com%2Fwos%2Fwoscc%2Ffull-record%2FWOS:000494428800029","View Full Record in Web of Science")</f>
        <v>View Full Record in Web of Science</v>
      </c>
    </row>
    <row r="468" ht="12.75" customHeight="1">
      <c r="A468" s="1" t="s">
        <v>72</v>
      </c>
      <c r="B468" s="1" t="s">
        <v>4850</v>
      </c>
      <c r="C468" s="1" t="s">
        <v>74</v>
      </c>
      <c r="D468" s="1" t="s">
        <v>74</v>
      </c>
      <c r="E468" s="1" t="s">
        <v>74</v>
      </c>
      <c r="F468" s="1" t="s">
        <v>4851</v>
      </c>
      <c r="G468" s="1" t="s">
        <v>74</v>
      </c>
      <c r="H468" s="1" t="s">
        <v>74</v>
      </c>
      <c r="I468" s="1" t="s">
        <v>4852</v>
      </c>
      <c r="J468" s="1" t="s">
        <v>1571</v>
      </c>
      <c r="K468" s="1" t="s">
        <v>74</v>
      </c>
      <c r="L468" s="1" t="s">
        <v>74</v>
      </c>
      <c r="M468" s="1" t="s">
        <v>74</v>
      </c>
      <c r="N468" s="1" t="s">
        <v>74</v>
      </c>
      <c r="O468" s="1" t="s">
        <v>74</v>
      </c>
      <c r="P468" s="1" t="s">
        <v>74</v>
      </c>
      <c r="Q468" s="1" t="s">
        <v>74</v>
      </c>
      <c r="R468" s="1" t="s">
        <v>74</v>
      </c>
      <c r="S468" s="1" t="s">
        <v>74</v>
      </c>
      <c r="T468" s="1" t="s">
        <v>74</v>
      </c>
      <c r="U468" s="1" t="s">
        <v>74</v>
      </c>
      <c r="V468" s="1" t="s">
        <v>4853</v>
      </c>
      <c r="W468" s="1" t="s">
        <v>74</v>
      </c>
      <c r="X468" s="1" t="s">
        <v>74</v>
      </c>
      <c r="Y468" s="1" t="s">
        <v>74</v>
      </c>
      <c r="Z468" s="1" t="s">
        <v>74</v>
      </c>
      <c r="AA468" s="1" t="s">
        <v>4854</v>
      </c>
      <c r="AB468" s="1" t="s">
        <v>4855</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74</v>
      </c>
      <c r="AP468" s="1" t="s">
        <v>1575</v>
      </c>
      <c r="AQ468" s="1" t="s">
        <v>74</v>
      </c>
      <c r="AR468" s="1" t="s">
        <v>74</v>
      </c>
      <c r="AS468" s="1" t="s">
        <v>74</v>
      </c>
      <c r="AT468" s="1" t="s">
        <v>1082</v>
      </c>
      <c r="AU468" s="1">
        <v>2019.0</v>
      </c>
      <c r="AV468" s="1">
        <v>11.0</v>
      </c>
      <c r="AW468" s="1">
        <v>21.0</v>
      </c>
      <c r="AX468" s="1" t="s">
        <v>74</v>
      </c>
      <c r="AY468" s="1" t="s">
        <v>74</v>
      </c>
      <c r="AZ468" s="1" t="s">
        <v>74</v>
      </c>
      <c r="BA468" s="1" t="s">
        <v>74</v>
      </c>
      <c r="BB468" s="1" t="s">
        <v>74</v>
      </c>
      <c r="BC468" s="1" t="s">
        <v>74</v>
      </c>
      <c r="BD468" s="1">
        <v>6069.0</v>
      </c>
      <c r="BE468" s="1" t="s">
        <v>4856</v>
      </c>
      <c r="BF468" s="2" t="str">
        <f>HYPERLINK("http://dx.doi.org/10.3390/su11216069","http://dx.doi.org/10.3390/su11216069")</f>
        <v>http://dx.doi.org/10.3390/su11216069</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4857</v>
      </c>
      <c r="BT468" s="1" t="str">
        <f>HYPERLINK("https%3A%2F%2Fwww.webofscience.com%2Fwos%2Fwoscc%2Ffull-record%2FWOS:000501205200196","View Full Record in Web of Science")</f>
        <v>View Full Record in Web of Science</v>
      </c>
    </row>
    <row r="469" ht="12.75" customHeight="1">
      <c r="A469" s="1" t="s">
        <v>72</v>
      </c>
      <c r="B469" s="1" t="s">
        <v>4858</v>
      </c>
      <c r="C469" s="1" t="s">
        <v>74</v>
      </c>
      <c r="D469" s="1" t="s">
        <v>74</v>
      </c>
      <c r="E469" s="1" t="s">
        <v>74</v>
      </c>
      <c r="F469" s="1" t="s">
        <v>4859</v>
      </c>
      <c r="G469" s="1" t="s">
        <v>74</v>
      </c>
      <c r="H469" s="1" t="s">
        <v>74</v>
      </c>
      <c r="I469" s="1" t="s">
        <v>4860</v>
      </c>
      <c r="J469" s="1" t="s">
        <v>292</v>
      </c>
      <c r="K469" s="1" t="s">
        <v>74</v>
      </c>
      <c r="L469" s="1" t="s">
        <v>74</v>
      </c>
      <c r="M469" s="1" t="s">
        <v>74</v>
      </c>
      <c r="N469" s="1" t="s">
        <v>74</v>
      </c>
      <c r="O469" s="1" t="s">
        <v>74</v>
      </c>
      <c r="P469" s="1" t="s">
        <v>74</v>
      </c>
      <c r="Q469" s="1" t="s">
        <v>74</v>
      </c>
      <c r="R469" s="1" t="s">
        <v>74</v>
      </c>
      <c r="S469" s="1" t="s">
        <v>74</v>
      </c>
      <c r="T469" s="1" t="s">
        <v>74</v>
      </c>
      <c r="U469" s="1" t="s">
        <v>74</v>
      </c>
      <c r="V469" s="1" t="s">
        <v>4861</v>
      </c>
      <c r="W469" s="1" t="s">
        <v>74</v>
      </c>
      <c r="X469" s="1" t="s">
        <v>74</v>
      </c>
      <c r="Y469" s="1" t="s">
        <v>74</v>
      </c>
      <c r="Z469" s="1" t="s">
        <v>74</v>
      </c>
      <c r="AA469" s="1" t="s">
        <v>4862</v>
      </c>
      <c r="AB469" s="1" t="s">
        <v>4863</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296</v>
      </c>
      <c r="AP469" s="1" t="s">
        <v>74</v>
      </c>
      <c r="AQ469" s="1" t="s">
        <v>74</v>
      </c>
      <c r="AR469" s="1" t="s">
        <v>74</v>
      </c>
      <c r="AS469" s="1" t="s">
        <v>74</v>
      </c>
      <c r="AT469" s="1" t="s">
        <v>3537</v>
      </c>
      <c r="AU469" s="1">
        <v>2019.0</v>
      </c>
      <c r="AV469" s="1">
        <v>9.0</v>
      </c>
      <c r="AW469" s="1" t="s">
        <v>74</v>
      </c>
      <c r="AX469" s="1" t="s">
        <v>74</v>
      </c>
      <c r="AY469" s="1" t="s">
        <v>74</v>
      </c>
      <c r="AZ469" s="1" t="s">
        <v>74</v>
      </c>
      <c r="BA469" s="1" t="s">
        <v>74</v>
      </c>
      <c r="BB469" s="1" t="s">
        <v>74</v>
      </c>
      <c r="BC469" s="1" t="s">
        <v>74</v>
      </c>
      <c r="BD469" s="1">
        <v>14823.0</v>
      </c>
      <c r="BE469" s="1" t="s">
        <v>4864</v>
      </c>
      <c r="BF469" s="2" t="str">
        <f>HYPERLINK("http://dx.doi.org/10.1038/s41598-019-51098-9","http://dx.doi.org/10.1038/s41598-019-51098-9")</f>
        <v>http://dx.doi.org/10.1038/s41598-019-51098-9</v>
      </c>
      <c r="BG469" s="1" t="s">
        <v>74</v>
      </c>
      <c r="BH469" s="1" t="s">
        <v>74</v>
      </c>
      <c r="BI469" s="1" t="s">
        <v>74</v>
      </c>
      <c r="BJ469" s="1" t="s">
        <v>74</v>
      </c>
      <c r="BK469" s="1" t="s">
        <v>74</v>
      </c>
      <c r="BL469" s="1" t="s">
        <v>74</v>
      </c>
      <c r="BM469" s="1" t="s">
        <v>74</v>
      </c>
      <c r="BN469" s="1">
        <v>3.1616007E7</v>
      </c>
      <c r="BO469" s="1" t="s">
        <v>74</v>
      </c>
      <c r="BP469" s="1" t="s">
        <v>74</v>
      </c>
      <c r="BQ469" s="1" t="s">
        <v>74</v>
      </c>
      <c r="BR469" s="1" t="s">
        <v>74</v>
      </c>
      <c r="BS469" s="1" t="s">
        <v>4865</v>
      </c>
      <c r="BT469" s="1" t="str">
        <f>HYPERLINK("https%3A%2F%2Fwww.webofscience.com%2Fwos%2Fwoscc%2Ffull-record%2FWOS:000490121400041","View Full Record in Web of Science")</f>
        <v>View Full Record in Web of Science</v>
      </c>
    </row>
    <row r="470" ht="12.75" customHeight="1">
      <c r="A470" s="1" t="s">
        <v>72</v>
      </c>
      <c r="B470" s="1" t="s">
        <v>4866</v>
      </c>
      <c r="C470" s="1" t="s">
        <v>74</v>
      </c>
      <c r="D470" s="1" t="s">
        <v>74</v>
      </c>
      <c r="E470" s="1" t="s">
        <v>74</v>
      </c>
      <c r="F470" s="1" t="s">
        <v>4867</v>
      </c>
      <c r="G470" s="1" t="s">
        <v>74</v>
      </c>
      <c r="H470" s="1" t="s">
        <v>74</v>
      </c>
      <c r="I470" s="1" t="s">
        <v>4868</v>
      </c>
      <c r="J470" s="1" t="s">
        <v>4869</v>
      </c>
      <c r="K470" s="1" t="s">
        <v>74</v>
      </c>
      <c r="L470" s="1" t="s">
        <v>74</v>
      </c>
      <c r="M470" s="1" t="s">
        <v>74</v>
      </c>
      <c r="N470" s="1" t="s">
        <v>74</v>
      </c>
      <c r="O470" s="1" t="s">
        <v>74</v>
      </c>
      <c r="P470" s="1" t="s">
        <v>74</v>
      </c>
      <c r="Q470" s="1" t="s">
        <v>74</v>
      </c>
      <c r="R470" s="1" t="s">
        <v>74</v>
      </c>
      <c r="S470" s="1" t="s">
        <v>74</v>
      </c>
      <c r="T470" s="1" t="s">
        <v>74</v>
      </c>
      <c r="U470" s="1" t="s">
        <v>74</v>
      </c>
      <c r="V470" s="1" t="s">
        <v>4870</v>
      </c>
      <c r="W470" s="1" t="s">
        <v>74</v>
      </c>
      <c r="X470" s="1" t="s">
        <v>74</v>
      </c>
      <c r="Y470" s="1" t="s">
        <v>74</v>
      </c>
      <c r="Z470" s="1" t="s">
        <v>74</v>
      </c>
      <c r="AA470" s="1" t="s">
        <v>4871</v>
      </c>
      <c r="AB470" s="1" t="s">
        <v>74</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4872</v>
      </c>
      <c r="AP470" s="1" t="s">
        <v>4873</v>
      </c>
      <c r="AQ470" s="1" t="s">
        <v>74</v>
      </c>
      <c r="AR470" s="1" t="s">
        <v>74</v>
      </c>
      <c r="AS470" s="1" t="s">
        <v>74</v>
      </c>
      <c r="AT470" s="1" t="s">
        <v>74</v>
      </c>
      <c r="AU470" s="1">
        <v>2019.0</v>
      </c>
      <c r="AV470" s="1">
        <v>37.0</v>
      </c>
      <c r="AW470" s="1">
        <v>1.0</v>
      </c>
      <c r="AX470" s="1" t="s">
        <v>74</v>
      </c>
      <c r="AY470" s="1" t="s">
        <v>74</v>
      </c>
      <c r="AZ470" s="1" t="s">
        <v>74</v>
      </c>
      <c r="BA470" s="1" t="s">
        <v>74</v>
      </c>
      <c r="BB470" s="1">
        <v>178.0</v>
      </c>
      <c r="BC470" s="1">
        <v>183.0</v>
      </c>
      <c r="BD470" s="1" t="s">
        <v>74</v>
      </c>
      <c r="BE470" s="1" t="s">
        <v>4874</v>
      </c>
      <c r="BF470" s="2" t="str">
        <f>HYPERLINK("http://dx.doi.org/10.4067/S0717-95022019000100178","http://dx.doi.org/10.4067/S0717-95022019000100178")</f>
        <v>http://dx.doi.org/10.4067/S0717-95022019000100178</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4875</v>
      </c>
      <c r="BT470" s="1" t="str">
        <f>HYPERLINK("https%3A%2F%2Fwww.webofscience.com%2Fwos%2Fwoscc%2Ffull-record%2FWOS:000460164400029","View Full Record in Web of Science")</f>
        <v>View Full Record in Web of Science</v>
      </c>
    </row>
    <row r="471" ht="12.75" customHeight="1">
      <c r="A471" s="1" t="s">
        <v>72</v>
      </c>
      <c r="B471" s="1" t="s">
        <v>4876</v>
      </c>
      <c r="C471" s="1" t="s">
        <v>74</v>
      </c>
      <c r="D471" s="1" t="s">
        <v>74</v>
      </c>
      <c r="E471" s="1" t="s">
        <v>74</v>
      </c>
      <c r="F471" s="1" t="s">
        <v>4877</v>
      </c>
      <c r="G471" s="1" t="s">
        <v>74</v>
      </c>
      <c r="H471" s="1" t="s">
        <v>74</v>
      </c>
      <c r="I471" s="1" t="s">
        <v>4878</v>
      </c>
      <c r="J471" s="1" t="s">
        <v>4879</v>
      </c>
      <c r="K471" s="1" t="s">
        <v>74</v>
      </c>
      <c r="L471" s="1" t="s">
        <v>74</v>
      </c>
      <c r="M471" s="1" t="s">
        <v>74</v>
      </c>
      <c r="N471" s="1" t="s">
        <v>74</v>
      </c>
      <c r="O471" s="1" t="s">
        <v>74</v>
      </c>
      <c r="P471" s="1" t="s">
        <v>74</v>
      </c>
      <c r="Q471" s="1" t="s">
        <v>74</v>
      </c>
      <c r="R471" s="1" t="s">
        <v>74</v>
      </c>
      <c r="S471" s="1" t="s">
        <v>74</v>
      </c>
      <c r="T471" s="1" t="s">
        <v>74</v>
      </c>
      <c r="U471" s="1" t="s">
        <v>74</v>
      </c>
      <c r="V471" s="1" t="s">
        <v>4880</v>
      </c>
      <c r="W471" s="1" t="s">
        <v>74</v>
      </c>
      <c r="X471" s="1" t="s">
        <v>74</v>
      </c>
      <c r="Y471" s="1" t="s">
        <v>74</v>
      </c>
      <c r="Z471" s="1" t="s">
        <v>74</v>
      </c>
      <c r="AA471" s="1" t="s">
        <v>4881</v>
      </c>
      <c r="AB471" s="1" t="s">
        <v>4882</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4883</v>
      </c>
      <c r="AP471" s="1" t="s">
        <v>4884</v>
      </c>
      <c r="AQ471" s="1" t="s">
        <v>74</v>
      </c>
      <c r="AR471" s="1" t="s">
        <v>74</v>
      </c>
      <c r="AS471" s="1" t="s">
        <v>74</v>
      </c>
      <c r="AT471" s="1" t="s">
        <v>241</v>
      </c>
      <c r="AU471" s="1">
        <v>2018.0</v>
      </c>
      <c r="AV471" s="1">
        <v>54.0</v>
      </c>
      <c r="AW471" s="1">
        <v>5.0</v>
      </c>
      <c r="AX471" s="1" t="s">
        <v>74</v>
      </c>
      <c r="AY471" s="1" t="s">
        <v>74</v>
      </c>
      <c r="AZ471" s="1" t="s">
        <v>74</v>
      </c>
      <c r="BA471" s="1" t="s">
        <v>74</v>
      </c>
      <c r="BB471" s="1">
        <v>721.0</v>
      </c>
      <c r="BC471" s="1">
        <v>740.0</v>
      </c>
      <c r="BD471" s="1" t="s">
        <v>74</v>
      </c>
      <c r="BE471" s="1" t="s">
        <v>4885</v>
      </c>
      <c r="BF471" s="2" t="str">
        <f>HYPERLINK("http://dx.doi.org/10.1134/S1069351318050129","http://dx.doi.org/10.1134/S1069351318050129")</f>
        <v>http://dx.doi.org/10.1134/S1069351318050129</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4886</v>
      </c>
      <c r="BT471" s="1" t="str">
        <f>HYPERLINK("https%3A%2F%2Fwww.webofscience.com%2Fwos%2Fwoscc%2Ffull-record%2FWOS:000443851200007","View Full Record in Web of Science")</f>
        <v>View Full Record in Web of Science</v>
      </c>
    </row>
    <row r="472" ht="12.75" customHeight="1">
      <c r="A472" s="1" t="s">
        <v>72</v>
      </c>
      <c r="B472" s="1" t="s">
        <v>4887</v>
      </c>
      <c r="C472" s="1" t="s">
        <v>74</v>
      </c>
      <c r="D472" s="1" t="s">
        <v>74</v>
      </c>
      <c r="E472" s="1" t="s">
        <v>74</v>
      </c>
      <c r="F472" s="1" t="s">
        <v>4888</v>
      </c>
      <c r="G472" s="1" t="s">
        <v>74</v>
      </c>
      <c r="H472" s="1" t="s">
        <v>74</v>
      </c>
      <c r="I472" s="1" t="s">
        <v>4889</v>
      </c>
      <c r="J472" s="1" t="s">
        <v>4890</v>
      </c>
      <c r="K472" s="1" t="s">
        <v>74</v>
      </c>
      <c r="L472" s="1" t="s">
        <v>74</v>
      </c>
      <c r="M472" s="1" t="s">
        <v>74</v>
      </c>
      <c r="N472" s="1" t="s">
        <v>74</v>
      </c>
      <c r="O472" s="1" t="s">
        <v>74</v>
      </c>
      <c r="P472" s="1" t="s">
        <v>74</v>
      </c>
      <c r="Q472" s="1" t="s">
        <v>74</v>
      </c>
      <c r="R472" s="1" t="s">
        <v>74</v>
      </c>
      <c r="S472" s="1" t="s">
        <v>74</v>
      </c>
      <c r="T472" s="1" t="s">
        <v>74</v>
      </c>
      <c r="U472" s="1" t="s">
        <v>74</v>
      </c>
      <c r="V472" s="1" t="s">
        <v>4891</v>
      </c>
      <c r="W472" s="1" t="s">
        <v>74</v>
      </c>
      <c r="X472" s="1" t="s">
        <v>74</v>
      </c>
      <c r="Y472" s="1" t="s">
        <v>74</v>
      </c>
      <c r="Z472" s="1" t="s">
        <v>74</v>
      </c>
      <c r="AA472" s="1" t="s">
        <v>74</v>
      </c>
      <c r="AB472" s="1" t="s">
        <v>74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4892</v>
      </c>
      <c r="AP472" s="1" t="s">
        <v>4893</v>
      </c>
      <c r="AQ472" s="1" t="s">
        <v>74</v>
      </c>
      <c r="AR472" s="1" t="s">
        <v>74</v>
      </c>
      <c r="AS472" s="1" t="s">
        <v>74</v>
      </c>
      <c r="AT472" s="1" t="s">
        <v>241</v>
      </c>
      <c r="AU472" s="1">
        <v>2016.0</v>
      </c>
      <c r="AV472" s="1">
        <v>36.0</v>
      </c>
      <c r="AW472" s="1" t="s">
        <v>74</v>
      </c>
      <c r="AX472" s="1">
        <v>6.0</v>
      </c>
      <c r="AY472" s="1" t="s">
        <v>74</v>
      </c>
      <c r="AZ472" s="1" t="s">
        <v>74</v>
      </c>
      <c r="BA472" s="1" t="s">
        <v>74</v>
      </c>
      <c r="BB472" s="1">
        <v>1679.0</v>
      </c>
      <c r="BC472" s="1">
        <v>1702.0</v>
      </c>
      <c r="BD472" s="1" t="s">
        <v>74</v>
      </c>
      <c r="BE472" s="1" t="s">
        <v>4894</v>
      </c>
      <c r="BF472" s="2" t="str">
        <f>HYPERLINK("http://dx.doi.org/10.1017/etds.2014.133","http://dx.doi.org/10.1017/etds.2014.133")</f>
        <v>http://dx.doi.org/10.1017/etds.2014.133</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4895</v>
      </c>
      <c r="BT472" s="1" t="str">
        <f>HYPERLINK("https%3A%2F%2Fwww.webofscience.com%2Fwos%2Fwoscc%2Ffull-record%2FWOS:000382852300001","View Full Record in Web of Science")</f>
        <v>View Full Record in Web of Science</v>
      </c>
    </row>
    <row r="473" ht="12.75" customHeight="1">
      <c r="A473" s="1" t="s">
        <v>72</v>
      </c>
      <c r="B473" s="1" t="s">
        <v>4896</v>
      </c>
      <c r="C473" s="1" t="s">
        <v>74</v>
      </c>
      <c r="D473" s="1" t="s">
        <v>74</v>
      </c>
      <c r="E473" s="1" t="s">
        <v>74</v>
      </c>
      <c r="F473" s="1" t="s">
        <v>4897</v>
      </c>
      <c r="G473" s="1" t="s">
        <v>74</v>
      </c>
      <c r="H473" s="1" t="s">
        <v>4898</v>
      </c>
      <c r="I473" s="1" t="s">
        <v>4899</v>
      </c>
      <c r="J473" s="1" t="s">
        <v>4900</v>
      </c>
      <c r="K473" s="1" t="s">
        <v>74</v>
      </c>
      <c r="L473" s="1" t="s">
        <v>74</v>
      </c>
      <c r="M473" s="1" t="s">
        <v>74</v>
      </c>
      <c r="N473" s="1" t="s">
        <v>74</v>
      </c>
      <c r="O473" s="1" t="s">
        <v>74</v>
      </c>
      <c r="P473" s="1" t="s">
        <v>74</v>
      </c>
      <c r="Q473" s="1" t="s">
        <v>74</v>
      </c>
      <c r="R473" s="1" t="s">
        <v>74</v>
      </c>
      <c r="S473" s="1" t="s">
        <v>74</v>
      </c>
      <c r="T473" s="1" t="s">
        <v>74</v>
      </c>
      <c r="U473" s="1" t="s">
        <v>74</v>
      </c>
      <c r="V473" s="1" t="s">
        <v>74</v>
      </c>
      <c r="W473" s="1" t="s">
        <v>74</v>
      </c>
      <c r="X473" s="1" t="s">
        <v>74</v>
      </c>
      <c r="Y473" s="1" t="s">
        <v>74</v>
      </c>
      <c r="Z473" s="1" t="s">
        <v>74</v>
      </c>
      <c r="AA473" s="1" t="s">
        <v>4901</v>
      </c>
      <c r="AB473" s="1" t="s">
        <v>74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4902</v>
      </c>
      <c r="AP473" s="1" t="s">
        <v>4903</v>
      </c>
      <c r="AQ473" s="1" t="s">
        <v>74</v>
      </c>
      <c r="AR473" s="1" t="s">
        <v>74</v>
      </c>
      <c r="AS473" s="1" t="s">
        <v>74</v>
      </c>
      <c r="AT473" s="1" t="s">
        <v>4904</v>
      </c>
      <c r="AU473" s="1">
        <v>2012.0</v>
      </c>
      <c r="AV473" s="1">
        <v>40.0</v>
      </c>
      <c r="AW473" s="1" t="s">
        <v>74</v>
      </c>
      <c r="AX473" s="1" t="s">
        <v>74</v>
      </c>
      <c r="AY473" s="1">
        <v>56.0</v>
      </c>
      <c r="AZ473" s="1" t="s">
        <v>74</v>
      </c>
      <c r="BA473" s="1">
        <v>2254.0</v>
      </c>
      <c r="BB473" s="1" t="s">
        <v>74</v>
      </c>
      <c r="BC473" s="1" t="s">
        <v>74</v>
      </c>
      <c r="BD473" s="1" t="s">
        <v>74</v>
      </c>
      <c r="BE473" s="1" t="s">
        <v>74</v>
      </c>
      <c r="BF473" s="1" t="s">
        <v>74</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4905</v>
      </c>
      <c r="BT473" s="1" t="str">
        <f>HYPERLINK("https%3A%2F%2Fwww.webofscience.com%2Fwos%2Fwoscc%2Ffull-record%2FWOS:000449650904244","View Full Record in Web of Science")</f>
        <v>View Full Record in Web of Science</v>
      </c>
    </row>
    <row r="474" ht="12.75" customHeight="1">
      <c r="A474" s="1" t="s">
        <v>72</v>
      </c>
      <c r="B474" s="1" t="s">
        <v>4906</v>
      </c>
      <c r="C474" s="1" t="s">
        <v>74</v>
      </c>
      <c r="D474" s="1" t="s">
        <v>74</v>
      </c>
      <c r="E474" s="1" t="s">
        <v>74</v>
      </c>
      <c r="F474" s="1" t="s">
        <v>4906</v>
      </c>
      <c r="G474" s="1" t="s">
        <v>74</v>
      </c>
      <c r="H474" s="1" t="s">
        <v>74</v>
      </c>
      <c r="I474" s="1" t="s">
        <v>4907</v>
      </c>
      <c r="J474" s="1" t="s">
        <v>4908</v>
      </c>
      <c r="K474" s="1" t="s">
        <v>74</v>
      </c>
      <c r="L474" s="1" t="s">
        <v>74</v>
      </c>
      <c r="M474" s="1" t="s">
        <v>74</v>
      </c>
      <c r="N474" s="1" t="s">
        <v>74</v>
      </c>
      <c r="O474" s="1" t="s">
        <v>74</v>
      </c>
      <c r="P474" s="1" t="s">
        <v>74</v>
      </c>
      <c r="Q474" s="1" t="s">
        <v>74</v>
      </c>
      <c r="R474" s="1" t="s">
        <v>74</v>
      </c>
      <c r="S474" s="1" t="s">
        <v>74</v>
      </c>
      <c r="T474" s="1" t="s">
        <v>74</v>
      </c>
      <c r="U474" s="1" t="s">
        <v>74</v>
      </c>
      <c r="V474" s="1" t="s">
        <v>4909</v>
      </c>
      <c r="W474" s="1" t="s">
        <v>74</v>
      </c>
      <c r="X474" s="1" t="s">
        <v>74</v>
      </c>
      <c r="Y474" s="1" t="s">
        <v>74</v>
      </c>
      <c r="Z474" s="1" t="s">
        <v>74</v>
      </c>
      <c r="AA474" s="1" t="s">
        <v>4910</v>
      </c>
      <c r="AB474" s="1" t="s">
        <v>4911</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4912</v>
      </c>
      <c r="AP474" s="1" t="s">
        <v>74</v>
      </c>
      <c r="AQ474" s="1" t="s">
        <v>74</v>
      </c>
      <c r="AR474" s="1" t="s">
        <v>74</v>
      </c>
      <c r="AS474" s="1" t="s">
        <v>74</v>
      </c>
      <c r="AT474" s="1" t="s">
        <v>176</v>
      </c>
      <c r="AU474" s="1">
        <v>2005.0</v>
      </c>
      <c r="AV474" s="1">
        <v>55.0</v>
      </c>
      <c r="AW474" s="1">
        <v>3.0</v>
      </c>
      <c r="AX474" s="1" t="s">
        <v>74</v>
      </c>
      <c r="AY474" s="1" t="s">
        <v>74</v>
      </c>
      <c r="AZ474" s="1" t="s">
        <v>74</v>
      </c>
      <c r="BA474" s="1" t="s">
        <v>74</v>
      </c>
      <c r="BB474" s="1">
        <v>342.0</v>
      </c>
      <c r="BC474" s="1">
        <v>351.0</v>
      </c>
      <c r="BD474" s="1" t="s">
        <v>74</v>
      </c>
      <c r="BE474" s="1" t="s">
        <v>4913</v>
      </c>
      <c r="BF474" s="2" t="str">
        <f>HYPERLINK("http://dx.doi.org/10.1080/10473289.2005.10464627","http://dx.doi.org/10.1080/10473289.2005.10464627")</f>
        <v>http://dx.doi.org/10.1080/10473289.2005.10464627</v>
      </c>
      <c r="BG474" s="1" t="s">
        <v>74</v>
      </c>
      <c r="BH474" s="1" t="s">
        <v>74</v>
      </c>
      <c r="BI474" s="1" t="s">
        <v>74</v>
      </c>
      <c r="BJ474" s="1" t="s">
        <v>74</v>
      </c>
      <c r="BK474" s="1" t="s">
        <v>74</v>
      </c>
      <c r="BL474" s="1" t="s">
        <v>74</v>
      </c>
      <c r="BM474" s="1" t="s">
        <v>74</v>
      </c>
      <c r="BN474" s="1">
        <v>1.5828676E7</v>
      </c>
      <c r="BO474" s="1" t="s">
        <v>74</v>
      </c>
      <c r="BP474" s="1" t="s">
        <v>74</v>
      </c>
      <c r="BQ474" s="1" t="s">
        <v>74</v>
      </c>
      <c r="BR474" s="1" t="s">
        <v>74</v>
      </c>
      <c r="BS474" s="1" t="s">
        <v>4914</v>
      </c>
      <c r="BT474" s="1" t="str">
        <f>HYPERLINK("https%3A%2F%2Fwww.webofscience.com%2Fwos%2Fwoscc%2Ffull-record%2FWOS:000227507100010","View Full Record in Web of Science")</f>
        <v>View Full Record in Web of Science</v>
      </c>
    </row>
    <row r="475" ht="12.75" customHeight="1">
      <c r="A475" s="1" t="s">
        <v>72</v>
      </c>
      <c r="B475" s="1" t="s">
        <v>4915</v>
      </c>
      <c r="C475" s="1" t="s">
        <v>74</v>
      </c>
      <c r="D475" s="1" t="s">
        <v>74</v>
      </c>
      <c r="E475" s="1" t="s">
        <v>74</v>
      </c>
      <c r="F475" s="1" t="s">
        <v>4915</v>
      </c>
      <c r="G475" s="1" t="s">
        <v>74</v>
      </c>
      <c r="H475" s="1" t="s">
        <v>74</v>
      </c>
      <c r="I475" s="1" t="s">
        <v>4916</v>
      </c>
      <c r="J475" s="1" t="s">
        <v>3593</v>
      </c>
      <c r="K475" s="1" t="s">
        <v>74</v>
      </c>
      <c r="L475" s="1" t="s">
        <v>74</v>
      </c>
      <c r="M475" s="1" t="s">
        <v>74</v>
      </c>
      <c r="N475" s="1" t="s">
        <v>74</v>
      </c>
      <c r="O475" s="1" t="s">
        <v>74</v>
      </c>
      <c r="P475" s="1" t="s">
        <v>74</v>
      </c>
      <c r="Q475" s="1" t="s">
        <v>74</v>
      </c>
      <c r="R475" s="1" t="s">
        <v>74</v>
      </c>
      <c r="S475" s="1" t="s">
        <v>74</v>
      </c>
      <c r="T475" s="1" t="s">
        <v>74</v>
      </c>
      <c r="U475" s="1" t="s">
        <v>74</v>
      </c>
      <c r="V475" s="1" t="s">
        <v>4917</v>
      </c>
      <c r="W475" s="1" t="s">
        <v>74</v>
      </c>
      <c r="X475" s="1" t="s">
        <v>74</v>
      </c>
      <c r="Y475" s="1" t="s">
        <v>74</v>
      </c>
      <c r="Z475" s="1" t="s">
        <v>74</v>
      </c>
      <c r="AA475" s="1" t="s">
        <v>4918</v>
      </c>
      <c r="AB475" s="1" t="s">
        <v>4919</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3597</v>
      </c>
      <c r="AP475" s="1" t="s">
        <v>3598</v>
      </c>
      <c r="AQ475" s="1" t="s">
        <v>74</v>
      </c>
      <c r="AR475" s="1" t="s">
        <v>74</v>
      </c>
      <c r="AS475" s="1" t="s">
        <v>74</v>
      </c>
      <c r="AT475" s="1" t="s">
        <v>200</v>
      </c>
      <c r="AU475" s="1">
        <v>2002.0</v>
      </c>
      <c r="AV475" s="1">
        <v>89.0</v>
      </c>
      <c r="AW475" s="1">
        <v>3.0</v>
      </c>
      <c r="AX475" s="1" t="s">
        <v>74</v>
      </c>
      <c r="AY475" s="1" t="s">
        <v>74</v>
      </c>
      <c r="AZ475" s="1" t="s">
        <v>74</v>
      </c>
      <c r="BA475" s="1" t="s">
        <v>74</v>
      </c>
      <c r="BB475" s="1" t="s">
        <v>74</v>
      </c>
      <c r="BC475" s="1" t="s">
        <v>74</v>
      </c>
      <c r="BD475" s="1">
        <v>34501.0</v>
      </c>
      <c r="BE475" s="1" t="s">
        <v>4920</v>
      </c>
      <c r="BF475" s="2" t="str">
        <f>HYPERLINK("http://dx.doi.org/10.1103/PhysRevLett.89.034501","http://dx.doi.org/10.1103/PhysRevLett.89.034501")</f>
        <v>http://dx.doi.org/10.1103/PhysRevLett.89.034501</v>
      </c>
      <c r="BG475" s="1" t="s">
        <v>74</v>
      </c>
      <c r="BH475" s="1" t="s">
        <v>74</v>
      </c>
      <c r="BI475" s="1" t="s">
        <v>74</v>
      </c>
      <c r="BJ475" s="1" t="s">
        <v>74</v>
      </c>
      <c r="BK475" s="1" t="s">
        <v>74</v>
      </c>
      <c r="BL475" s="1" t="s">
        <v>74</v>
      </c>
      <c r="BM475" s="1" t="s">
        <v>74</v>
      </c>
      <c r="BN475" s="1">
        <v>1.2144396E7</v>
      </c>
      <c r="BO475" s="1" t="s">
        <v>74</v>
      </c>
      <c r="BP475" s="1" t="s">
        <v>74</v>
      </c>
      <c r="BQ475" s="1" t="s">
        <v>74</v>
      </c>
      <c r="BR475" s="1" t="s">
        <v>74</v>
      </c>
      <c r="BS475" s="1" t="s">
        <v>4921</v>
      </c>
      <c r="BT475" s="1" t="str">
        <f>HYPERLINK("https%3A%2F%2Fwww.webofscience.com%2Fwos%2Fwoscc%2Ffull-record%2FWOS:000176599500018","View Full Record in Web of Science")</f>
        <v>View Full Record in Web of Science</v>
      </c>
    </row>
    <row r="476" ht="12.75" customHeight="1">
      <c r="A476" s="1" t="s">
        <v>72</v>
      </c>
      <c r="B476" s="1" t="s">
        <v>4922</v>
      </c>
      <c r="C476" s="1" t="s">
        <v>74</v>
      </c>
      <c r="D476" s="1" t="s">
        <v>74</v>
      </c>
      <c r="E476" s="1" t="s">
        <v>74</v>
      </c>
      <c r="F476" s="1" t="s">
        <v>4922</v>
      </c>
      <c r="G476" s="1" t="s">
        <v>74</v>
      </c>
      <c r="H476" s="1" t="s">
        <v>74</v>
      </c>
      <c r="I476" s="1" t="s">
        <v>4923</v>
      </c>
      <c r="J476" s="1" t="s">
        <v>1906</v>
      </c>
      <c r="K476" s="1" t="s">
        <v>74</v>
      </c>
      <c r="L476" s="1" t="s">
        <v>74</v>
      </c>
      <c r="M476" s="1" t="s">
        <v>74</v>
      </c>
      <c r="N476" s="1" t="s">
        <v>74</v>
      </c>
      <c r="O476" s="1" t="s">
        <v>74</v>
      </c>
      <c r="P476" s="1" t="s">
        <v>74</v>
      </c>
      <c r="Q476" s="1" t="s">
        <v>74</v>
      </c>
      <c r="R476" s="1" t="s">
        <v>74</v>
      </c>
      <c r="S476" s="1" t="s">
        <v>74</v>
      </c>
      <c r="T476" s="1" t="s">
        <v>74</v>
      </c>
      <c r="U476" s="1" t="s">
        <v>74</v>
      </c>
      <c r="V476" s="1" t="s">
        <v>4924</v>
      </c>
      <c r="W476" s="1" t="s">
        <v>74</v>
      </c>
      <c r="X476" s="1" t="s">
        <v>74</v>
      </c>
      <c r="Y476" s="1" t="s">
        <v>74</v>
      </c>
      <c r="Z476" s="1" t="s">
        <v>74</v>
      </c>
      <c r="AA476" s="1" t="s">
        <v>4925</v>
      </c>
      <c r="AB476" s="1" t="s">
        <v>4926</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1909</v>
      </c>
      <c r="AP476" s="1" t="s">
        <v>74</v>
      </c>
      <c r="AQ476" s="1" t="s">
        <v>74</v>
      </c>
      <c r="AR476" s="1" t="s">
        <v>74</v>
      </c>
      <c r="AS476" s="1" t="s">
        <v>74</v>
      </c>
      <c r="AT476" s="1" t="s">
        <v>822</v>
      </c>
      <c r="AU476" s="1">
        <v>1999.0</v>
      </c>
      <c r="AV476" s="1">
        <v>16.0</v>
      </c>
      <c r="AW476" s="1">
        <v>1.0</v>
      </c>
      <c r="AX476" s="1" t="s">
        <v>74</v>
      </c>
      <c r="AY476" s="1" t="s">
        <v>74</v>
      </c>
      <c r="AZ476" s="1" t="s">
        <v>74</v>
      </c>
      <c r="BA476" s="1" t="s">
        <v>74</v>
      </c>
      <c r="BB476" s="1">
        <v>93.0</v>
      </c>
      <c r="BC476" s="1">
        <v>100.0</v>
      </c>
      <c r="BD476" s="1" t="s">
        <v>74</v>
      </c>
      <c r="BE476" s="1" t="s">
        <v>4927</v>
      </c>
      <c r="BF476" s="2" t="str">
        <f>HYPERLINK("http://dx.doi.org/10.1088/0264-9381/16/1/007","http://dx.doi.org/10.1088/0264-9381/16/1/007")</f>
        <v>http://dx.doi.org/10.1088/0264-9381/16/1/007</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4928</v>
      </c>
      <c r="BT476" s="1" t="str">
        <f>HYPERLINK("https%3A%2F%2Fwww.webofscience.com%2Fwos%2Fwoscc%2Ffull-record%2FWOS:000078469500007","View Full Record in Web of Science")</f>
        <v>View Full Record in Web of Science</v>
      </c>
    </row>
    <row r="477" ht="12.75" customHeight="1">
      <c r="A477" s="1" t="s">
        <v>72</v>
      </c>
      <c r="B477" s="1" t="s">
        <v>4929</v>
      </c>
      <c r="C477" s="1" t="s">
        <v>74</v>
      </c>
      <c r="D477" s="1" t="s">
        <v>74</v>
      </c>
      <c r="E477" s="1" t="s">
        <v>74</v>
      </c>
      <c r="F477" s="1" t="s">
        <v>4930</v>
      </c>
      <c r="G477" s="1" t="s">
        <v>74</v>
      </c>
      <c r="H477" s="1" t="s">
        <v>74</v>
      </c>
      <c r="I477" s="1" t="s">
        <v>4931</v>
      </c>
      <c r="J477" s="1" t="s">
        <v>1944</v>
      </c>
      <c r="K477" s="1" t="s">
        <v>74</v>
      </c>
      <c r="L477" s="1" t="s">
        <v>74</v>
      </c>
      <c r="M477" s="1" t="s">
        <v>74</v>
      </c>
      <c r="N477" s="1" t="s">
        <v>74</v>
      </c>
      <c r="O477" s="1" t="s">
        <v>74</v>
      </c>
      <c r="P477" s="1" t="s">
        <v>74</v>
      </c>
      <c r="Q477" s="1" t="s">
        <v>74</v>
      </c>
      <c r="R477" s="1" t="s">
        <v>74</v>
      </c>
      <c r="S477" s="1" t="s">
        <v>74</v>
      </c>
      <c r="T477" s="1" t="s">
        <v>74</v>
      </c>
      <c r="U477" s="1" t="s">
        <v>74</v>
      </c>
      <c r="V477" s="1" t="s">
        <v>4932</v>
      </c>
      <c r="W477" s="1" t="s">
        <v>74</v>
      </c>
      <c r="X477" s="1" t="s">
        <v>74</v>
      </c>
      <c r="Y477" s="1" t="s">
        <v>74</v>
      </c>
      <c r="Z477" s="1" t="s">
        <v>74</v>
      </c>
      <c r="AA477" s="1" t="s">
        <v>4933</v>
      </c>
      <c r="AB477" s="1" t="s">
        <v>4934</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1948</v>
      </c>
      <c r="AP477" s="1" t="s">
        <v>1949</v>
      </c>
      <c r="AQ477" s="1" t="s">
        <v>74</v>
      </c>
      <c r="AR477" s="1" t="s">
        <v>74</v>
      </c>
      <c r="AS477" s="1" t="s">
        <v>74</v>
      </c>
      <c r="AT477" s="1" t="s">
        <v>1082</v>
      </c>
      <c r="AU477" s="1">
        <v>2024.0</v>
      </c>
      <c r="AV477" s="1">
        <v>260.0</v>
      </c>
      <c r="AW477" s="1" t="s">
        <v>74</v>
      </c>
      <c r="AX477" s="1" t="s">
        <v>74</v>
      </c>
      <c r="AY477" s="1" t="s">
        <v>74</v>
      </c>
      <c r="AZ477" s="1" t="s">
        <v>74</v>
      </c>
      <c r="BA477" s="1" t="s">
        <v>74</v>
      </c>
      <c r="BB477" s="1" t="s">
        <v>74</v>
      </c>
      <c r="BC477" s="1" t="s">
        <v>74</v>
      </c>
      <c r="BD477" s="1">
        <v>112689.0</v>
      </c>
      <c r="BE477" s="1" t="s">
        <v>4935</v>
      </c>
      <c r="BF477" s="2" t="str">
        <f>HYPERLINK("http://dx.doi.org/10.1016/j.jinorgbio.2024.112689","http://dx.doi.org/10.1016/j.jinorgbio.2024.112689")</f>
        <v>http://dx.doi.org/10.1016/j.jinorgbio.2024.112689</v>
      </c>
      <c r="BG477" s="1" t="s">
        <v>74</v>
      </c>
      <c r="BH477" s="1" t="s">
        <v>3479</v>
      </c>
      <c r="BI477" s="1" t="s">
        <v>74</v>
      </c>
      <c r="BJ477" s="1" t="s">
        <v>74</v>
      </c>
      <c r="BK477" s="1" t="s">
        <v>74</v>
      </c>
      <c r="BL477" s="1" t="s">
        <v>74</v>
      </c>
      <c r="BM477" s="1" t="s">
        <v>74</v>
      </c>
      <c r="BN477" s="1">
        <v>3.9121601E7</v>
      </c>
      <c r="BO477" s="1" t="s">
        <v>74</v>
      </c>
      <c r="BP477" s="1" t="s">
        <v>74</v>
      </c>
      <c r="BQ477" s="1" t="s">
        <v>74</v>
      </c>
      <c r="BR477" s="1" t="s">
        <v>74</v>
      </c>
      <c r="BS477" s="1" t="s">
        <v>4936</v>
      </c>
      <c r="BT477" s="1" t="str">
        <f>HYPERLINK("https%3A%2F%2Fwww.webofscience.com%2Fwos%2Fwoscc%2Ffull-record%2FWOS:001292627100001","View Full Record in Web of Science")</f>
        <v>View Full Record in Web of Science</v>
      </c>
    </row>
    <row r="478" ht="12.75" customHeight="1">
      <c r="A478" s="1" t="s">
        <v>72</v>
      </c>
      <c r="B478" s="1" t="s">
        <v>4937</v>
      </c>
      <c r="C478" s="1" t="s">
        <v>74</v>
      </c>
      <c r="D478" s="1" t="s">
        <v>74</v>
      </c>
      <c r="E478" s="1" t="s">
        <v>74</v>
      </c>
      <c r="F478" s="1" t="s">
        <v>4938</v>
      </c>
      <c r="G478" s="1" t="s">
        <v>74</v>
      </c>
      <c r="H478" s="1" t="s">
        <v>74</v>
      </c>
      <c r="I478" s="1" t="s">
        <v>4939</v>
      </c>
      <c r="J478" s="1" t="s">
        <v>1002</v>
      </c>
      <c r="K478" s="1" t="s">
        <v>74</v>
      </c>
      <c r="L478" s="1" t="s">
        <v>74</v>
      </c>
      <c r="M478" s="1" t="s">
        <v>74</v>
      </c>
      <c r="N478" s="1" t="s">
        <v>74</v>
      </c>
      <c r="O478" s="1" t="s">
        <v>74</v>
      </c>
      <c r="P478" s="1" t="s">
        <v>74</v>
      </c>
      <c r="Q478" s="1" t="s">
        <v>74</v>
      </c>
      <c r="R478" s="1" t="s">
        <v>74</v>
      </c>
      <c r="S478" s="1" t="s">
        <v>74</v>
      </c>
      <c r="T478" s="1" t="s">
        <v>74</v>
      </c>
      <c r="U478" s="1" t="s">
        <v>74</v>
      </c>
      <c r="V478" s="1" t="s">
        <v>4940</v>
      </c>
      <c r="W478" s="1" t="s">
        <v>74</v>
      </c>
      <c r="X478" s="1" t="s">
        <v>74</v>
      </c>
      <c r="Y478" s="1" t="s">
        <v>74</v>
      </c>
      <c r="Z478" s="1" t="s">
        <v>74</v>
      </c>
      <c r="AA478" s="1" t="s">
        <v>4941</v>
      </c>
      <c r="AB478" s="1" t="s">
        <v>4942</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1005</v>
      </c>
      <c r="AP478" s="1" t="s">
        <v>1006</v>
      </c>
      <c r="AQ478" s="1" t="s">
        <v>74</v>
      </c>
      <c r="AR478" s="1" t="s">
        <v>74</v>
      </c>
      <c r="AS478" s="1" t="s">
        <v>74</v>
      </c>
      <c r="AT478" s="1" t="s">
        <v>3227</v>
      </c>
      <c r="AU478" s="1">
        <v>2023.0</v>
      </c>
      <c r="AV478" s="1">
        <v>96.0</v>
      </c>
      <c r="AW478" s="1">
        <v>1.0</v>
      </c>
      <c r="AX478" s="1" t="s">
        <v>74</v>
      </c>
      <c r="AY478" s="1" t="s">
        <v>74</v>
      </c>
      <c r="AZ478" s="1" t="s">
        <v>74</v>
      </c>
      <c r="BA478" s="1" t="s">
        <v>74</v>
      </c>
      <c r="BB478" s="1" t="s">
        <v>74</v>
      </c>
      <c r="BC478" s="1" t="s">
        <v>74</v>
      </c>
      <c r="BD478" s="1">
        <v>6.0</v>
      </c>
      <c r="BE478" s="1" t="s">
        <v>4943</v>
      </c>
      <c r="BF478" s="2" t="str">
        <f>HYPERLINK("http://dx.doi.org/10.1186/s40693-023-00118-0","http://dx.doi.org/10.1186/s40693-023-00118-0")</f>
        <v>http://dx.doi.org/10.1186/s40693-023-00118-0</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4944</v>
      </c>
      <c r="BT478" s="1" t="str">
        <f>HYPERLINK("https%3A%2F%2Fwww.webofscience.com%2Fwos%2Fwoscc%2Ffull-record%2FWOS:001038946700001","View Full Record in Web of Science")</f>
        <v>View Full Record in Web of Science</v>
      </c>
    </row>
    <row r="479" ht="12.75" customHeight="1">
      <c r="A479" s="1" t="s">
        <v>72</v>
      </c>
      <c r="B479" s="1" t="s">
        <v>4945</v>
      </c>
      <c r="C479" s="1" t="s">
        <v>74</v>
      </c>
      <c r="D479" s="1" t="s">
        <v>74</v>
      </c>
      <c r="E479" s="1" t="s">
        <v>74</v>
      </c>
      <c r="F479" s="1" t="s">
        <v>4946</v>
      </c>
      <c r="G479" s="1" t="s">
        <v>74</v>
      </c>
      <c r="H479" s="1" t="s">
        <v>74</v>
      </c>
      <c r="I479" s="1" t="s">
        <v>4947</v>
      </c>
      <c r="J479" s="1" t="s">
        <v>3908</v>
      </c>
      <c r="K479" s="1" t="s">
        <v>74</v>
      </c>
      <c r="L479" s="1" t="s">
        <v>74</v>
      </c>
      <c r="M479" s="1" t="s">
        <v>74</v>
      </c>
      <c r="N479" s="1" t="s">
        <v>74</v>
      </c>
      <c r="O479" s="1" t="s">
        <v>74</v>
      </c>
      <c r="P479" s="1" t="s">
        <v>74</v>
      </c>
      <c r="Q479" s="1" t="s">
        <v>74</v>
      </c>
      <c r="R479" s="1" t="s">
        <v>74</v>
      </c>
      <c r="S479" s="1" t="s">
        <v>74</v>
      </c>
      <c r="T479" s="1" t="s">
        <v>74</v>
      </c>
      <c r="U479" s="1" t="s">
        <v>74</v>
      </c>
      <c r="V479" s="1" t="s">
        <v>4948</v>
      </c>
      <c r="W479" s="1" t="s">
        <v>74</v>
      </c>
      <c r="X479" s="1" t="s">
        <v>74</v>
      </c>
      <c r="Y479" s="1" t="s">
        <v>74</v>
      </c>
      <c r="Z479" s="1" t="s">
        <v>74</v>
      </c>
      <c r="AA479" s="1" t="s">
        <v>74</v>
      </c>
      <c r="AB479" s="1" t="s">
        <v>4949</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3911</v>
      </c>
      <c r="AP479" s="1" t="s">
        <v>3912</v>
      </c>
      <c r="AQ479" s="1" t="s">
        <v>74</v>
      </c>
      <c r="AR479" s="1" t="s">
        <v>74</v>
      </c>
      <c r="AS479" s="1" t="s">
        <v>74</v>
      </c>
      <c r="AT479" s="1" t="s">
        <v>974</v>
      </c>
      <c r="AU479" s="1">
        <v>2023.0</v>
      </c>
      <c r="AV479" s="1">
        <v>329.0</v>
      </c>
      <c r="AW479" s="1" t="s">
        <v>74</v>
      </c>
      <c r="AX479" s="1" t="s">
        <v>74</v>
      </c>
      <c r="AY479" s="1" t="s">
        <v>74</v>
      </c>
      <c r="AZ479" s="1" t="s">
        <v>74</v>
      </c>
      <c r="BA479" s="1" t="s">
        <v>74</v>
      </c>
      <c r="BB479" s="1" t="s">
        <v>74</v>
      </c>
      <c r="BC479" s="1" t="s">
        <v>74</v>
      </c>
      <c r="BD479" s="1">
        <v>116032.0</v>
      </c>
      <c r="BE479" s="1" t="s">
        <v>4950</v>
      </c>
      <c r="BF479" s="2" t="str">
        <f>HYPERLINK("http://dx.doi.org/10.1016/j.socscimed.2023.116032","http://dx.doi.org/10.1016/j.socscimed.2023.116032")</f>
        <v>http://dx.doi.org/10.1016/j.socscimed.2023.116032</v>
      </c>
      <c r="BG479" s="1" t="s">
        <v>74</v>
      </c>
      <c r="BH479" s="1" t="s">
        <v>4951</v>
      </c>
      <c r="BI479" s="1" t="s">
        <v>74</v>
      </c>
      <c r="BJ479" s="1" t="s">
        <v>74</v>
      </c>
      <c r="BK479" s="1" t="s">
        <v>74</v>
      </c>
      <c r="BL479" s="1" t="s">
        <v>74</v>
      </c>
      <c r="BM479" s="1" t="s">
        <v>74</v>
      </c>
      <c r="BN479" s="1">
        <v>3.7379638E7</v>
      </c>
      <c r="BO479" s="1" t="s">
        <v>74</v>
      </c>
      <c r="BP479" s="1" t="s">
        <v>74</v>
      </c>
      <c r="BQ479" s="1" t="s">
        <v>74</v>
      </c>
      <c r="BR479" s="1" t="s">
        <v>74</v>
      </c>
      <c r="BS479" s="1" t="s">
        <v>4952</v>
      </c>
      <c r="BT479" s="1" t="str">
        <f>HYPERLINK("https%3A%2F%2Fwww.webofscience.com%2Fwos%2Fwoscc%2Ffull-record%2FWOS:001036401600001","View Full Record in Web of Science")</f>
        <v>View Full Record in Web of Science</v>
      </c>
    </row>
    <row r="480" ht="12.75" customHeight="1">
      <c r="A480" s="1" t="s">
        <v>72</v>
      </c>
      <c r="B480" s="1" t="s">
        <v>4953</v>
      </c>
      <c r="C480" s="1" t="s">
        <v>74</v>
      </c>
      <c r="D480" s="1" t="s">
        <v>74</v>
      </c>
      <c r="E480" s="1" t="s">
        <v>74</v>
      </c>
      <c r="F480" s="1" t="s">
        <v>4954</v>
      </c>
      <c r="G480" s="1" t="s">
        <v>74</v>
      </c>
      <c r="H480" s="1" t="s">
        <v>74</v>
      </c>
      <c r="I480" s="1" t="s">
        <v>4955</v>
      </c>
      <c r="J480" s="1" t="s">
        <v>4956</v>
      </c>
      <c r="K480" s="1" t="s">
        <v>74</v>
      </c>
      <c r="L480" s="1" t="s">
        <v>74</v>
      </c>
      <c r="M480" s="1" t="s">
        <v>74</v>
      </c>
      <c r="N480" s="1" t="s">
        <v>74</v>
      </c>
      <c r="O480" s="1" t="s">
        <v>4957</v>
      </c>
      <c r="P480" s="1" t="s">
        <v>4958</v>
      </c>
      <c r="Q480" s="1" t="s">
        <v>4959</v>
      </c>
      <c r="R480" s="1" t="s">
        <v>74</v>
      </c>
      <c r="S480" s="1" t="s">
        <v>74</v>
      </c>
      <c r="T480" s="1" t="s">
        <v>74</v>
      </c>
      <c r="U480" s="1" t="s">
        <v>74</v>
      </c>
      <c r="V480" s="1" t="s">
        <v>74</v>
      </c>
      <c r="W480" s="1" t="s">
        <v>74</v>
      </c>
      <c r="X480" s="1" t="s">
        <v>74</v>
      </c>
      <c r="Y480" s="1" t="s">
        <v>74</v>
      </c>
      <c r="Z480" s="1" t="s">
        <v>74</v>
      </c>
      <c r="AA480" s="1" t="s">
        <v>4960</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4961</v>
      </c>
      <c r="AP480" s="1" t="s">
        <v>4962</v>
      </c>
      <c r="AQ480" s="1" t="s">
        <v>74</v>
      </c>
      <c r="AR480" s="1" t="s">
        <v>74</v>
      </c>
      <c r="AS480" s="1" t="s">
        <v>74</v>
      </c>
      <c r="AT480" s="1" t="s">
        <v>4963</v>
      </c>
      <c r="AU480" s="1">
        <v>2023.0</v>
      </c>
      <c r="AV480" s="1">
        <v>201.0</v>
      </c>
      <c r="AW480" s="1" t="s">
        <v>74</v>
      </c>
      <c r="AX480" s="1" t="s">
        <v>74</v>
      </c>
      <c r="AY480" s="1">
        <v>1.0</v>
      </c>
      <c r="AZ480" s="1" t="s">
        <v>74</v>
      </c>
      <c r="BA480" s="1" t="s">
        <v>4964</v>
      </c>
      <c r="BB480" s="1">
        <v>18.0</v>
      </c>
      <c r="BC480" s="1">
        <v>18.0</v>
      </c>
      <c r="BD480" s="1" t="s">
        <v>74</v>
      </c>
      <c r="BE480" s="1" t="s">
        <v>4965</v>
      </c>
      <c r="BF480" s="2" t="str">
        <f>HYPERLINK("http://dx.doi.org/10.1016/j.freeradbiomed.2023.03.087","http://dx.doi.org/10.1016/j.freeradbiomed.2023.03.087")</f>
        <v>http://dx.doi.org/10.1016/j.freeradbiomed.2023.03.087</v>
      </c>
      <c r="BG480" s="1" t="s">
        <v>74</v>
      </c>
      <c r="BH480" s="1" t="s">
        <v>1605</v>
      </c>
      <c r="BI480" s="1" t="s">
        <v>74</v>
      </c>
      <c r="BJ480" s="1" t="s">
        <v>74</v>
      </c>
      <c r="BK480" s="1" t="s">
        <v>74</v>
      </c>
      <c r="BL480" s="1" t="s">
        <v>74</v>
      </c>
      <c r="BM480" s="1" t="s">
        <v>74</v>
      </c>
      <c r="BN480" s="1" t="s">
        <v>74</v>
      </c>
      <c r="BO480" s="1" t="s">
        <v>74</v>
      </c>
      <c r="BP480" s="1" t="s">
        <v>74</v>
      </c>
      <c r="BQ480" s="1" t="s">
        <v>74</v>
      </c>
      <c r="BR480" s="1" t="s">
        <v>74</v>
      </c>
      <c r="BS480" s="1" t="s">
        <v>4966</v>
      </c>
      <c r="BT480" s="1" t="str">
        <f>HYPERLINK("https%3A%2F%2Fwww.webofscience.com%2Fwos%2Fwoscc%2Ffull-record%2FWOS:000994966600060","View Full Record in Web of Science")</f>
        <v>View Full Record in Web of Science</v>
      </c>
    </row>
    <row r="481" ht="12.75" customHeight="1">
      <c r="A481" s="1" t="s">
        <v>72</v>
      </c>
      <c r="B481" s="1" t="s">
        <v>4967</v>
      </c>
      <c r="C481" s="1" t="s">
        <v>74</v>
      </c>
      <c r="D481" s="1" t="s">
        <v>74</v>
      </c>
      <c r="E481" s="1" t="s">
        <v>74</v>
      </c>
      <c r="F481" s="1" t="s">
        <v>4968</v>
      </c>
      <c r="G481" s="1" t="s">
        <v>74</v>
      </c>
      <c r="H481" s="1" t="s">
        <v>74</v>
      </c>
      <c r="I481" s="1" t="s">
        <v>4969</v>
      </c>
      <c r="J481" s="1" t="s">
        <v>292</v>
      </c>
      <c r="K481" s="1" t="s">
        <v>74</v>
      </c>
      <c r="L481" s="1" t="s">
        <v>74</v>
      </c>
      <c r="M481" s="1" t="s">
        <v>74</v>
      </c>
      <c r="N481" s="1" t="s">
        <v>74</v>
      </c>
      <c r="O481" s="1" t="s">
        <v>74</v>
      </c>
      <c r="P481" s="1" t="s">
        <v>74</v>
      </c>
      <c r="Q481" s="1" t="s">
        <v>74</v>
      </c>
      <c r="R481" s="1" t="s">
        <v>74</v>
      </c>
      <c r="S481" s="1" t="s">
        <v>74</v>
      </c>
      <c r="T481" s="1" t="s">
        <v>74</v>
      </c>
      <c r="U481" s="1" t="s">
        <v>74</v>
      </c>
      <c r="V481" s="1" t="s">
        <v>4970</v>
      </c>
      <c r="W481" s="1" t="s">
        <v>74</v>
      </c>
      <c r="X481" s="1" t="s">
        <v>74</v>
      </c>
      <c r="Y481" s="1" t="s">
        <v>74</v>
      </c>
      <c r="Z481" s="1" t="s">
        <v>74</v>
      </c>
      <c r="AA481" s="1" t="s">
        <v>4971</v>
      </c>
      <c r="AB481" s="1" t="s">
        <v>4972</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296</v>
      </c>
      <c r="AP481" s="1" t="s">
        <v>74</v>
      </c>
      <c r="AQ481" s="1" t="s">
        <v>74</v>
      </c>
      <c r="AR481" s="1" t="s">
        <v>74</v>
      </c>
      <c r="AS481" s="1" t="s">
        <v>74</v>
      </c>
      <c r="AT481" s="1" t="s">
        <v>4973</v>
      </c>
      <c r="AU481" s="1">
        <v>2022.0</v>
      </c>
      <c r="AV481" s="1">
        <v>12.0</v>
      </c>
      <c r="AW481" s="1">
        <v>1.0</v>
      </c>
      <c r="AX481" s="1" t="s">
        <v>74</v>
      </c>
      <c r="AY481" s="1" t="s">
        <v>74</v>
      </c>
      <c r="AZ481" s="1" t="s">
        <v>74</v>
      </c>
      <c r="BA481" s="1" t="s">
        <v>74</v>
      </c>
      <c r="BB481" s="1" t="s">
        <v>74</v>
      </c>
      <c r="BC481" s="1" t="s">
        <v>74</v>
      </c>
      <c r="BD481" s="1">
        <v>21191.0</v>
      </c>
      <c r="BE481" s="1" t="s">
        <v>4974</v>
      </c>
      <c r="BF481" s="2" t="str">
        <f>HYPERLINK("http://dx.doi.org/10.1038/s41598-022-25474-x","http://dx.doi.org/10.1038/s41598-022-25474-x")</f>
        <v>http://dx.doi.org/10.1038/s41598-022-25474-x</v>
      </c>
      <c r="BG481" s="1" t="s">
        <v>74</v>
      </c>
      <c r="BH481" s="1" t="s">
        <v>74</v>
      </c>
      <c r="BI481" s="1" t="s">
        <v>74</v>
      </c>
      <c r="BJ481" s="1" t="s">
        <v>74</v>
      </c>
      <c r="BK481" s="1" t="s">
        <v>74</v>
      </c>
      <c r="BL481" s="1" t="s">
        <v>74</v>
      </c>
      <c r="BM481" s="1" t="s">
        <v>74</v>
      </c>
      <c r="BN481" s="1">
        <v>3.6476946E7</v>
      </c>
      <c r="BO481" s="1" t="s">
        <v>74</v>
      </c>
      <c r="BP481" s="1" t="s">
        <v>74</v>
      </c>
      <c r="BQ481" s="1" t="s">
        <v>74</v>
      </c>
      <c r="BR481" s="1" t="s">
        <v>74</v>
      </c>
      <c r="BS481" s="1" t="s">
        <v>4975</v>
      </c>
      <c r="BT481" s="1" t="str">
        <f>HYPERLINK("https%3A%2F%2Fwww.webofscience.com%2Fwos%2Fwoscc%2Ffull-record%2FWOS:000905463900040","View Full Record in Web of Science")</f>
        <v>View Full Record in Web of Science</v>
      </c>
    </row>
    <row r="482" ht="12.75" customHeight="1">
      <c r="A482" s="1" t="s">
        <v>72</v>
      </c>
      <c r="B482" s="1" t="s">
        <v>4976</v>
      </c>
      <c r="C482" s="1" t="s">
        <v>74</v>
      </c>
      <c r="D482" s="1" t="s">
        <v>74</v>
      </c>
      <c r="E482" s="1" t="s">
        <v>74</v>
      </c>
      <c r="F482" s="1" t="s">
        <v>4977</v>
      </c>
      <c r="G482" s="1" t="s">
        <v>74</v>
      </c>
      <c r="H482" s="1" t="s">
        <v>74</v>
      </c>
      <c r="I482" s="1" t="s">
        <v>4978</v>
      </c>
      <c r="J482" s="1" t="s">
        <v>4979</v>
      </c>
      <c r="K482" s="1" t="s">
        <v>74</v>
      </c>
      <c r="L482" s="1" t="s">
        <v>74</v>
      </c>
      <c r="M482" s="1" t="s">
        <v>74</v>
      </c>
      <c r="N482" s="1" t="s">
        <v>74</v>
      </c>
      <c r="O482" s="1" t="s">
        <v>74</v>
      </c>
      <c r="P482" s="1" t="s">
        <v>74</v>
      </c>
      <c r="Q482" s="1" t="s">
        <v>74</v>
      </c>
      <c r="R482" s="1" t="s">
        <v>74</v>
      </c>
      <c r="S482" s="1" t="s">
        <v>74</v>
      </c>
      <c r="T482" s="1" t="s">
        <v>74</v>
      </c>
      <c r="U482" s="1" t="s">
        <v>74</v>
      </c>
      <c r="V482" s="1" t="s">
        <v>4980</v>
      </c>
      <c r="W482" s="1" t="s">
        <v>74</v>
      </c>
      <c r="X482" s="1" t="s">
        <v>74</v>
      </c>
      <c r="Y482" s="1" t="s">
        <v>74</v>
      </c>
      <c r="Z482" s="1" t="s">
        <v>74</v>
      </c>
      <c r="AA482" s="1" t="s">
        <v>4981</v>
      </c>
      <c r="AB482" s="1" t="s">
        <v>4982</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4983</v>
      </c>
      <c r="AP482" s="1" t="s">
        <v>4984</v>
      </c>
      <c r="AQ482" s="1" t="s">
        <v>74</v>
      </c>
      <c r="AR482" s="1" t="s">
        <v>74</v>
      </c>
      <c r="AS482" s="1" t="s">
        <v>74</v>
      </c>
      <c r="AT482" s="1" t="s">
        <v>200</v>
      </c>
      <c r="AU482" s="1">
        <v>2021.0</v>
      </c>
      <c r="AV482" s="1">
        <v>264.0</v>
      </c>
      <c r="AW482" s="1" t="s">
        <v>74</v>
      </c>
      <c r="AX482" s="1" t="s">
        <v>74</v>
      </c>
      <c r="AY482" s="1" t="s">
        <v>74</v>
      </c>
      <c r="AZ482" s="1" t="s">
        <v>74</v>
      </c>
      <c r="BA482" s="1" t="s">
        <v>74</v>
      </c>
      <c r="BB482" s="1" t="s">
        <v>74</v>
      </c>
      <c r="BC482" s="1" t="s">
        <v>74</v>
      </c>
      <c r="BD482" s="1">
        <v>118017.0</v>
      </c>
      <c r="BE482" s="1" t="s">
        <v>4985</v>
      </c>
      <c r="BF482" s="2" t="str">
        <f>HYPERLINK("http://dx.doi.org/10.1016/j.carbpol.2021.118017","http://dx.doi.org/10.1016/j.carbpol.2021.118017")</f>
        <v>http://dx.doi.org/10.1016/j.carbpol.2021.118017</v>
      </c>
      <c r="BG482" s="1" t="s">
        <v>74</v>
      </c>
      <c r="BH482" s="1" t="s">
        <v>2434</v>
      </c>
      <c r="BI482" s="1" t="s">
        <v>74</v>
      </c>
      <c r="BJ482" s="1" t="s">
        <v>74</v>
      </c>
      <c r="BK482" s="1" t="s">
        <v>74</v>
      </c>
      <c r="BL482" s="1" t="s">
        <v>74</v>
      </c>
      <c r="BM482" s="1" t="s">
        <v>74</v>
      </c>
      <c r="BN482" s="1">
        <v>3.391074E7</v>
      </c>
      <c r="BO482" s="1" t="s">
        <v>74</v>
      </c>
      <c r="BP482" s="1" t="s">
        <v>74</v>
      </c>
      <c r="BQ482" s="1" t="s">
        <v>74</v>
      </c>
      <c r="BR482" s="1" t="s">
        <v>74</v>
      </c>
      <c r="BS482" s="1" t="s">
        <v>4986</v>
      </c>
      <c r="BT482" s="1" t="str">
        <f>HYPERLINK("https%3A%2F%2Fwww.webofscience.com%2Fwos%2Fwoscc%2Ffull-record%2FWOS:000647408500002","View Full Record in Web of Science")</f>
        <v>View Full Record in Web of Science</v>
      </c>
    </row>
    <row r="483" ht="12.75" customHeight="1">
      <c r="A483" s="1" t="s">
        <v>72</v>
      </c>
      <c r="B483" s="1" t="s">
        <v>4987</v>
      </c>
      <c r="C483" s="1" t="s">
        <v>74</v>
      </c>
      <c r="D483" s="1" t="s">
        <v>74</v>
      </c>
      <c r="E483" s="1" t="s">
        <v>74</v>
      </c>
      <c r="F483" s="1" t="s">
        <v>4988</v>
      </c>
      <c r="G483" s="1" t="s">
        <v>74</v>
      </c>
      <c r="H483" s="1" t="s">
        <v>74</v>
      </c>
      <c r="I483" s="1" t="s">
        <v>4989</v>
      </c>
      <c r="J483" s="1" t="s">
        <v>4990</v>
      </c>
      <c r="K483" s="1" t="s">
        <v>74</v>
      </c>
      <c r="L483" s="1" t="s">
        <v>74</v>
      </c>
      <c r="M483" s="1" t="s">
        <v>74</v>
      </c>
      <c r="N483" s="1" t="s">
        <v>74</v>
      </c>
      <c r="O483" s="1" t="s">
        <v>74</v>
      </c>
      <c r="P483" s="1" t="s">
        <v>74</v>
      </c>
      <c r="Q483" s="1" t="s">
        <v>74</v>
      </c>
      <c r="R483" s="1" t="s">
        <v>74</v>
      </c>
      <c r="S483" s="1" t="s">
        <v>74</v>
      </c>
      <c r="T483" s="1" t="s">
        <v>74</v>
      </c>
      <c r="U483" s="1" t="s">
        <v>74</v>
      </c>
      <c r="V483" s="1" t="s">
        <v>4991</v>
      </c>
      <c r="W483" s="1" t="s">
        <v>74</v>
      </c>
      <c r="X483" s="1" t="s">
        <v>74</v>
      </c>
      <c r="Y483" s="1" t="s">
        <v>74</v>
      </c>
      <c r="Z483" s="1" t="s">
        <v>74</v>
      </c>
      <c r="AA483" s="1" t="s">
        <v>4992</v>
      </c>
      <c r="AB483" s="1" t="s">
        <v>4993</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4994</v>
      </c>
      <c r="AP483" s="1" t="s">
        <v>4995</v>
      </c>
      <c r="AQ483" s="1" t="s">
        <v>74</v>
      </c>
      <c r="AR483" s="1" t="s">
        <v>74</v>
      </c>
      <c r="AS483" s="1" t="s">
        <v>74</v>
      </c>
      <c r="AT483" s="1" t="s">
        <v>4996</v>
      </c>
      <c r="AU483" s="1">
        <v>2020.0</v>
      </c>
      <c r="AV483" s="1">
        <v>37.0</v>
      </c>
      <c r="AW483" s="1">
        <v>7.0</v>
      </c>
      <c r="AX483" s="1" t="s">
        <v>74</v>
      </c>
      <c r="AY483" s="1" t="s">
        <v>74</v>
      </c>
      <c r="AZ483" s="1" t="s">
        <v>74</v>
      </c>
      <c r="BA483" s="1" t="s">
        <v>74</v>
      </c>
      <c r="BB483" s="1" t="s">
        <v>74</v>
      </c>
      <c r="BC483" s="1" t="s">
        <v>74</v>
      </c>
      <c r="BD483" s="1">
        <v>125.0</v>
      </c>
      <c r="BE483" s="1" t="s">
        <v>4997</v>
      </c>
      <c r="BF483" s="2" t="str">
        <f>HYPERLINK("http://dx.doi.org/10.1007/s11095-020-02849-1","http://dx.doi.org/10.1007/s11095-020-02849-1")</f>
        <v>http://dx.doi.org/10.1007/s11095-020-02849-1</v>
      </c>
      <c r="BG483" s="1" t="s">
        <v>74</v>
      </c>
      <c r="BH483" s="1" t="s">
        <v>74</v>
      </c>
      <c r="BI483" s="1" t="s">
        <v>74</v>
      </c>
      <c r="BJ483" s="1" t="s">
        <v>74</v>
      </c>
      <c r="BK483" s="1" t="s">
        <v>74</v>
      </c>
      <c r="BL483" s="1" t="s">
        <v>74</v>
      </c>
      <c r="BM483" s="1" t="s">
        <v>74</v>
      </c>
      <c r="BN483" s="1">
        <v>3.2529587E7</v>
      </c>
      <c r="BO483" s="1" t="s">
        <v>74</v>
      </c>
      <c r="BP483" s="1" t="s">
        <v>74</v>
      </c>
      <c r="BQ483" s="1" t="s">
        <v>74</v>
      </c>
      <c r="BR483" s="1" t="s">
        <v>74</v>
      </c>
      <c r="BS483" s="1" t="s">
        <v>4998</v>
      </c>
      <c r="BT483" s="1" t="str">
        <f>HYPERLINK("https%3A%2F%2Fwww.webofscience.com%2Fwos%2Fwoscc%2Ffull-record%2FWOS:000543520800003","View Full Record in Web of Science")</f>
        <v>View Full Record in Web of Science</v>
      </c>
    </row>
    <row r="484" ht="12.75" customHeight="1">
      <c r="A484" s="1" t="s">
        <v>72</v>
      </c>
      <c r="B484" s="1" t="s">
        <v>4999</v>
      </c>
      <c r="C484" s="1" t="s">
        <v>74</v>
      </c>
      <c r="D484" s="1" t="s">
        <v>74</v>
      </c>
      <c r="E484" s="1" t="s">
        <v>74</v>
      </c>
      <c r="F484" s="1" t="s">
        <v>5000</v>
      </c>
      <c r="G484" s="1" t="s">
        <v>74</v>
      </c>
      <c r="H484" s="1" t="s">
        <v>74</v>
      </c>
      <c r="I484" s="1" t="s">
        <v>5001</v>
      </c>
      <c r="J484" s="1" t="s">
        <v>4819</v>
      </c>
      <c r="K484" s="1" t="s">
        <v>74</v>
      </c>
      <c r="L484" s="1" t="s">
        <v>74</v>
      </c>
      <c r="M484" s="1" t="s">
        <v>74</v>
      </c>
      <c r="N484" s="1" t="s">
        <v>74</v>
      </c>
      <c r="O484" s="1" t="s">
        <v>74</v>
      </c>
      <c r="P484" s="1" t="s">
        <v>74</v>
      </c>
      <c r="Q484" s="1" t="s">
        <v>74</v>
      </c>
      <c r="R484" s="1" t="s">
        <v>74</v>
      </c>
      <c r="S484" s="1" t="s">
        <v>74</v>
      </c>
      <c r="T484" s="1" t="s">
        <v>74</v>
      </c>
      <c r="U484" s="1" t="s">
        <v>74</v>
      </c>
      <c r="V484" s="1" t="s">
        <v>5002</v>
      </c>
      <c r="W484" s="1" t="s">
        <v>74</v>
      </c>
      <c r="X484" s="1" t="s">
        <v>74</v>
      </c>
      <c r="Y484" s="1" t="s">
        <v>74</v>
      </c>
      <c r="Z484" s="1" t="s">
        <v>74</v>
      </c>
      <c r="AA484" s="1" t="s">
        <v>5003</v>
      </c>
      <c r="AB484" s="1" t="s">
        <v>5004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4823</v>
      </c>
      <c r="AP484" s="1" t="s">
        <v>5005</v>
      </c>
      <c r="AQ484" s="1" t="s">
        <v>74</v>
      </c>
      <c r="AR484" s="1" t="s">
        <v>74</v>
      </c>
      <c r="AS484" s="1" t="s">
        <v>74</v>
      </c>
      <c r="AT484" s="1" t="s">
        <v>822</v>
      </c>
      <c r="AU484" s="1">
        <v>2021.0</v>
      </c>
      <c r="AV484" s="1">
        <v>25.0</v>
      </c>
      <c r="AW484" s="1">
        <v>1.0</v>
      </c>
      <c r="AX484" s="1" t="s">
        <v>74</v>
      </c>
      <c r="AY484" s="1" t="s">
        <v>74</v>
      </c>
      <c r="AZ484" s="1" t="s">
        <v>1350</v>
      </c>
      <c r="BA484" s="1" t="s">
        <v>74</v>
      </c>
      <c r="BB484" s="1">
        <v>133.0</v>
      </c>
      <c r="BC484" s="1">
        <v>140.0</v>
      </c>
      <c r="BD484" s="1" t="s">
        <v>74</v>
      </c>
      <c r="BE484" s="1" t="s">
        <v>5006</v>
      </c>
      <c r="BF484" s="2" t="str">
        <f>HYPERLINK("http://dx.doi.org/10.1007/s10008-019-04476-2","http://dx.doi.org/10.1007/s10008-019-04476-2")</f>
        <v>http://dx.doi.org/10.1007/s10008-019-04476-2</v>
      </c>
      <c r="BG484" s="1" t="s">
        <v>74</v>
      </c>
      <c r="BH484" s="1" t="s">
        <v>411</v>
      </c>
      <c r="BI484" s="1" t="s">
        <v>74</v>
      </c>
      <c r="BJ484" s="1" t="s">
        <v>74</v>
      </c>
      <c r="BK484" s="1" t="s">
        <v>74</v>
      </c>
      <c r="BL484" s="1" t="s">
        <v>74</v>
      </c>
      <c r="BM484" s="1" t="s">
        <v>74</v>
      </c>
      <c r="BN484" s="1" t="s">
        <v>74</v>
      </c>
      <c r="BO484" s="1" t="s">
        <v>74</v>
      </c>
      <c r="BP484" s="1" t="s">
        <v>74</v>
      </c>
      <c r="BQ484" s="1" t="s">
        <v>74</v>
      </c>
      <c r="BR484" s="1" t="s">
        <v>74</v>
      </c>
      <c r="BS484" s="1" t="s">
        <v>5007</v>
      </c>
      <c r="BT484" s="1" t="str">
        <f>HYPERLINK("https%3A%2F%2Fwww.webofscience.com%2Fwos%2Fwoscc%2Ffull-record%2FWOS:000574054600001","View Full Record in Web of Science")</f>
        <v>View Full Record in Web of Science</v>
      </c>
    </row>
    <row r="485" ht="12.75" customHeight="1">
      <c r="A485" s="1" t="s">
        <v>72</v>
      </c>
      <c r="B485" s="1" t="s">
        <v>5008</v>
      </c>
      <c r="C485" s="1" t="s">
        <v>74</v>
      </c>
      <c r="D485" s="1" t="s">
        <v>74</v>
      </c>
      <c r="E485" s="1" t="s">
        <v>74</v>
      </c>
      <c r="F485" s="1" t="s">
        <v>5009</v>
      </c>
      <c r="G485" s="1" t="s">
        <v>74</v>
      </c>
      <c r="H485" s="1" t="s">
        <v>74</v>
      </c>
      <c r="I485" s="1" t="s">
        <v>5010</v>
      </c>
      <c r="J485" s="1" t="s">
        <v>2060</v>
      </c>
      <c r="K485" s="1" t="s">
        <v>74</v>
      </c>
      <c r="L485" s="1" t="s">
        <v>74</v>
      </c>
      <c r="M485" s="1" t="s">
        <v>74</v>
      </c>
      <c r="N485" s="1" t="s">
        <v>74</v>
      </c>
      <c r="O485" s="1" t="s">
        <v>74</v>
      </c>
      <c r="P485" s="1" t="s">
        <v>74</v>
      </c>
      <c r="Q485" s="1" t="s">
        <v>74</v>
      </c>
      <c r="R485" s="1" t="s">
        <v>74</v>
      </c>
      <c r="S485" s="1" t="s">
        <v>74</v>
      </c>
      <c r="T485" s="1" t="s">
        <v>74</v>
      </c>
      <c r="U485" s="1" t="s">
        <v>74</v>
      </c>
      <c r="V485" s="1" t="s">
        <v>5011</v>
      </c>
      <c r="W485" s="1" t="s">
        <v>74</v>
      </c>
      <c r="X485" s="1" t="s">
        <v>74</v>
      </c>
      <c r="Y485" s="1" t="s">
        <v>74</v>
      </c>
      <c r="Z485" s="1" t="s">
        <v>74</v>
      </c>
      <c r="AA485" s="1" t="s">
        <v>5012</v>
      </c>
      <c r="AB485" s="1" t="s">
        <v>5013</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2064</v>
      </c>
      <c r="AP485" s="1" t="s">
        <v>74</v>
      </c>
      <c r="AQ485" s="1" t="s">
        <v>74</v>
      </c>
      <c r="AR485" s="1" t="s">
        <v>74</v>
      </c>
      <c r="AS485" s="1" t="s">
        <v>74</v>
      </c>
      <c r="AT485" s="1" t="s">
        <v>5014</v>
      </c>
      <c r="AU485" s="1">
        <v>2019.0</v>
      </c>
      <c r="AV485" s="1">
        <v>10.0</v>
      </c>
      <c r="AW485" s="1" t="s">
        <v>74</v>
      </c>
      <c r="AX485" s="1" t="s">
        <v>74</v>
      </c>
      <c r="AY485" s="1" t="s">
        <v>74</v>
      </c>
      <c r="AZ485" s="1" t="s">
        <v>74</v>
      </c>
      <c r="BA485" s="1" t="s">
        <v>74</v>
      </c>
      <c r="BB485" s="1" t="s">
        <v>74</v>
      </c>
      <c r="BC485" s="1" t="s">
        <v>74</v>
      </c>
      <c r="BD485" s="1">
        <v>176.0</v>
      </c>
      <c r="BE485" s="1" t="s">
        <v>5015</v>
      </c>
      <c r="BF485" s="2" t="str">
        <f>HYPERLINK("http://dx.doi.org/10.3389/fendo.2019.00176","http://dx.doi.org/10.3389/fendo.2019.00176")</f>
        <v>http://dx.doi.org/10.3389/fendo.2019.00176</v>
      </c>
      <c r="BG485" s="1" t="s">
        <v>74</v>
      </c>
      <c r="BH485" s="1" t="s">
        <v>74</v>
      </c>
      <c r="BI485" s="1" t="s">
        <v>74</v>
      </c>
      <c r="BJ485" s="1" t="s">
        <v>74</v>
      </c>
      <c r="BK485" s="1" t="s">
        <v>74</v>
      </c>
      <c r="BL485" s="1" t="s">
        <v>74</v>
      </c>
      <c r="BM485" s="1" t="s">
        <v>74</v>
      </c>
      <c r="BN485" s="1">
        <v>3.0972025E7</v>
      </c>
      <c r="BO485" s="1" t="s">
        <v>74</v>
      </c>
      <c r="BP485" s="1" t="s">
        <v>74</v>
      </c>
      <c r="BQ485" s="1" t="s">
        <v>74</v>
      </c>
      <c r="BR485" s="1" t="s">
        <v>74</v>
      </c>
      <c r="BS485" s="1" t="s">
        <v>5016</v>
      </c>
      <c r="BT485" s="1" t="str">
        <f>HYPERLINK("https%3A%2F%2Fwww.webofscience.com%2Fwos%2Fwoscc%2Ffull-record%2FWOS:000462498100001","View Full Record in Web of Science")</f>
        <v>View Full Record in Web of Science</v>
      </c>
    </row>
    <row r="486" ht="12.75" customHeight="1">
      <c r="A486" s="1" t="s">
        <v>72</v>
      </c>
      <c r="B486" s="1" t="s">
        <v>5017</v>
      </c>
      <c r="C486" s="1" t="s">
        <v>74</v>
      </c>
      <c r="D486" s="1" t="s">
        <v>74</v>
      </c>
      <c r="E486" s="1" t="s">
        <v>74</v>
      </c>
      <c r="F486" s="1" t="s">
        <v>5018</v>
      </c>
      <c r="G486" s="1" t="s">
        <v>74</v>
      </c>
      <c r="H486" s="1" t="s">
        <v>74</v>
      </c>
      <c r="I486" s="1" t="s">
        <v>5019</v>
      </c>
      <c r="J486" s="1" t="s">
        <v>426</v>
      </c>
      <c r="K486" s="1" t="s">
        <v>74</v>
      </c>
      <c r="L486" s="1" t="s">
        <v>74</v>
      </c>
      <c r="M486" s="1" t="s">
        <v>74</v>
      </c>
      <c r="N486" s="1" t="s">
        <v>74</v>
      </c>
      <c r="O486" s="1" t="s">
        <v>74</v>
      </c>
      <c r="P486" s="1" t="s">
        <v>74</v>
      </c>
      <c r="Q486" s="1" t="s">
        <v>74</v>
      </c>
      <c r="R486" s="1" t="s">
        <v>74</v>
      </c>
      <c r="S486" s="1" t="s">
        <v>74</v>
      </c>
      <c r="T486" s="1" t="s">
        <v>74</v>
      </c>
      <c r="U486" s="1" t="s">
        <v>74</v>
      </c>
      <c r="V486" s="1" t="s">
        <v>5020</v>
      </c>
      <c r="W486" s="1" t="s">
        <v>74</v>
      </c>
      <c r="X486" s="1" t="s">
        <v>74</v>
      </c>
      <c r="Y486" s="1" t="s">
        <v>74</v>
      </c>
      <c r="Z486" s="1" t="s">
        <v>74</v>
      </c>
      <c r="AA486" s="1" t="s">
        <v>5021</v>
      </c>
      <c r="AB486" s="1" t="s">
        <v>5022</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430</v>
      </c>
      <c r="AP486" s="1" t="s">
        <v>431</v>
      </c>
      <c r="AQ486" s="1" t="s">
        <v>74</v>
      </c>
      <c r="AR486" s="1" t="s">
        <v>74</v>
      </c>
      <c r="AS486" s="1" t="s">
        <v>74</v>
      </c>
      <c r="AT486" s="1" t="s">
        <v>1374</v>
      </c>
      <c r="AU486" s="1">
        <v>2019.0</v>
      </c>
      <c r="AV486" s="1">
        <v>43.0</v>
      </c>
      <c r="AW486" s="1">
        <v>5.0</v>
      </c>
      <c r="AX486" s="1" t="s">
        <v>74</v>
      </c>
      <c r="AY486" s="1" t="s">
        <v>74</v>
      </c>
      <c r="AZ486" s="1" t="s">
        <v>74</v>
      </c>
      <c r="BA486" s="1" t="s">
        <v>74</v>
      </c>
      <c r="BB486" s="1">
        <v>2338.0</v>
      </c>
      <c r="BC486" s="1">
        <v>2346.0</v>
      </c>
      <c r="BD486" s="1" t="s">
        <v>74</v>
      </c>
      <c r="BE486" s="1" t="s">
        <v>5023</v>
      </c>
      <c r="BF486" s="2" t="str">
        <f>HYPERLINK("http://dx.doi.org/10.1039/c8nj05455j","http://dx.doi.org/10.1039/c8nj05455j")</f>
        <v>http://dx.doi.org/10.1039/c8nj05455j</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5024</v>
      </c>
      <c r="BT486" s="1" t="str">
        <f>HYPERLINK("https%3A%2F%2Fwww.webofscience.com%2Fwos%2Fwoscc%2Ffull-record%2FWOS:000459581000030","View Full Record in Web of Science")</f>
        <v>View Full Record in Web of Science</v>
      </c>
    </row>
    <row r="487" ht="12.75" customHeight="1">
      <c r="A487" s="1" t="s">
        <v>72</v>
      </c>
      <c r="B487" s="1" t="s">
        <v>5025</v>
      </c>
      <c r="C487" s="1" t="s">
        <v>74</v>
      </c>
      <c r="D487" s="1" t="s">
        <v>74</v>
      </c>
      <c r="E487" s="1" t="s">
        <v>74</v>
      </c>
      <c r="F487" s="1" t="s">
        <v>5026</v>
      </c>
      <c r="G487" s="1" t="s">
        <v>74</v>
      </c>
      <c r="H487" s="1" t="s">
        <v>74</v>
      </c>
      <c r="I487" s="1" t="s">
        <v>5027</v>
      </c>
      <c r="J487" s="1" t="s">
        <v>5028</v>
      </c>
      <c r="K487" s="1" t="s">
        <v>74</v>
      </c>
      <c r="L487" s="1" t="s">
        <v>74</v>
      </c>
      <c r="M487" s="1" t="s">
        <v>74</v>
      </c>
      <c r="N487" s="1" t="s">
        <v>74</v>
      </c>
      <c r="O487" s="1" t="s">
        <v>74</v>
      </c>
      <c r="P487" s="1" t="s">
        <v>74</v>
      </c>
      <c r="Q487" s="1" t="s">
        <v>74</v>
      </c>
      <c r="R487" s="1" t="s">
        <v>74</v>
      </c>
      <c r="S487" s="1" t="s">
        <v>74</v>
      </c>
      <c r="T487" s="1" t="s">
        <v>74</v>
      </c>
      <c r="U487" s="1" t="s">
        <v>74</v>
      </c>
      <c r="V487" s="1" t="s">
        <v>5029</v>
      </c>
      <c r="W487" s="1" t="s">
        <v>74</v>
      </c>
      <c r="X487" s="1" t="s">
        <v>74</v>
      </c>
      <c r="Y487" s="1" t="s">
        <v>74</v>
      </c>
      <c r="Z487" s="1" t="s">
        <v>74</v>
      </c>
      <c r="AA487" s="1" t="s">
        <v>5030</v>
      </c>
      <c r="AB487" s="1" t="s">
        <v>5031</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5032</v>
      </c>
      <c r="AP487" s="1" t="s">
        <v>5033</v>
      </c>
      <c r="AQ487" s="1" t="s">
        <v>74</v>
      </c>
      <c r="AR487" s="1" t="s">
        <v>74</v>
      </c>
      <c r="AS487" s="1" t="s">
        <v>74</v>
      </c>
      <c r="AT487" s="1" t="s">
        <v>600</v>
      </c>
      <c r="AU487" s="1">
        <v>2017.0</v>
      </c>
      <c r="AV487" s="1">
        <v>37.0</v>
      </c>
      <c r="AW487" s="1">
        <v>1.0</v>
      </c>
      <c r="AX487" s="1" t="s">
        <v>74</v>
      </c>
      <c r="AY487" s="1" t="s">
        <v>74</v>
      </c>
      <c r="AZ487" s="1" t="s">
        <v>74</v>
      </c>
      <c r="BA487" s="1" t="s">
        <v>74</v>
      </c>
      <c r="BB487" s="1">
        <v>140.0</v>
      </c>
      <c r="BC487" s="1">
        <v>155.0</v>
      </c>
      <c r="BD487" s="1" t="s">
        <v>74</v>
      </c>
      <c r="BE487" s="1" t="s">
        <v>5034</v>
      </c>
      <c r="BF487" s="2" t="str">
        <f>HYPERLINK("http://dx.doi.org/10.1007/s40846-016-0201-5","http://dx.doi.org/10.1007/s40846-016-0201-5")</f>
        <v>http://dx.doi.org/10.1007/s40846-016-0201-5</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5035</v>
      </c>
      <c r="BT487" s="1" t="str">
        <f>HYPERLINK("https%3A%2F%2Fwww.webofscience.com%2Fwos%2Fwoscc%2Ffull-record%2FWOS:000395053000015","View Full Record in Web of Science")</f>
        <v>View Full Record in Web of Science</v>
      </c>
    </row>
    <row r="488" ht="12.75" customHeight="1">
      <c r="A488" s="1" t="s">
        <v>72</v>
      </c>
      <c r="B488" s="1" t="s">
        <v>5036</v>
      </c>
      <c r="C488" s="1" t="s">
        <v>74</v>
      </c>
      <c r="D488" s="1" t="s">
        <v>74</v>
      </c>
      <c r="E488" s="1" t="s">
        <v>74</v>
      </c>
      <c r="F488" s="1" t="s">
        <v>5037</v>
      </c>
      <c r="G488" s="1" t="s">
        <v>74</v>
      </c>
      <c r="H488" s="1" t="s">
        <v>74</v>
      </c>
      <c r="I488" s="1" t="s">
        <v>5038</v>
      </c>
      <c r="J488" s="1" t="s">
        <v>958</v>
      </c>
      <c r="K488" s="1" t="s">
        <v>74</v>
      </c>
      <c r="L488" s="1" t="s">
        <v>74</v>
      </c>
      <c r="M488" s="1" t="s">
        <v>74</v>
      </c>
      <c r="N488" s="1" t="s">
        <v>74</v>
      </c>
      <c r="O488" s="1" t="s">
        <v>74</v>
      </c>
      <c r="P488" s="1" t="s">
        <v>74</v>
      </c>
      <c r="Q488" s="1" t="s">
        <v>74</v>
      </c>
      <c r="R488" s="1" t="s">
        <v>74</v>
      </c>
      <c r="S488" s="1" t="s">
        <v>74</v>
      </c>
      <c r="T488" s="1" t="s">
        <v>74</v>
      </c>
      <c r="U488" s="1" t="s">
        <v>74</v>
      </c>
      <c r="V488" s="1" t="s">
        <v>5039</v>
      </c>
      <c r="W488" s="1" t="s">
        <v>74</v>
      </c>
      <c r="X488" s="1" t="s">
        <v>74</v>
      </c>
      <c r="Y488" s="1" t="s">
        <v>74</v>
      </c>
      <c r="Z488" s="1" t="s">
        <v>74</v>
      </c>
      <c r="AA488" s="1" t="s">
        <v>5040</v>
      </c>
      <c r="AB488" s="1" t="s">
        <v>5041</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962</v>
      </c>
      <c r="AP488" s="1" t="s">
        <v>5042</v>
      </c>
      <c r="AQ488" s="1" t="s">
        <v>74</v>
      </c>
      <c r="AR488" s="1" t="s">
        <v>74</v>
      </c>
      <c r="AS488" s="1" t="s">
        <v>74</v>
      </c>
      <c r="AT488" s="1" t="s">
        <v>1426</v>
      </c>
      <c r="AU488" s="1">
        <v>2013.0</v>
      </c>
      <c r="AV488" s="1">
        <v>48.0</v>
      </c>
      <c r="AW488" s="1">
        <v>4.0</v>
      </c>
      <c r="AX488" s="1" t="s">
        <v>74</v>
      </c>
      <c r="AY488" s="1" t="s">
        <v>74</v>
      </c>
      <c r="AZ488" s="1" t="s">
        <v>74</v>
      </c>
      <c r="BA488" s="1" t="s">
        <v>74</v>
      </c>
      <c r="BB488" s="1">
        <v>400.0</v>
      </c>
      <c r="BC488" s="1">
        <v>407.0</v>
      </c>
      <c r="BD488" s="1" t="s">
        <v>74</v>
      </c>
      <c r="BE488" s="1" t="s">
        <v>5043</v>
      </c>
      <c r="BF488" s="2" t="str">
        <f>HYPERLINK("http://dx.doi.org/10.1080/10934529.2013.728071","http://dx.doi.org/10.1080/10934529.2013.728071")</f>
        <v>http://dx.doi.org/10.1080/10934529.2013.728071</v>
      </c>
      <c r="BG488" s="1" t="s">
        <v>74</v>
      </c>
      <c r="BH488" s="1" t="s">
        <v>74</v>
      </c>
      <c r="BI488" s="1" t="s">
        <v>74</v>
      </c>
      <c r="BJ488" s="1" t="s">
        <v>74</v>
      </c>
      <c r="BK488" s="1" t="s">
        <v>74</v>
      </c>
      <c r="BL488" s="1" t="s">
        <v>74</v>
      </c>
      <c r="BM488" s="1" t="s">
        <v>74</v>
      </c>
      <c r="BN488" s="1">
        <v>2.3379944E7</v>
      </c>
      <c r="BO488" s="1" t="s">
        <v>74</v>
      </c>
      <c r="BP488" s="1" t="s">
        <v>74</v>
      </c>
      <c r="BQ488" s="1" t="s">
        <v>74</v>
      </c>
      <c r="BR488" s="1" t="s">
        <v>74</v>
      </c>
      <c r="BS488" s="1" t="s">
        <v>5044</v>
      </c>
      <c r="BT488" s="1" t="str">
        <f>HYPERLINK("https%3A%2F%2Fwww.webofscience.com%2Fwos%2Fwoscc%2Ffull-record%2FWOS:000314451700006","View Full Record in Web of Science")</f>
        <v>View Full Record in Web of Science</v>
      </c>
    </row>
    <row r="489" ht="12.75" customHeight="1">
      <c r="A489" s="1" t="s">
        <v>72</v>
      </c>
      <c r="B489" s="1" t="s">
        <v>5045</v>
      </c>
      <c r="C489" s="1" t="s">
        <v>74</v>
      </c>
      <c r="D489" s="1" t="s">
        <v>74</v>
      </c>
      <c r="E489" s="1" t="s">
        <v>74</v>
      </c>
      <c r="F489" s="1" t="s">
        <v>5046</v>
      </c>
      <c r="G489" s="1" t="s">
        <v>74</v>
      </c>
      <c r="H489" s="1" t="s">
        <v>74</v>
      </c>
      <c r="I489" s="1" t="s">
        <v>5047</v>
      </c>
      <c r="J489" s="1" t="s">
        <v>572</v>
      </c>
      <c r="K489" s="1" t="s">
        <v>74</v>
      </c>
      <c r="L489" s="1" t="s">
        <v>74</v>
      </c>
      <c r="M489" s="1" t="s">
        <v>74</v>
      </c>
      <c r="N489" s="1" t="s">
        <v>74</v>
      </c>
      <c r="O489" s="1" t="s">
        <v>74</v>
      </c>
      <c r="P489" s="1" t="s">
        <v>74</v>
      </c>
      <c r="Q489" s="1" t="s">
        <v>74</v>
      </c>
      <c r="R489" s="1" t="s">
        <v>74</v>
      </c>
      <c r="S489" s="1" t="s">
        <v>74</v>
      </c>
      <c r="T489" s="1" t="s">
        <v>74</v>
      </c>
      <c r="U489" s="1" t="s">
        <v>74</v>
      </c>
      <c r="V489" s="1" t="s">
        <v>5048</v>
      </c>
      <c r="W489" s="1" t="s">
        <v>74</v>
      </c>
      <c r="X489" s="1" t="s">
        <v>74</v>
      </c>
      <c r="Y489" s="1" t="s">
        <v>74</v>
      </c>
      <c r="Z489" s="1" t="s">
        <v>74</v>
      </c>
      <c r="AA489" s="1" t="s">
        <v>2256</v>
      </c>
      <c r="AB489" s="1" t="s">
        <v>5049</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576</v>
      </c>
      <c r="AP489" s="1" t="s">
        <v>577</v>
      </c>
      <c r="AQ489" s="1" t="s">
        <v>74</v>
      </c>
      <c r="AR489" s="1" t="s">
        <v>74</v>
      </c>
      <c r="AS489" s="1" t="s">
        <v>74</v>
      </c>
      <c r="AT489" s="1" t="s">
        <v>151</v>
      </c>
      <c r="AU489" s="1">
        <v>2011.0</v>
      </c>
      <c r="AV489" s="1">
        <v>119.0</v>
      </c>
      <c r="AW489" s="1">
        <v>2.0</v>
      </c>
      <c r="AX489" s="1" t="s">
        <v>74</v>
      </c>
      <c r="AY489" s="1" t="s">
        <v>74</v>
      </c>
      <c r="AZ489" s="1" t="s">
        <v>74</v>
      </c>
      <c r="BA489" s="1" t="s">
        <v>74</v>
      </c>
      <c r="BB489" s="1">
        <v>314.0</v>
      </c>
      <c r="BC489" s="1">
        <v>323.0</v>
      </c>
      <c r="BD489" s="1" t="s">
        <v>74</v>
      </c>
      <c r="BE489" s="1" t="s">
        <v>5050</v>
      </c>
      <c r="BF489" s="2" t="str">
        <f>HYPERLINK("http://dx.doi.org/10.1111/j.1471-4159.2011.07429.x","http://dx.doi.org/10.1111/j.1471-4159.2011.07429.x")</f>
        <v>http://dx.doi.org/10.1111/j.1471-4159.2011.07429.x</v>
      </c>
      <c r="BG489" s="1" t="s">
        <v>74</v>
      </c>
      <c r="BH489" s="1" t="s">
        <v>74</v>
      </c>
      <c r="BI489" s="1" t="s">
        <v>74</v>
      </c>
      <c r="BJ489" s="1" t="s">
        <v>74</v>
      </c>
      <c r="BK489" s="1" t="s">
        <v>74</v>
      </c>
      <c r="BL489" s="1" t="s">
        <v>74</v>
      </c>
      <c r="BM489" s="1" t="s">
        <v>74</v>
      </c>
      <c r="BN489" s="1">
        <v>2.1848869E7</v>
      </c>
      <c r="BO489" s="1" t="s">
        <v>74</v>
      </c>
      <c r="BP489" s="1" t="s">
        <v>74</v>
      </c>
      <c r="BQ489" s="1" t="s">
        <v>74</v>
      </c>
      <c r="BR489" s="1" t="s">
        <v>74</v>
      </c>
      <c r="BS489" s="1" t="s">
        <v>5051</v>
      </c>
      <c r="BT489" s="1" t="str">
        <f>HYPERLINK("https%3A%2F%2Fwww.webofscience.com%2Fwos%2Fwoscc%2Ffull-record%2FWOS:000295973900007","View Full Record in Web of Science")</f>
        <v>View Full Record in Web of Science</v>
      </c>
    </row>
    <row r="490" ht="12.75" customHeight="1">
      <c r="A490" s="1" t="s">
        <v>72</v>
      </c>
      <c r="B490" s="1" t="s">
        <v>5052</v>
      </c>
      <c r="C490" s="1" t="s">
        <v>74</v>
      </c>
      <c r="D490" s="1" t="s">
        <v>74</v>
      </c>
      <c r="E490" s="1" t="s">
        <v>74</v>
      </c>
      <c r="F490" s="1" t="s">
        <v>5053</v>
      </c>
      <c r="G490" s="1" t="s">
        <v>74</v>
      </c>
      <c r="H490" s="1" t="s">
        <v>74</v>
      </c>
      <c r="I490" s="1" t="s">
        <v>5054</v>
      </c>
      <c r="J490" s="1" t="s">
        <v>5055</v>
      </c>
      <c r="K490" s="1" t="s">
        <v>74</v>
      </c>
      <c r="L490" s="1" t="s">
        <v>74</v>
      </c>
      <c r="M490" s="1" t="s">
        <v>74</v>
      </c>
      <c r="N490" s="1" t="s">
        <v>74</v>
      </c>
      <c r="O490" s="1" t="s">
        <v>74</v>
      </c>
      <c r="P490" s="1" t="s">
        <v>74</v>
      </c>
      <c r="Q490" s="1" t="s">
        <v>74</v>
      </c>
      <c r="R490" s="1" t="s">
        <v>74</v>
      </c>
      <c r="S490" s="1" t="s">
        <v>74</v>
      </c>
      <c r="T490" s="1" t="s">
        <v>74</v>
      </c>
      <c r="U490" s="1" t="s">
        <v>74</v>
      </c>
      <c r="V490" s="1" t="s">
        <v>5056</v>
      </c>
      <c r="W490" s="1" t="s">
        <v>74</v>
      </c>
      <c r="X490" s="1" t="s">
        <v>74</v>
      </c>
      <c r="Y490" s="1" t="s">
        <v>74</v>
      </c>
      <c r="Z490" s="1" t="s">
        <v>74</v>
      </c>
      <c r="AA490" s="1" t="s">
        <v>5057</v>
      </c>
      <c r="AB490" s="1" t="s">
        <v>5058</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5059</v>
      </c>
      <c r="AP490" s="1" t="s">
        <v>5060</v>
      </c>
      <c r="AQ490" s="1" t="s">
        <v>74</v>
      </c>
      <c r="AR490" s="1" t="s">
        <v>74</v>
      </c>
      <c r="AS490" s="1" t="s">
        <v>74</v>
      </c>
      <c r="AT490" s="1" t="s">
        <v>822</v>
      </c>
      <c r="AU490" s="1">
        <v>2011.0</v>
      </c>
      <c r="AV490" s="1">
        <v>50.0</v>
      </c>
      <c r="AW490" s="1">
        <v>3.0</v>
      </c>
      <c r="AX490" s="1" t="s">
        <v>74</v>
      </c>
      <c r="AY490" s="1" t="s">
        <v>74</v>
      </c>
      <c r="AZ490" s="1" t="s">
        <v>74</v>
      </c>
      <c r="BA490" s="1" t="s">
        <v>74</v>
      </c>
      <c r="BB490" s="1">
        <v>1202.0</v>
      </c>
      <c r="BC490" s="1">
        <v>1211.0</v>
      </c>
      <c r="BD490" s="1" t="s">
        <v>74</v>
      </c>
      <c r="BE490" s="1" t="s">
        <v>5061</v>
      </c>
      <c r="BF490" s="2" t="str">
        <f>HYPERLINK("http://dx.doi.org/10.1016/j.commatsci.2010.11.023","http://dx.doi.org/10.1016/j.commatsci.2010.11.023")</f>
        <v>http://dx.doi.org/10.1016/j.commatsci.2010.11.023</v>
      </c>
      <c r="BG490" s="1" t="s">
        <v>74</v>
      </c>
      <c r="BH490" s="1" t="s">
        <v>74</v>
      </c>
      <c r="BI490" s="1" t="s">
        <v>74</v>
      </c>
      <c r="BJ490" s="1" t="s">
        <v>74</v>
      </c>
      <c r="BK490" s="1" t="s">
        <v>74</v>
      </c>
      <c r="BL490" s="1" t="s">
        <v>74</v>
      </c>
      <c r="BM490" s="1" t="s">
        <v>74</v>
      </c>
      <c r="BN490" s="1" t="s">
        <v>74</v>
      </c>
      <c r="BO490" s="1" t="s">
        <v>74</v>
      </c>
      <c r="BP490" s="1" t="s">
        <v>74</v>
      </c>
      <c r="BQ490" s="1" t="s">
        <v>74</v>
      </c>
      <c r="BR490" s="1" t="s">
        <v>74</v>
      </c>
      <c r="BS490" s="1" t="s">
        <v>5062</v>
      </c>
      <c r="BT490" s="1" t="str">
        <f>HYPERLINK("https%3A%2F%2Fwww.webofscience.com%2Fwos%2Fwoscc%2Ffull-record%2FWOS:000287167500052","View Full Record in Web of Science")</f>
        <v>View Full Record in Web of Science</v>
      </c>
    </row>
    <row r="491" ht="12.75" customHeight="1">
      <c r="A491" s="1" t="s">
        <v>72</v>
      </c>
      <c r="B491" s="1" t="s">
        <v>5063</v>
      </c>
      <c r="C491" s="1" t="s">
        <v>74</v>
      </c>
      <c r="D491" s="1" t="s">
        <v>74</v>
      </c>
      <c r="E491" s="1" t="s">
        <v>74</v>
      </c>
      <c r="F491" s="1" t="s">
        <v>5064</v>
      </c>
      <c r="G491" s="1" t="s">
        <v>74</v>
      </c>
      <c r="H491" s="1" t="s">
        <v>74</v>
      </c>
      <c r="I491" s="1" t="s">
        <v>5065</v>
      </c>
      <c r="J491" s="1" t="s">
        <v>4560</v>
      </c>
      <c r="K491" s="1" t="s">
        <v>74</v>
      </c>
      <c r="L491" s="1" t="s">
        <v>74</v>
      </c>
      <c r="M491" s="1" t="s">
        <v>74</v>
      </c>
      <c r="N491" s="1" t="s">
        <v>74</v>
      </c>
      <c r="O491" s="1" t="s">
        <v>74</v>
      </c>
      <c r="P491" s="1" t="s">
        <v>74</v>
      </c>
      <c r="Q491" s="1" t="s">
        <v>74</v>
      </c>
      <c r="R491" s="1" t="s">
        <v>74</v>
      </c>
      <c r="S491" s="1" t="s">
        <v>74</v>
      </c>
      <c r="T491" s="1" t="s">
        <v>74</v>
      </c>
      <c r="U491" s="1" t="s">
        <v>74</v>
      </c>
      <c r="V491" s="1" t="s">
        <v>5066</v>
      </c>
      <c r="W491" s="1" t="s">
        <v>74</v>
      </c>
      <c r="X491" s="1" t="s">
        <v>74</v>
      </c>
      <c r="Y491" s="1" t="s">
        <v>74</v>
      </c>
      <c r="Z491" s="1" t="s">
        <v>74</v>
      </c>
      <c r="AA491" s="1" t="s">
        <v>5067</v>
      </c>
      <c r="AB491" s="1" t="s">
        <v>5068</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4564</v>
      </c>
      <c r="AP491" s="1" t="s">
        <v>4565</v>
      </c>
      <c r="AQ491" s="1" t="s">
        <v>74</v>
      </c>
      <c r="AR491" s="1" t="s">
        <v>74</v>
      </c>
      <c r="AS491" s="1" t="s">
        <v>74</v>
      </c>
      <c r="AT491" s="1" t="s">
        <v>74</v>
      </c>
      <c r="AU491" s="1">
        <v>2009.0</v>
      </c>
      <c r="AV491" s="1">
        <v>27.0</v>
      </c>
      <c r="AW491" s="1">
        <v>4.0</v>
      </c>
      <c r="AX491" s="1" t="s">
        <v>74</v>
      </c>
      <c r="AY491" s="1" t="s">
        <v>74</v>
      </c>
      <c r="AZ491" s="1" t="s">
        <v>74</v>
      </c>
      <c r="BA491" s="1" t="s">
        <v>74</v>
      </c>
      <c r="BB491" s="1">
        <v>1407.0</v>
      </c>
      <c r="BC491" s="1">
        <v>1411.0</v>
      </c>
      <c r="BD491" s="1" t="s">
        <v>74</v>
      </c>
      <c r="BE491" s="1" t="s">
        <v>5069</v>
      </c>
      <c r="BF491" s="2" t="str">
        <f>HYPERLINK("http://dx.doi.org/10.5194/angeo-27-1407-2009","http://dx.doi.org/10.5194/angeo-27-1407-2009")</f>
        <v>http://dx.doi.org/10.5194/angeo-27-1407-2009</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5070</v>
      </c>
      <c r="BT491" s="1" t="str">
        <f>HYPERLINK("https%3A%2F%2Fwww.webofscience.com%2Fwos%2Fwoscc%2Ffull-record%2FWOS:000265603100006","View Full Record in Web of Science")</f>
        <v>View Full Record in Web of Science</v>
      </c>
    </row>
    <row r="492" ht="12.75" customHeight="1">
      <c r="A492" s="1" t="s">
        <v>154</v>
      </c>
      <c r="B492" s="1" t="s">
        <v>5071</v>
      </c>
      <c r="C492" s="1" t="s">
        <v>74</v>
      </c>
      <c r="D492" s="1" t="s">
        <v>5072</v>
      </c>
      <c r="E492" s="1" t="s">
        <v>74</v>
      </c>
      <c r="F492" s="1" t="s">
        <v>5073</v>
      </c>
      <c r="G492" s="1" t="s">
        <v>74</v>
      </c>
      <c r="H492" s="1" t="s">
        <v>74</v>
      </c>
      <c r="I492" s="1" t="s">
        <v>5074</v>
      </c>
      <c r="J492" s="1" t="s">
        <v>5075</v>
      </c>
      <c r="K492" s="1" t="s">
        <v>5076</v>
      </c>
      <c r="L492" s="1" t="s">
        <v>74</v>
      </c>
      <c r="M492" s="1" t="s">
        <v>74</v>
      </c>
      <c r="N492" s="1" t="s">
        <v>74</v>
      </c>
      <c r="O492" s="1" t="s">
        <v>5077</v>
      </c>
      <c r="P492" s="1" t="s">
        <v>5078</v>
      </c>
      <c r="Q492" s="1" t="s">
        <v>5079</v>
      </c>
      <c r="R492" s="1" t="s">
        <v>5080</v>
      </c>
      <c r="S492" s="1" t="s">
        <v>5081</v>
      </c>
      <c r="T492" s="1" t="s">
        <v>74</v>
      </c>
      <c r="U492" s="1" t="s">
        <v>74</v>
      </c>
      <c r="V492" s="1" t="s">
        <v>5082</v>
      </c>
      <c r="W492" s="1" t="s">
        <v>74</v>
      </c>
      <c r="X492" s="1" t="s">
        <v>74</v>
      </c>
      <c r="Y492" s="1" t="s">
        <v>74</v>
      </c>
      <c r="Z492" s="1" t="s">
        <v>74</v>
      </c>
      <c r="AA492" s="1" t="s">
        <v>5083</v>
      </c>
      <c r="AB492" s="1" t="s">
        <v>5084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5085</v>
      </c>
      <c r="AP492" s="1" t="s">
        <v>74</v>
      </c>
      <c r="AQ492" s="1" t="s">
        <v>74</v>
      </c>
      <c r="AR492" s="1" t="s">
        <v>74</v>
      </c>
      <c r="AS492" s="1" t="s">
        <v>74</v>
      </c>
      <c r="AT492" s="1" t="s">
        <v>74</v>
      </c>
      <c r="AU492" s="1">
        <v>2008.0</v>
      </c>
      <c r="AV492" s="1" t="s">
        <v>5086</v>
      </c>
      <c r="AW492" s="1" t="s">
        <v>74</v>
      </c>
      <c r="AX492" s="1" t="s">
        <v>74</v>
      </c>
      <c r="AY492" s="1" t="s">
        <v>74</v>
      </c>
      <c r="AZ492" s="1" t="s">
        <v>74</v>
      </c>
      <c r="BA492" s="1" t="s">
        <v>74</v>
      </c>
      <c r="BB492" s="1">
        <v>29.0</v>
      </c>
      <c r="BC492" s="1" t="s">
        <v>662</v>
      </c>
      <c r="BD492" s="1" t="s">
        <v>74</v>
      </c>
      <c r="BE492" s="1" t="s">
        <v>5087</v>
      </c>
      <c r="BF492" s="2" t="str">
        <f>HYPERLINK("http://dx.doi.org/10.4028/www.scientific.net/AMM.13-14.29","http://dx.doi.org/10.4028/www.scientific.net/AMM.13-14.29")</f>
        <v>http://dx.doi.org/10.4028/www.scientific.net/AMM.13-14.29</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5088</v>
      </c>
      <c r="BT492" s="1" t="str">
        <f>HYPERLINK("https%3A%2F%2Fwww.webofscience.com%2Fwos%2Fwoscc%2Ffull-record%2FWOS:000262062700004","View Full Record in Web of Science")</f>
        <v>View Full Record in Web of Science</v>
      </c>
    </row>
    <row r="493" ht="12.75" customHeight="1">
      <c r="A493" s="1" t="s">
        <v>72</v>
      </c>
      <c r="B493" s="1" t="s">
        <v>5089</v>
      </c>
      <c r="C493" s="1" t="s">
        <v>74</v>
      </c>
      <c r="D493" s="1" t="s">
        <v>74</v>
      </c>
      <c r="E493" s="1" t="s">
        <v>74</v>
      </c>
      <c r="F493" s="1" t="s">
        <v>5090</v>
      </c>
      <c r="G493" s="1" t="s">
        <v>74</v>
      </c>
      <c r="H493" s="1" t="s">
        <v>74</v>
      </c>
      <c r="I493" s="1" t="s">
        <v>5091</v>
      </c>
      <c r="J493" s="1" t="s">
        <v>5092</v>
      </c>
      <c r="K493" s="1" t="s">
        <v>74</v>
      </c>
      <c r="L493" s="1" t="s">
        <v>74</v>
      </c>
      <c r="M493" s="1" t="s">
        <v>74</v>
      </c>
      <c r="N493" s="1" t="s">
        <v>74</v>
      </c>
      <c r="O493" s="1" t="s">
        <v>74</v>
      </c>
      <c r="P493" s="1" t="s">
        <v>74</v>
      </c>
      <c r="Q493" s="1" t="s">
        <v>74</v>
      </c>
      <c r="R493" s="1" t="s">
        <v>74</v>
      </c>
      <c r="S493" s="1" t="s">
        <v>74</v>
      </c>
      <c r="T493" s="1" t="s">
        <v>74</v>
      </c>
      <c r="U493" s="1" t="s">
        <v>74</v>
      </c>
      <c r="V493" s="1" t="s">
        <v>5093</v>
      </c>
      <c r="W493" s="1" t="s">
        <v>74</v>
      </c>
      <c r="X493" s="1" t="s">
        <v>74</v>
      </c>
      <c r="Y493" s="1" t="s">
        <v>74</v>
      </c>
      <c r="Z493" s="1" t="s">
        <v>74</v>
      </c>
      <c r="AA493" s="1" t="s">
        <v>5094</v>
      </c>
      <c r="AB493" s="1" t="s">
        <v>5095</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5096</v>
      </c>
      <c r="AP493" s="1" t="s">
        <v>5097</v>
      </c>
      <c r="AQ493" s="1" t="s">
        <v>74</v>
      </c>
      <c r="AR493" s="1" t="s">
        <v>74</v>
      </c>
      <c r="AS493" s="1" t="s">
        <v>74</v>
      </c>
      <c r="AT493" s="1" t="s">
        <v>83</v>
      </c>
      <c r="AU493" s="1">
        <v>2006.0</v>
      </c>
      <c r="AV493" s="1">
        <v>19.0</v>
      </c>
      <c r="AW493" s="1">
        <v>12.0</v>
      </c>
      <c r="AX493" s="1" t="s">
        <v>74</v>
      </c>
      <c r="AY493" s="1" t="s">
        <v>74</v>
      </c>
      <c r="AZ493" s="1" t="s">
        <v>74</v>
      </c>
      <c r="BA493" s="1" t="s">
        <v>74</v>
      </c>
      <c r="BB493" s="1">
        <v>896.0</v>
      </c>
      <c r="BC493" s="1">
        <v>901.0</v>
      </c>
      <c r="BD493" s="1" t="s">
        <v>74</v>
      </c>
      <c r="BE493" s="1" t="s">
        <v>5098</v>
      </c>
      <c r="BF493" s="2" t="str">
        <f>HYPERLINK("http://dx.doi.org/10.1002/poc.1074","http://dx.doi.org/10.1002/poc.1074")</f>
        <v>http://dx.doi.org/10.1002/poc.1074</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5099</v>
      </c>
      <c r="BT493" s="1" t="str">
        <f>HYPERLINK("https%3A%2F%2Fwww.webofscience.com%2Fwos%2Fwoscc%2Ffull-record%2FWOS:000244915200012","View Full Record in Web of Science")</f>
        <v>View Full Record in Web of Science</v>
      </c>
    </row>
    <row r="494" ht="12.75" customHeight="1">
      <c r="A494" s="1" t="s">
        <v>72</v>
      </c>
      <c r="B494" s="1" t="s">
        <v>5100</v>
      </c>
      <c r="C494" s="1" t="s">
        <v>74</v>
      </c>
      <c r="D494" s="1" t="s">
        <v>74</v>
      </c>
      <c r="E494" s="1" t="s">
        <v>74</v>
      </c>
      <c r="F494" s="1" t="s">
        <v>5101</v>
      </c>
      <c r="G494" s="1" t="s">
        <v>74</v>
      </c>
      <c r="H494" s="1" t="s">
        <v>74</v>
      </c>
      <c r="I494" s="1" t="s">
        <v>5102</v>
      </c>
      <c r="J494" s="1" t="s">
        <v>1955</v>
      </c>
      <c r="K494" s="1" t="s">
        <v>74</v>
      </c>
      <c r="L494" s="1" t="s">
        <v>74</v>
      </c>
      <c r="M494" s="1" t="s">
        <v>74</v>
      </c>
      <c r="N494" s="1" t="s">
        <v>74</v>
      </c>
      <c r="O494" s="1" t="s">
        <v>74</v>
      </c>
      <c r="P494" s="1" t="s">
        <v>74</v>
      </c>
      <c r="Q494" s="1" t="s">
        <v>74</v>
      </c>
      <c r="R494" s="1" t="s">
        <v>74</v>
      </c>
      <c r="S494" s="1" t="s">
        <v>74</v>
      </c>
      <c r="T494" s="1" t="s">
        <v>74</v>
      </c>
      <c r="U494" s="1" t="s">
        <v>74</v>
      </c>
      <c r="V494" s="1" t="s">
        <v>5103</v>
      </c>
      <c r="W494" s="1" t="s">
        <v>74</v>
      </c>
      <c r="X494" s="1" t="s">
        <v>74</v>
      </c>
      <c r="Y494" s="1" t="s">
        <v>74</v>
      </c>
      <c r="Z494" s="1" t="s">
        <v>74</v>
      </c>
      <c r="AA494" s="1" t="s">
        <v>5104</v>
      </c>
      <c r="AB494" s="1" t="s">
        <v>5105</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1959</v>
      </c>
      <c r="AP494" s="1" t="s">
        <v>74</v>
      </c>
      <c r="AQ494" s="1" t="s">
        <v>74</v>
      </c>
      <c r="AR494" s="1" t="s">
        <v>74</v>
      </c>
      <c r="AS494" s="1" t="s">
        <v>74</v>
      </c>
      <c r="AT494" s="1" t="s">
        <v>74</v>
      </c>
      <c r="AU494" s="1">
        <v>2024.0</v>
      </c>
      <c r="AV494" s="1">
        <v>12.0</v>
      </c>
      <c r="AW494" s="1" t="s">
        <v>74</v>
      </c>
      <c r="AX494" s="1" t="s">
        <v>74</v>
      </c>
      <c r="AY494" s="1" t="s">
        <v>74</v>
      </c>
      <c r="AZ494" s="1" t="s">
        <v>74</v>
      </c>
      <c r="BA494" s="1" t="s">
        <v>74</v>
      </c>
      <c r="BB494" s="1">
        <v>111899.0</v>
      </c>
      <c r="BC494" s="1">
        <v>111914.0</v>
      </c>
      <c r="BD494" s="1" t="s">
        <v>74</v>
      </c>
      <c r="BE494" s="1" t="s">
        <v>5106</v>
      </c>
      <c r="BF494" s="2" t="str">
        <f>HYPERLINK("http://dx.doi.org/10.1109/ACCESS.2024.3442230","http://dx.doi.org/10.1109/ACCESS.2024.3442230")</f>
        <v>http://dx.doi.org/10.1109/ACCESS.2024.3442230</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5107</v>
      </c>
      <c r="BT494" s="1" t="str">
        <f>HYPERLINK("https%3A%2F%2Fwww.webofscience.com%2Fwos%2Fwoscc%2Ffull-record%2FWOS:001297358000001","View Full Record in Web of Science")</f>
        <v>View Full Record in Web of Science</v>
      </c>
    </row>
    <row r="495" ht="12.75" customHeight="1">
      <c r="A495" s="1" t="s">
        <v>72</v>
      </c>
      <c r="B495" s="1" t="s">
        <v>5108</v>
      </c>
      <c r="C495" s="1" t="s">
        <v>74</v>
      </c>
      <c r="D495" s="1" t="s">
        <v>74</v>
      </c>
      <c r="E495" s="1" t="s">
        <v>74</v>
      </c>
      <c r="F495" s="1" t="s">
        <v>5109</v>
      </c>
      <c r="G495" s="1" t="s">
        <v>74</v>
      </c>
      <c r="H495" s="1" t="s">
        <v>74</v>
      </c>
      <c r="I495" s="1" t="s">
        <v>5110</v>
      </c>
      <c r="J495" s="1" t="s">
        <v>5111</v>
      </c>
      <c r="K495" s="1" t="s">
        <v>74</v>
      </c>
      <c r="L495" s="1" t="s">
        <v>74</v>
      </c>
      <c r="M495" s="1" t="s">
        <v>74</v>
      </c>
      <c r="N495" s="1" t="s">
        <v>74</v>
      </c>
      <c r="O495" s="1" t="s">
        <v>74</v>
      </c>
      <c r="P495" s="1" t="s">
        <v>74</v>
      </c>
      <c r="Q495" s="1" t="s">
        <v>74</v>
      </c>
      <c r="R495" s="1" t="s">
        <v>74</v>
      </c>
      <c r="S495" s="1" t="s">
        <v>74</v>
      </c>
      <c r="T495" s="1" t="s">
        <v>74</v>
      </c>
      <c r="U495" s="1" t="s">
        <v>74</v>
      </c>
      <c r="V495" s="1" t="s">
        <v>5112</v>
      </c>
      <c r="W495" s="1" t="s">
        <v>74</v>
      </c>
      <c r="X495" s="1" t="s">
        <v>74</v>
      </c>
      <c r="Y495" s="1" t="s">
        <v>74</v>
      </c>
      <c r="Z495" s="1" t="s">
        <v>74</v>
      </c>
      <c r="AA495" s="1" t="s">
        <v>5113</v>
      </c>
      <c r="AB495" s="1" t="s">
        <v>5114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5115</v>
      </c>
      <c r="AP495" s="1" t="s">
        <v>5116</v>
      </c>
      <c r="AQ495" s="1" t="s">
        <v>74</v>
      </c>
      <c r="AR495" s="1" t="s">
        <v>74</v>
      </c>
      <c r="AS495" s="1" t="s">
        <v>74</v>
      </c>
      <c r="AT495" s="1" t="s">
        <v>5117</v>
      </c>
      <c r="AU495" s="1">
        <v>2023.0</v>
      </c>
      <c r="AV495" s="1">
        <v>238.0</v>
      </c>
      <c r="AW495" s="1" t="s">
        <v>74</v>
      </c>
      <c r="AX495" s="1" t="s">
        <v>74</v>
      </c>
      <c r="AY495" s="1" t="s">
        <v>74</v>
      </c>
      <c r="AZ495" s="1" t="s">
        <v>74</v>
      </c>
      <c r="BA495" s="1" t="s">
        <v>74</v>
      </c>
      <c r="BB495" s="1" t="s">
        <v>74</v>
      </c>
      <c r="BC495" s="1" t="s">
        <v>74</v>
      </c>
      <c r="BD495" s="1">
        <v>124045.0</v>
      </c>
      <c r="BE495" s="1" t="s">
        <v>5118</v>
      </c>
      <c r="BF495" s="2" t="str">
        <f>HYPERLINK("http://dx.doi.org/10.1016/j.ijbiomac.2023.124045","http://dx.doi.org/10.1016/j.ijbiomac.2023.124045")</f>
        <v>http://dx.doi.org/10.1016/j.ijbiomac.2023.124045</v>
      </c>
      <c r="BG495" s="1" t="s">
        <v>74</v>
      </c>
      <c r="BH495" s="1" t="s">
        <v>4406</v>
      </c>
      <c r="BI495" s="1" t="s">
        <v>74</v>
      </c>
      <c r="BJ495" s="1" t="s">
        <v>74</v>
      </c>
      <c r="BK495" s="1" t="s">
        <v>74</v>
      </c>
      <c r="BL495" s="1" t="s">
        <v>74</v>
      </c>
      <c r="BM495" s="1" t="s">
        <v>74</v>
      </c>
      <c r="BN495" s="1">
        <v>3.6934817E7</v>
      </c>
      <c r="BO495" s="1" t="s">
        <v>74</v>
      </c>
      <c r="BP495" s="1" t="s">
        <v>74</v>
      </c>
      <c r="BQ495" s="1" t="s">
        <v>74</v>
      </c>
      <c r="BR495" s="1" t="s">
        <v>74</v>
      </c>
      <c r="BS495" s="1" t="s">
        <v>5119</v>
      </c>
      <c r="BT495" s="1" t="str">
        <f>HYPERLINK("https%3A%2F%2Fwww.webofscience.com%2Fwos%2Fwoscc%2Ffull-record%2FWOS:000959369400001","View Full Record in Web of Science")</f>
        <v>View Full Record in Web of Science</v>
      </c>
    </row>
    <row r="496" ht="12.75" customHeight="1">
      <c r="A496" s="1" t="s">
        <v>72</v>
      </c>
      <c r="B496" s="1" t="s">
        <v>5120</v>
      </c>
      <c r="C496" s="1" t="s">
        <v>74</v>
      </c>
      <c r="D496" s="1" t="s">
        <v>74</v>
      </c>
      <c r="E496" s="1" t="s">
        <v>74</v>
      </c>
      <c r="F496" s="1" t="s">
        <v>5121</v>
      </c>
      <c r="G496" s="1" t="s">
        <v>74</v>
      </c>
      <c r="H496" s="1" t="s">
        <v>74</v>
      </c>
      <c r="I496" s="1" t="s">
        <v>5122</v>
      </c>
      <c r="J496" s="1" t="s">
        <v>5123</v>
      </c>
      <c r="K496" s="1" t="s">
        <v>74</v>
      </c>
      <c r="L496" s="1" t="s">
        <v>74</v>
      </c>
      <c r="M496" s="1" t="s">
        <v>74</v>
      </c>
      <c r="N496" s="1" t="s">
        <v>74</v>
      </c>
      <c r="O496" s="1" t="s">
        <v>74</v>
      </c>
      <c r="P496" s="1" t="s">
        <v>74</v>
      </c>
      <c r="Q496" s="1" t="s">
        <v>74</v>
      </c>
      <c r="R496" s="1" t="s">
        <v>74</v>
      </c>
      <c r="S496" s="1" t="s">
        <v>74</v>
      </c>
      <c r="T496" s="1" t="s">
        <v>74</v>
      </c>
      <c r="U496" s="1" t="s">
        <v>74</v>
      </c>
      <c r="V496" s="1" t="s">
        <v>5124</v>
      </c>
      <c r="W496" s="1" t="s">
        <v>74</v>
      </c>
      <c r="X496" s="1" t="s">
        <v>74</v>
      </c>
      <c r="Y496" s="1" t="s">
        <v>74</v>
      </c>
      <c r="Z496" s="1" t="s">
        <v>74</v>
      </c>
      <c r="AA496" s="1" t="s">
        <v>5125</v>
      </c>
      <c r="AB496" s="1" t="s">
        <v>5126</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5127</v>
      </c>
      <c r="AP496" s="1" t="s">
        <v>5128</v>
      </c>
      <c r="AQ496" s="1" t="s">
        <v>74</v>
      </c>
      <c r="AR496" s="1" t="s">
        <v>74</v>
      </c>
      <c r="AS496" s="1" t="s">
        <v>74</v>
      </c>
      <c r="AT496" s="1" t="s">
        <v>822</v>
      </c>
      <c r="AU496" s="1">
        <v>2022.0</v>
      </c>
      <c r="AV496" s="1">
        <v>509.0</v>
      </c>
      <c r="AW496" s="1">
        <v>3.0</v>
      </c>
      <c r="AX496" s="1" t="s">
        <v>74</v>
      </c>
      <c r="AY496" s="1" t="s">
        <v>74</v>
      </c>
      <c r="AZ496" s="1" t="s">
        <v>74</v>
      </c>
      <c r="BA496" s="1" t="s">
        <v>74</v>
      </c>
      <c r="BB496" s="1">
        <v>3764.0</v>
      </c>
      <c r="BC496" s="1">
        <v>3771.0</v>
      </c>
      <c r="BD496" s="1" t="s">
        <v>74</v>
      </c>
      <c r="BE496" s="1" t="s">
        <v>5129</v>
      </c>
      <c r="BF496" s="2" t="str">
        <f>HYPERLINK("http://dx.doi.org/10.1093/mnras/stab3291","http://dx.doi.org/10.1093/mnras/stab3291")</f>
        <v>http://dx.doi.org/10.1093/mnras/stab3291</v>
      </c>
      <c r="BG496" s="1" t="s">
        <v>74</v>
      </c>
      <c r="BH496" s="1" t="s">
        <v>2817</v>
      </c>
      <c r="BI496" s="1" t="s">
        <v>74</v>
      </c>
      <c r="BJ496" s="1" t="s">
        <v>74</v>
      </c>
      <c r="BK496" s="1" t="s">
        <v>74</v>
      </c>
      <c r="BL496" s="1" t="s">
        <v>74</v>
      </c>
      <c r="BM496" s="1" t="s">
        <v>74</v>
      </c>
      <c r="BN496" s="1" t="s">
        <v>74</v>
      </c>
      <c r="BO496" s="1" t="s">
        <v>74</v>
      </c>
      <c r="BP496" s="1" t="s">
        <v>74</v>
      </c>
      <c r="BQ496" s="1" t="s">
        <v>74</v>
      </c>
      <c r="BR496" s="1" t="s">
        <v>74</v>
      </c>
      <c r="BS496" s="1" t="s">
        <v>5130</v>
      </c>
      <c r="BT496" s="1" t="str">
        <f>HYPERLINK("https%3A%2F%2Fwww.webofscience.com%2Fwos%2Fwoscc%2Ffull-record%2FWOS:000756701800018","View Full Record in Web of Science")</f>
        <v>View Full Record in Web of Science</v>
      </c>
    </row>
    <row r="497" ht="12.75" customHeight="1">
      <c r="A497" s="1" t="s">
        <v>72</v>
      </c>
      <c r="B497" s="1" t="s">
        <v>5131</v>
      </c>
      <c r="C497" s="1" t="s">
        <v>74</v>
      </c>
      <c r="D497" s="1" t="s">
        <v>74</v>
      </c>
      <c r="E497" s="1" t="s">
        <v>74</v>
      </c>
      <c r="F497" s="1" t="s">
        <v>5132</v>
      </c>
      <c r="G497" s="1" t="s">
        <v>74</v>
      </c>
      <c r="H497" s="1" t="s">
        <v>74</v>
      </c>
      <c r="I497" s="1" t="s">
        <v>5133</v>
      </c>
      <c r="J497" s="1" t="s">
        <v>5134</v>
      </c>
      <c r="K497" s="1" t="s">
        <v>74</v>
      </c>
      <c r="L497" s="1" t="s">
        <v>74</v>
      </c>
      <c r="M497" s="1" t="s">
        <v>74</v>
      </c>
      <c r="N497" s="1" t="s">
        <v>74</v>
      </c>
      <c r="O497" s="1" t="s">
        <v>74</v>
      </c>
      <c r="P497" s="1" t="s">
        <v>74</v>
      </c>
      <c r="Q497" s="1" t="s">
        <v>74</v>
      </c>
      <c r="R497" s="1" t="s">
        <v>74</v>
      </c>
      <c r="S497" s="1" t="s">
        <v>74</v>
      </c>
      <c r="T497" s="1" t="s">
        <v>74</v>
      </c>
      <c r="U497" s="1" t="s">
        <v>74</v>
      </c>
      <c r="V497" s="1" t="s">
        <v>5135</v>
      </c>
      <c r="W497" s="1" t="s">
        <v>74</v>
      </c>
      <c r="X497" s="1" t="s">
        <v>74</v>
      </c>
      <c r="Y497" s="1" t="s">
        <v>74</v>
      </c>
      <c r="Z497" s="1" t="s">
        <v>74</v>
      </c>
      <c r="AA497" s="1" t="s">
        <v>5136</v>
      </c>
      <c r="AB497" s="1" t="s">
        <v>5137</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5138</v>
      </c>
      <c r="AP497" s="1" t="s">
        <v>5139</v>
      </c>
      <c r="AQ497" s="1" t="s">
        <v>74</v>
      </c>
      <c r="AR497" s="1" t="s">
        <v>74</v>
      </c>
      <c r="AS497" s="1" t="s">
        <v>74</v>
      </c>
      <c r="AT497" s="1" t="s">
        <v>151</v>
      </c>
      <c r="AU497" s="1">
        <v>2020.0</v>
      </c>
      <c r="AV497" s="1">
        <v>45.0</v>
      </c>
      <c r="AW497" s="1" t="s">
        <v>74</v>
      </c>
      <c r="AX497" s="1" t="s">
        <v>74</v>
      </c>
      <c r="AY497" s="1" t="s">
        <v>74</v>
      </c>
      <c r="AZ497" s="1" t="s">
        <v>74</v>
      </c>
      <c r="BA497" s="1" t="s">
        <v>74</v>
      </c>
      <c r="BB497" s="1" t="s">
        <v>74</v>
      </c>
      <c r="BC497" s="1" t="s">
        <v>74</v>
      </c>
      <c r="BD497" s="1">
        <v>102333.0</v>
      </c>
      <c r="BE497" s="1" t="s">
        <v>5140</v>
      </c>
      <c r="BF497" s="2" t="str">
        <f>HYPERLINK("http://dx.doi.org/10.1016/j.msard.2020.102333","http://dx.doi.org/10.1016/j.msard.2020.102333")</f>
        <v>http://dx.doi.org/10.1016/j.msard.2020.102333</v>
      </c>
      <c r="BG497" s="1" t="s">
        <v>74</v>
      </c>
      <c r="BH497" s="1" t="s">
        <v>74</v>
      </c>
      <c r="BI497" s="1" t="s">
        <v>74</v>
      </c>
      <c r="BJ497" s="1" t="s">
        <v>74</v>
      </c>
      <c r="BK497" s="1" t="s">
        <v>74</v>
      </c>
      <c r="BL497" s="1" t="s">
        <v>74</v>
      </c>
      <c r="BM497" s="1" t="s">
        <v>74</v>
      </c>
      <c r="BN497" s="1">
        <v>3.2659735E7</v>
      </c>
      <c r="BO497" s="1" t="s">
        <v>74</v>
      </c>
      <c r="BP497" s="1" t="s">
        <v>74</v>
      </c>
      <c r="BQ497" s="1" t="s">
        <v>74</v>
      </c>
      <c r="BR497" s="1" t="s">
        <v>74</v>
      </c>
      <c r="BS497" s="1" t="s">
        <v>5141</v>
      </c>
      <c r="BT497" s="1" t="str">
        <f>HYPERLINK("https%3A%2F%2Fwww.webofscience.com%2Fwos%2Fwoscc%2Ffull-record%2FWOS:000582230900010","View Full Record in Web of Science")</f>
        <v>View Full Record in Web of Science</v>
      </c>
    </row>
    <row r="498" ht="12.75" customHeight="1">
      <c r="A498" s="1" t="s">
        <v>72</v>
      </c>
      <c r="B498" s="1" t="s">
        <v>5142</v>
      </c>
      <c r="C498" s="1" t="s">
        <v>74</v>
      </c>
      <c r="D498" s="1" t="s">
        <v>74</v>
      </c>
      <c r="E498" s="1" t="s">
        <v>74</v>
      </c>
      <c r="F498" s="1" t="s">
        <v>5143</v>
      </c>
      <c r="G498" s="1" t="s">
        <v>74</v>
      </c>
      <c r="H498" s="1" t="s">
        <v>74</v>
      </c>
      <c r="I498" s="1" t="s">
        <v>5144</v>
      </c>
      <c r="J498" s="1" t="s">
        <v>5145</v>
      </c>
      <c r="K498" s="1" t="s">
        <v>74</v>
      </c>
      <c r="L498" s="1" t="s">
        <v>74</v>
      </c>
      <c r="M498" s="1" t="s">
        <v>74</v>
      </c>
      <c r="N498" s="1" t="s">
        <v>74</v>
      </c>
      <c r="O498" s="1" t="s">
        <v>74</v>
      </c>
      <c r="P498" s="1" t="s">
        <v>74</v>
      </c>
      <c r="Q498" s="1" t="s">
        <v>74</v>
      </c>
      <c r="R498" s="1" t="s">
        <v>74</v>
      </c>
      <c r="S498" s="1" t="s">
        <v>74</v>
      </c>
      <c r="T498" s="1" t="s">
        <v>74</v>
      </c>
      <c r="U498" s="1" t="s">
        <v>74</v>
      </c>
      <c r="V498" s="1" t="s">
        <v>5146</v>
      </c>
      <c r="W498" s="1" t="s">
        <v>74</v>
      </c>
      <c r="X498" s="1" t="s">
        <v>74</v>
      </c>
      <c r="Y498" s="1" t="s">
        <v>74</v>
      </c>
      <c r="Z498" s="1" t="s">
        <v>74</v>
      </c>
      <c r="AA498" s="1" t="s">
        <v>5147</v>
      </c>
      <c r="AB498" s="1" t="s">
        <v>5148</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5149</v>
      </c>
      <c r="AP498" s="1" t="s">
        <v>5150</v>
      </c>
      <c r="AQ498" s="1" t="s">
        <v>74</v>
      </c>
      <c r="AR498" s="1" t="s">
        <v>74</v>
      </c>
      <c r="AS498" s="1" t="s">
        <v>74</v>
      </c>
      <c r="AT498" s="1" t="s">
        <v>83</v>
      </c>
      <c r="AU498" s="1">
        <v>2019.0</v>
      </c>
      <c r="AV498" s="1">
        <v>105.0</v>
      </c>
      <c r="AW498" s="1">
        <v>4.0</v>
      </c>
      <c r="AX498" s="1" t="s">
        <v>74</v>
      </c>
      <c r="AY498" s="1" t="s">
        <v>74</v>
      </c>
      <c r="AZ498" s="1" t="s">
        <v>74</v>
      </c>
      <c r="BA498" s="1" t="s">
        <v>74</v>
      </c>
      <c r="BB498" s="1">
        <v>412.0</v>
      </c>
      <c r="BC498" s="1">
        <v>420.0</v>
      </c>
      <c r="BD498" s="1" t="s">
        <v>74</v>
      </c>
      <c r="BE498" s="1" t="s">
        <v>5151</v>
      </c>
      <c r="BF498" s="2" t="str">
        <f>HYPERLINK("http://dx.doi.org/10.1016/j.physio.2019.04.001","http://dx.doi.org/10.1016/j.physio.2019.04.001")</f>
        <v>http://dx.doi.org/10.1016/j.physio.2019.04.001</v>
      </c>
      <c r="BG498" s="1" t="s">
        <v>74</v>
      </c>
      <c r="BH498" s="1" t="s">
        <v>74</v>
      </c>
      <c r="BI498" s="1" t="s">
        <v>74</v>
      </c>
      <c r="BJ498" s="1" t="s">
        <v>74</v>
      </c>
      <c r="BK498" s="1" t="s">
        <v>74</v>
      </c>
      <c r="BL498" s="1" t="s">
        <v>74</v>
      </c>
      <c r="BM498" s="1" t="s">
        <v>74</v>
      </c>
      <c r="BN498" s="1">
        <v>3.1076093E7</v>
      </c>
      <c r="BO498" s="1" t="s">
        <v>74</v>
      </c>
      <c r="BP498" s="1" t="s">
        <v>74</v>
      </c>
      <c r="BQ498" s="1" t="s">
        <v>74</v>
      </c>
      <c r="BR498" s="1" t="s">
        <v>74</v>
      </c>
      <c r="BS498" s="1" t="s">
        <v>5152</v>
      </c>
      <c r="BT498" s="1" t="str">
        <f>HYPERLINK("https%3A%2F%2Fwww.webofscience.com%2Fwos%2Fwoscc%2Ffull-record%2FWOS:000496916200003","View Full Record in Web of Science")</f>
        <v>View Full Record in Web of Science</v>
      </c>
    </row>
    <row r="499" ht="12.75" customHeight="1">
      <c r="A499" s="1" t="s">
        <v>72</v>
      </c>
      <c r="B499" s="1" t="s">
        <v>5153</v>
      </c>
      <c r="C499" s="1" t="s">
        <v>74</v>
      </c>
      <c r="D499" s="1" t="s">
        <v>74</v>
      </c>
      <c r="E499" s="1" t="s">
        <v>74</v>
      </c>
      <c r="F499" s="1" t="s">
        <v>5154</v>
      </c>
      <c r="G499" s="1" t="s">
        <v>74</v>
      </c>
      <c r="H499" s="1" t="s">
        <v>74</v>
      </c>
      <c r="I499" s="1" t="s">
        <v>5155</v>
      </c>
      <c r="J499" s="1" t="s">
        <v>1780</v>
      </c>
      <c r="K499" s="1" t="s">
        <v>74</v>
      </c>
      <c r="L499" s="1" t="s">
        <v>74</v>
      </c>
      <c r="M499" s="1" t="s">
        <v>74</v>
      </c>
      <c r="N499" s="1" t="s">
        <v>74</v>
      </c>
      <c r="O499" s="1" t="s">
        <v>74</v>
      </c>
      <c r="P499" s="1" t="s">
        <v>74</v>
      </c>
      <c r="Q499" s="1" t="s">
        <v>74</v>
      </c>
      <c r="R499" s="1" t="s">
        <v>74</v>
      </c>
      <c r="S499" s="1" t="s">
        <v>74</v>
      </c>
      <c r="T499" s="1" t="s">
        <v>74</v>
      </c>
      <c r="U499" s="1" t="s">
        <v>74</v>
      </c>
      <c r="V499" s="1" t="s">
        <v>5156</v>
      </c>
      <c r="W499" s="1" t="s">
        <v>74</v>
      </c>
      <c r="X499" s="1" t="s">
        <v>74</v>
      </c>
      <c r="Y499" s="1" t="s">
        <v>74</v>
      </c>
      <c r="Z499" s="1" t="s">
        <v>74</v>
      </c>
      <c r="AA499" s="1" t="s">
        <v>5157</v>
      </c>
      <c r="AB499" s="1" t="s">
        <v>5158</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1784</v>
      </c>
      <c r="AP499" s="1" t="s">
        <v>1785</v>
      </c>
      <c r="AQ499" s="1" t="s">
        <v>74</v>
      </c>
      <c r="AR499" s="1" t="s">
        <v>74</v>
      </c>
      <c r="AS499" s="1" t="s">
        <v>74</v>
      </c>
      <c r="AT499" s="1" t="s">
        <v>489</v>
      </c>
      <c r="AU499" s="1">
        <v>2019.0</v>
      </c>
      <c r="AV499" s="1">
        <v>484.0</v>
      </c>
      <c r="AW499" s="1" t="s">
        <v>74</v>
      </c>
      <c r="AX499" s="1" t="s">
        <v>74</v>
      </c>
      <c r="AY499" s="1" t="s">
        <v>74</v>
      </c>
      <c r="AZ499" s="1" t="s">
        <v>74</v>
      </c>
      <c r="BA499" s="1" t="s">
        <v>74</v>
      </c>
      <c r="BB499" s="1">
        <v>451.0</v>
      </c>
      <c r="BC499" s="1">
        <v>455.0</v>
      </c>
      <c r="BD499" s="1" t="s">
        <v>74</v>
      </c>
      <c r="BE499" s="1" t="s">
        <v>5159</v>
      </c>
      <c r="BF499" s="2" t="str">
        <f>HYPERLINK("http://dx.doi.org/10.1016/j.jmmm.2019.03.014","http://dx.doi.org/10.1016/j.jmmm.2019.03.014")</f>
        <v>http://dx.doi.org/10.1016/j.jmmm.2019.03.014</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5160</v>
      </c>
      <c r="BT499" s="1" t="str">
        <f>HYPERLINK("https%3A%2F%2Fwww.webofscience.com%2Fwos%2Fwoscc%2Ffull-record%2FWOS:000468443500065","View Full Record in Web of Science")</f>
        <v>View Full Record in Web of Science</v>
      </c>
    </row>
    <row r="500" ht="12.75" customHeight="1">
      <c r="A500" s="1" t="s">
        <v>72</v>
      </c>
      <c r="B500" s="1" t="s">
        <v>5161</v>
      </c>
      <c r="C500" s="1" t="s">
        <v>74</v>
      </c>
      <c r="D500" s="1" t="s">
        <v>74</v>
      </c>
      <c r="E500" s="1" t="s">
        <v>74</v>
      </c>
      <c r="F500" s="1" t="s">
        <v>5162</v>
      </c>
      <c r="G500" s="1" t="s">
        <v>74</v>
      </c>
      <c r="H500" s="1" t="s">
        <v>74</v>
      </c>
      <c r="I500" s="1" t="s">
        <v>5163</v>
      </c>
      <c r="J500" s="1" t="s">
        <v>3369</v>
      </c>
      <c r="K500" s="1" t="s">
        <v>74</v>
      </c>
      <c r="L500" s="1" t="s">
        <v>74</v>
      </c>
      <c r="M500" s="1" t="s">
        <v>74</v>
      </c>
      <c r="N500" s="1" t="s">
        <v>74</v>
      </c>
      <c r="O500" s="1" t="s">
        <v>74</v>
      </c>
      <c r="P500" s="1" t="s">
        <v>74</v>
      </c>
      <c r="Q500" s="1" t="s">
        <v>74</v>
      </c>
      <c r="R500" s="1" t="s">
        <v>74</v>
      </c>
      <c r="S500" s="1" t="s">
        <v>74</v>
      </c>
      <c r="T500" s="1" t="s">
        <v>74</v>
      </c>
      <c r="U500" s="1" t="s">
        <v>74</v>
      </c>
      <c r="V500" s="1" t="s">
        <v>5164</v>
      </c>
      <c r="W500" s="1" t="s">
        <v>74</v>
      </c>
      <c r="X500" s="1" t="s">
        <v>74</v>
      </c>
      <c r="Y500" s="1" t="s">
        <v>74</v>
      </c>
      <c r="Z500" s="1" t="s">
        <v>74</v>
      </c>
      <c r="AA500" s="1" t="s">
        <v>5165</v>
      </c>
      <c r="AB500" s="1" t="s">
        <v>5166</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3373</v>
      </c>
      <c r="AP500" s="1" t="s">
        <v>74</v>
      </c>
      <c r="AQ500" s="1" t="s">
        <v>74</v>
      </c>
      <c r="AR500" s="1" t="s">
        <v>74</v>
      </c>
      <c r="AS500" s="1" t="s">
        <v>74</v>
      </c>
      <c r="AT500" s="1" t="s">
        <v>5167</v>
      </c>
      <c r="AU500" s="1">
        <v>2019.0</v>
      </c>
      <c r="AV500" s="1">
        <v>10.0</v>
      </c>
      <c r="AW500" s="1" t="s">
        <v>74</v>
      </c>
      <c r="AX500" s="1" t="s">
        <v>74</v>
      </c>
      <c r="AY500" s="1" t="s">
        <v>74</v>
      </c>
      <c r="AZ500" s="1" t="s">
        <v>74</v>
      </c>
      <c r="BA500" s="1" t="s">
        <v>74</v>
      </c>
      <c r="BB500" s="1" t="s">
        <v>74</v>
      </c>
      <c r="BC500" s="1" t="s">
        <v>74</v>
      </c>
      <c r="BD500" s="1">
        <v>1113.0</v>
      </c>
      <c r="BE500" s="1" t="s">
        <v>5168</v>
      </c>
      <c r="BF500" s="2" t="str">
        <f>HYPERLINK("http://dx.doi.org/10.3389/fpsyg.2019.01113","http://dx.doi.org/10.3389/fpsyg.2019.01113")</f>
        <v>http://dx.doi.org/10.3389/fpsyg.2019.01113</v>
      </c>
      <c r="BG500" s="1" t="s">
        <v>74</v>
      </c>
      <c r="BH500" s="1" t="s">
        <v>74</v>
      </c>
      <c r="BI500" s="1" t="s">
        <v>74</v>
      </c>
      <c r="BJ500" s="1" t="s">
        <v>74</v>
      </c>
      <c r="BK500" s="1" t="s">
        <v>74</v>
      </c>
      <c r="BL500" s="1" t="s">
        <v>74</v>
      </c>
      <c r="BM500" s="1" t="s">
        <v>74</v>
      </c>
      <c r="BN500" s="1">
        <v>3.1191381E7</v>
      </c>
      <c r="BO500" s="1" t="s">
        <v>74</v>
      </c>
      <c r="BP500" s="1" t="s">
        <v>74</v>
      </c>
      <c r="BQ500" s="1" t="s">
        <v>74</v>
      </c>
      <c r="BR500" s="1" t="s">
        <v>74</v>
      </c>
      <c r="BS500" s="1" t="s">
        <v>5169</v>
      </c>
      <c r="BT500" s="1" t="str">
        <f>HYPERLINK("https%3A%2F%2Fwww.webofscience.com%2Fwos%2Fwoscc%2Ffull-record%2FWOS:000469438900001","View Full Record in Web of Science")</f>
        <v>View Full Record in Web of Science</v>
      </c>
    </row>
    <row r="501" ht="12.75" customHeight="1">
      <c r="A501" s="1" t="s">
        <v>72</v>
      </c>
      <c r="B501" s="1" t="s">
        <v>5170</v>
      </c>
      <c r="C501" s="1" t="s">
        <v>74</v>
      </c>
      <c r="D501" s="1" t="s">
        <v>74</v>
      </c>
      <c r="E501" s="1" t="s">
        <v>74</v>
      </c>
      <c r="F501" s="1" t="s">
        <v>5171</v>
      </c>
      <c r="G501" s="1" t="s">
        <v>74</v>
      </c>
      <c r="H501" s="1" t="s">
        <v>74</v>
      </c>
      <c r="I501" s="1" t="s">
        <v>5172</v>
      </c>
      <c r="J501" s="1" t="s">
        <v>5173</v>
      </c>
      <c r="K501" s="1" t="s">
        <v>74</v>
      </c>
      <c r="L501" s="1" t="s">
        <v>74</v>
      </c>
      <c r="M501" s="1" t="s">
        <v>74</v>
      </c>
      <c r="N501" s="1" t="s">
        <v>74</v>
      </c>
      <c r="O501" s="1" t="s">
        <v>74</v>
      </c>
      <c r="P501" s="1" t="s">
        <v>74</v>
      </c>
      <c r="Q501" s="1" t="s">
        <v>74</v>
      </c>
      <c r="R501" s="1" t="s">
        <v>74</v>
      </c>
      <c r="S501" s="1" t="s">
        <v>74</v>
      </c>
      <c r="T501" s="1" t="s">
        <v>74</v>
      </c>
      <c r="U501" s="1" t="s">
        <v>74</v>
      </c>
      <c r="V501" s="1" t="s">
        <v>5174</v>
      </c>
      <c r="W501" s="1" t="s">
        <v>74</v>
      </c>
      <c r="X501" s="1" t="s">
        <v>74</v>
      </c>
      <c r="Y501" s="1" t="s">
        <v>74</v>
      </c>
      <c r="Z501" s="1" t="s">
        <v>74</v>
      </c>
      <c r="AA501" s="1" t="s">
        <v>5175</v>
      </c>
      <c r="AB501" s="1" t="s">
        <v>5176</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74</v>
      </c>
      <c r="AP501" s="1" t="s">
        <v>5177</v>
      </c>
      <c r="AQ501" s="1" t="s">
        <v>74</v>
      </c>
      <c r="AR501" s="1" t="s">
        <v>74</v>
      </c>
      <c r="AS501" s="1" t="s">
        <v>74</v>
      </c>
      <c r="AT501" s="1" t="s">
        <v>5178</v>
      </c>
      <c r="AU501" s="1">
        <v>2019.0</v>
      </c>
      <c r="AV501" s="1">
        <v>11.0</v>
      </c>
      <c r="AW501" s="1">
        <v>3.0</v>
      </c>
      <c r="AX501" s="1" t="s">
        <v>74</v>
      </c>
      <c r="AY501" s="1" t="s">
        <v>74</v>
      </c>
      <c r="AZ501" s="1" t="s">
        <v>74</v>
      </c>
      <c r="BA501" s="1" t="s">
        <v>74</v>
      </c>
      <c r="BB501" s="1" t="s">
        <v>74</v>
      </c>
      <c r="BC501" s="1" t="s">
        <v>74</v>
      </c>
      <c r="BD501" s="1">
        <v>372.0</v>
      </c>
      <c r="BE501" s="1" t="s">
        <v>5179</v>
      </c>
      <c r="BF501" s="2" t="str">
        <f>HYPERLINK("http://dx.doi.org/10.3390/sym11030372","http://dx.doi.org/10.3390/sym11030372")</f>
        <v>http://dx.doi.org/10.3390/sym11030372</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5180</v>
      </c>
      <c r="BT501" s="1" t="str">
        <f>HYPERLINK("https%3A%2F%2Fwww.webofscience.com%2Fwos%2Fwoscc%2Ffull-record%2FWOS:000464416100006","View Full Record in Web of Science")</f>
        <v>View Full Record in Web of Science</v>
      </c>
    </row>
    <row r="502" ht="12.75" customHeight="1">
      <c r="A502" s="1" t="s">
        <v>72</v>
      </c>
      <c r="B502" s="1" t="s">
        <v>4841</v>
      </c>
      <c r="C502" s="1" t="s">
        <v>74</v>
      </c>
      <c r="D502" s="1" t="s">
        <v>74</v>
      </c>
      <c r="E502" s="1" t="s">
        <v>74</v>
      </c>
      <c r="F502" s="1" t="s">
        <v>4842</v>
      </c>
      <c r="G502" s="1" t="s">
        <v>74</v>
      </c>
      <c r="H502" s="1" t="s">
        <v>74</v>
      </c>
      <c r="I502" s="1" t="s">
        <v>5181</v>
      </c>
      <c r="J502" s="1" t="s">
        <v>4844</v>
      </c>
      <c r="K502" s="1" t="s">
        <v>74</v>
      </c>
      <c r="L502" s="1" t="s">
        <v>74</v>
      </c>
      <c r="M502" s="1" t="s">
        <v>74</v>
      </c>
      <c r="N502" s="1" t="s">
        <v>74</v>
      </c>
      <c r="O502" s="1" t="s">
        <v>74</v>
      </c>
      <c r="P502" s="1" t="s">
        <v>74</v>
      </c>
      <c r="Q502" s="1" t="s">
        <v>74</v>
      </c>
      <c r="R502" s="1" t="s">
        <v>74</v>
      </c>
      <c r="S502" s="1" t="s">
        <v>74</v>
      </c>
      <c r="T502" s="1" t="s">
        <v>74</v>
      </c>
      <c r="U502" s="1" t="s">
        <v>74</v>
      </c>
      <c r="V502" s="1" t="s">
        <v>5182</v>
      </c>
      <c r="W502" s="1" t="s">
        <v>74</v>
      </c>
      <c r="X502" s="1" t="s">
        <v>74</v>
      </c>
      <c r="Y502" s="1" t="s">
        <v>74</v>
      </c>
      <c r="Z502" s="1" t="s">
        <v>74</v>
      </c>
      <c r="AA502" s="1" t="s">
        <v>585</v>
      </c>
      <c r="AB502" s="1" t="s">
        <v>5183</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4845</v>
      </c>
      <c r="AP502" s="1" t="s">
        <v>4846</v>
      </c>
      <c r="AQ502" s="1" t="s">
        <v>74</v>
      </c>
      <c r="AR502" s="1" t="s">
        <v>74</v>
      </c>
      <c r="AS502" s="1" t="s">
        <v>74</v>
      </c>
      <c r="AT502" s="1" t="s">
        <v>5184</v>
      </c>
      <c r="AU502" s="1">
        <v>2018.0</v>
      </c>
      <c r="AV502" s="1">
        <v>54.0</v>
      </c>
      <c r="AW502" s="1">
        <v>54.0</v>
      </c>
      <c r="AX502" s="1" t="s">
        <v>74</v>
      </c>
      <c r="AY502" s="1" t="s">
        <v>74</v>
      </c>
      <c r="AZ502" s="1" t="s">
        <v>74</v>
      </c>
      <c r="BA502" s="1" t="s">
        <v>74</v>
      </c>
      <c r="BB502" s="1">
        <v>7531.0</v>
      </c>
      <c r="BC502" s="1">
        <v>7534.0</v>
      </c>
      <c r="BD502" s="1" t="s">
        <v>74</v>
      </c>
      <c r="BE502" s="1" t="s">
        <v>5185</v>
      </c>
      <c r="BF502" s="2" t="str">
        <f>HYPERLINK("http://dx.doi.org/10.1039/c7cc09921e","http://dx.doi.org/10.1039/c7cc09921e")</f>
        <v>http://dx.doi.org/10.1039/c7cc09921e</v>
      </c>
      <c r="BG502" s="1" t="s">
        <v>74</v>
      </c>
      <c r="BH502" s="1" t="s">
        <v>74</v>
      </c>
      <c r="BI502" s="1" t="s">
        <v>74</v>
      </c>
      <c r="BJ502" s="1" t="s">
        <v>74</v>
      </c>
      <c r="BK502" s="1" t="s">
        <v>74</v>
      </c>
      <c r="BL502" s="1" t="s">
        <v>74</v>
      </c>
      <c r="BM502" s="1" t="s">
        <v>74</v>
      </c>
      <c r="BN502" s="1">
        <v>2.9926015E7</v>
      </c>
      <c r="BO502" s="1" t="s">
        <v>74</v>
      </c>
      <c r="BP502" s="1" t="s">
        <v>74</v>
      </c>
      <c r="BQ502" s="1" t="s">
        <v>74</v>
      </c>
      <c r="BR502" s="1" t="s">
        <v>74</v>
      </c>
      <c r="BS502" s="1" t="s">
        <v>5186</v>
      </c>
      <c r="BT502" s="1" t="str">
        <f>HYPERLINK("https%3A%2F%2Fwww.webofscience.com%2Fwos%2Fwoscc%2Ffull-record%2FWOS:000437183100028","View Full Record in Web of Science")</f>
        <v>View Full Record in Web of Science</v>
      </c>
    </row>
    <row r="503" ht="12.75" customHeight="1">
      <c r="A503" s="1" t="s">
        <v>72</v>
      </c>
      <c r="B503" s="1" t="s">
        <v>5187</v>
      </c>
      <c r="C503" s="1" t="s">
        <v>74</v>
      </c>
      <c r="D503" s="1" t="s">
        <v>74</v>
      </c>
      <c r="E503" s="1" t="s">
        <v>74</v>
      </c>
      <c r="F503" s="1" t="s">
        <v>5188</v>
      </c>
      <c r="G503" s="1" t="s">
        <v>74</v>
      </c>
      <c r="H503" s="1" t="s">
        <v>74</v>
      </c>
      <c r="I503" s="1" t="s">
        <v>5189</v>
      </c>
      <c r="J503" s="1" t="s">
        <v>3973</v>
      </c>
      <c r="K503" s="1" t="s">
        <v>74</v>
      </c>
      <c r="L503" s="1" t="s">
        <v>74</v>
      </c>
      <c r="M503" s="1" t="s">
        <v>74</v>
      </c>
      <c r="N503" s="1" t="s">
        <v>74</v>
      </c>
      <c r="O503" s="1" t="s">
        <v>74</v>
      </c>
      <c r="P503" s="1" t="s">
        <v>74</v>
      </c>
      <c r="Q503" s="1" t="s">
        <v>74</v>
      </c>
      <c r="R503" s="1" t="s">
        <v>74</v>
      </c>
      <c r="S503" s="1" t="s">
        <v>74</v>
      </c>
      <c r="T503" s="1" t="s">
        <v>74</v>
      </c>
      <c r="U503" s="1" t="s">
        <v>74</v>
      </c>
      <c r="V503" s="1" t="s">
        <v>5190</v>
      </c>
      <c r="W503" s="1" t="s">
        <v>74</v>
      </c>
      <c r="X503" s="1" t="s">
        <v>74</v>
      </c>
      <c r="Y503" s="1" t="s">
        <v>74</v>
      </c>
      <c r="Z503" s="1" t="s">
        <v>74</v>
      </c>
      <c r="AA503" s="1" t="s">
        <v>5191</v>
      </c>
      <c r="AB503" s="1" t="s">
        <v>5192</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74</v>
      </c>
      <c r="AP503" s="1" t="s">
        <v>3977</v>
      </c>
      <c r="AQ503" s="1" t="s">
        <v>74</v>
      </c>
      <c r="AR503" s="1" t="s">
        <v>74</v>
      </c>
      <c r="AS503" s="1" t="s">
        <v>74</v>
      </c>
      <c r="AT503" s="1" t="s">
        <v>600</v>
      </c>
      <c r="AU503" s="1">
        <v>2018.0</v>
      </c>
      <c r="AV503" s="1">
        <v>5.0</v>
      </c>
      <c r="AW503" s="1">
        <v>2.0</v>
      </c>
      <c r="AX503" s="1" t="s">
        <v>74</v>
      </c>
      <c r="AY503" s="1" t="s">
        <v>74</v>
      </c>
      <c r="AZ503" s="1" t="s">
        <v>74</v>
      </c>
      <c r="BA503" s="1" t="s">
        <v>74</v>
      </c>
      <c r="BB503" s="1" t="s">
        <v>74</v>
      </c>
      <c r="BC503" s="1" t="s">
        <v>74</v>
      </c>
      <c r="BD503" s="1">
        <v>26102.0</v>
      </c>
      <c r="BE503" s="1" t="s">
        <v>5193</v>
      </c>
      <c r="BF503" s="2" t="str">
        <f>HYPERLINK("http://dx.doi.org/10.1088/2053-1591/aaa73f","http://dx.doi.org/10.1088/2053-1591/aaa73f")</f>
        <v>http://dx.doi.org/10.1088/2053-1591/aaa73f</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5194</v>
      </c>
      <c r="BT503" s="1" t="str">
        <f>HYPERLINK("https%3A%2F%2Fwww.webofscience.com%2Fwos%2Fwoscc%2Ffull-record%2FWOS:000424028400002","View Full Record in Web of Science")</f>
        <v>View Full Record in Web of Science</v>
      </c>
    </row>
    <row r="504" ht="12.75" customHeight="1">
      <c r="A504" s="1" t="s">
        <v>72</v>
      </c>
      <c r="B504" s="1" t="s">
        <v>5195</v>
      </c>
      <c r="C504" s="1" t="s">
        <v>74</v>
      </c>
      <c r="D504" s="1" t="s">
        <v>74</v>
      </c>
      <c r="E504" s="1" t="s">
        <v>74</v>
      </c>
      <c r="F504" s="1" t="s">
        <v>5196</v>
      </c>
      <c r="G504" s="1" t="s">
        <v>74</v>
      </c>
      <c r="H504" s="1" t="s">
        <v>74</v>
      </c>
      <c r="I504" s="1" t="s">
        <v>5197</v>
      </c>
      <c r="J504" s="1" t="s">
        <v>5198</v>
      </c>
      <c r="K504" s="1" t="s">
        <v>74</v>
      </c>
      <c r="L504" s="1" t="s">
        <v>74</v>
      </c>
      <c r="M504" s="1" t="s">
        <v>74</v>
      </c>
      <c r="N504" s="1" t="s">
        <v>74</v>
      </c>
      <c r="O504" s="1" t="s">
        <v>74</v>
      </c>
      <c r="P504" s="1" t="s">
        <v>74</v>
      </c>
      <c r="Q504" s="1" t="s">
        <v>74</v>
      </c>
      <c r="R504" s="1" t="s">
        <v>74</v>
      </c>
      <c r="S504" s="1" t="s">
        <v>74</v>
      </c>
      <c r="T504" s="1" t="s">
        <v>74</v>
      </c>
      <c r="U504" s="1" t="s">
        <v>74</v>
      </c>
      <c r="V504" s="1" t="s">
        <v>5199</v>
      </c>
      <c r="W504" s="1" t="s">
        <v>74</v>
      </c>
      <c r="X504" s="1" t="s">
        <v>74</v>
      </c>
      <c r="Y504" s="1" t="s">
        <v>74</v>
      </c>
      <c r="Z504" s="1" t="s">
        <v>74</v>
      </c>
      <c r="AA504" s="1" t="s">
        <v>5200</v>
      </c>
      <c r="AB504" s="1" t="s">
        <v>5201</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5202</v>
      </c>
      <c r="AP504" s="1" t="s">
        <v>74</v>
      </c>
      <c r="AQ504" s="1" t="s">
        <v>74</v>
      </c>
      <c r="AR504" s="1" t="s">
        <v>74</v>
      </c>
      <c r="AS504" s="1" t="s">
        <v>74</v>
      </c>
      <c r="AT504" s="1" t="s">
        <v>74</v>
      </c>
      <c r="AU504" s="1">
        <v>2015.0</v>
      </c>
      <c r="AV504" s="1">
        <v>28.0</v>
      </c>
      <c r="AW504" s="1">
        <v>2.0</v>
      </c>
      <c r="AX504" s="1" t="s">
        <v>74</v>
      </c>
      <c r="AY504" s="1" t="s">
        <v>74</v>
      </c>
      <c r="AZ504" s="1" t="s">
        <v>74</v>
      </c>
      <c r="BA504" s="1" t="s">
        <v>74</v>
      </c>
      <c r="BB504" s="1">
        <v>213.0</v>
      </c>
      <c r="BC504" s="1">
        <v>226.0</v>
      </c>
      <c r="BD504" s="1" t="s">
        <v>74</v>
      </c>
      <c r="BE504" s="1" t="s">
        <v>5203</v>
      </c>
      <c r="BF504" s="2" t="str">
        <f>HYPERLINK("http://dx.doi.org/10.1108/ARLA-10-2014-0165","http://dx.doi.org/10.1108/ARLA-10-2014-0165")</f>
        <v>http://dx.doi.org/10.1108/ARLA-10-2014-0165</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5204</v>
      </c>
      <c r="BT504" s="1" t="str">
        <f>HYPERLINK("https%3A%2F%2Fwww.webofscience.com%2Fwos%2Fwoscc%2Ffull-record%2FWOS:000357386800004","View Full Record in Web of Science")</f>
        <v>View Full Record in Web of Science</v>
      </c>
    </row>
    <row r="505" ht="12.75" customHeight="1">
      <c r="A505" s="1" t="s">
        <v>72</v>
      </c>
      <c r="B505" s="1" t="s">
        <v>5205</v>
      </c>
      <c r="C505" s="1" t="s">
        <v>74</v>
      </c>
      <c r="D505" s="1" t="s">
        <v>74</v>
      </c>
      <c r="E505" s="1" t="s">
        <v>74</v>
      </c>
      <c r="F505" s="1" t="s">
        <v>5206</v>
      </c>
      <c r="G505" s="1" t="s">
        <v>74</v>
      </c>
      <c r="H505" s="1" t="s">
        <v>74</v>
      </c>
      <c r="I505" s="1" t="s">
        <v>5207</v>
      </c>
      <c r="J505" s="1" t="s">
        <v>5208</v>
      </c>
      <c r="K505" s="1" t="s">
        <v>74</v>
      </c>
      <c r="L505" s="1" t="s">
        <v>74</v>
      </c>
      <c r="M505" s="1" t="s">
        <v>74</v>
      </c>
      <c r="N505" s="1" t="s">
        <v>74</v>
      </c>
      <c r="O505" s="1" t="s">
        <v>74</v>
      </c>
      <c r="P505" s="1" t="s">
        <v>74</v>
      </c>
      <c r="Q505" s="1" t="s">
        <v>74</v>
      </c>
      <c r="R505" s="1" t="s">
        <v>74</v>
      </c>
      <c r="S505" s="1" t="s">
        <v>74</v>
      </c>
      <c r="T505" s="1" t="s">
        <v>74</v>
      </c>
      <c r="U505" s="1" t="s">
        <v>74</v>
      </c>
      <c r="V505" s="1" t="s">
        <v>5209</v>
      </c>
      <c r="W505" s="1" t="s">
        <v>74</v>
      </c>
      <c r="X505" s="1" t="s">
        <v>74</v>
      </c>
      <c r="Y505" s="1" t="s">
        <v>74</v>
      </c>
      <c r="Z505" s="1" t="s">
        <v>74</v>
      </c>
      <c r="AA505" s="1" t="s">
        <v>5210</v>
      </c>
      <c r="AB505" s="1" t="s">
        <v>5211</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5212</v>
      </c>
      <c r="AP505" s="1" t="s">
        <v>74</v>
      </c>
      <c r="AQ505" s="1" t="s">
        <v>74</v>
      </c>
      <c r="AR505" s="1" t="s">
        <v>74</v>
      </c>
      <c r="AS505" s="1" t="s">
        <v>74</v>
      </c>
      <c r="AT505" s="1" t="s">
        <v>5213</v>
      </c>
      <c r="AU505" s="1">
        <v>2013.0</v>
      </c>
      <c r="AV505" s="1">
        <v>73.0</v>
      </c>
      <c r="AW505" s="1">
        <v>2.0</v>
      </c>
      <c r="AX505" s="1" t="s">
        <v>74</v>
      </c>
      <c r="AY505" s="1" t="s">
        <v>74</v>
      </c>
      <c r="AZ505" s="1" t="s">
        <v>74</v>
      </c>
      <c r="BA505" s="1" t="s">
        <v>74</v>
      </c>
      <c r="BB505" s="1">
        <v>108.0</v>
      </c>
      <c r="BC505" s="1">
        <v>116.0</v>
      </c>
      <c r="BD505" s="1" t="s">
        <v>74</v>
      </c>
      <c r="BE505" s="1" t="s">
        <v>5214</v>
      </c>
      <c r="BF505" s="2" t="str">
        <f>HYPERLINK("http://dx.doi.org/10.4067/S0718-58392013000200004","http://dx.doi.org/10.4067/S0718-58392013000200004")</f>
        <v>http://dx.doi.org/10.4067/S0718-58392013000200004</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5215</v>
      </c>
      <c r="BT505" s="1" t="str">
        <f>HYPERLINK("https%3A%2F%2Fwww.webofscience.com%2Fwos%2Fwoscc%2Ffull-record%2FWOS:000323103000004","View Full Record in Web of Science")</f>
        <v>View Full Record in Web of Science</v>
      </c>
    </row>
    <row r="506" ht="12.75" customHeight="1">
      <c r="A506" s="1" t="s">
        <v>72</v>
      </c>
      <c r="B506" s="1" t="s">
        <v>5216</v>
      </c>
      <c r="C506" s="1" t="s">
        <v>74</v>
      </c>
      <c r="D506" s="1" t="s">
        <v>74</v>
      </c>
      <c r="E506" s="1" t="s">
        <v>74</v>
      </c>
      <c r="F506" s="1" t="s">
        <v>5217</v>
      </c>
      <c r="G506" s="1" t="s">
        <v>74</v>
      </c>
      <c r="H506" s="1" t="s">
        <v>74</v>
      </c>
      <c r="I506" s="1" t="s">
        <v>5218</v>
      </c>
      <c r="J506" s="1" t="s">
        <v>5219</v>
      </c>
      <c r="K506" s="1" t="s">
        <v>74</v>
      </c>
      <c r="L506" s="1" t="s">
        <v>74</v>
      </c>
      <c r="M506" s="1" t="s">
        <v>74</v>
      </c>
      <c r="N506" s="1" t="s">
        <v>74</v>
      </c>
      <c r="O506" s="1" t="s">
        <v>74</v>
      </c>
      <c r="P506" s="1" t="s">
        <v>74</v>
      </c>
      <c r="Q506" s="1" t="s">
        <v>74</v>
      </c>
      <c r="R506" s="1" t="s">
        <v>74</v>
      </c>
      <c r="S506" s="1" t="s">
        <v>74</v>
      </c>
      <c r="T506" s="1" t="s">
        <v>74</v>
      </c>
      <c r="U506" s="1" t="s">
        <v>74</v>
      </c>
      <c r="V506" s="1" t="s">
        <v>5220</v>
      </c>
      <c r="W506" s="1" t="s">
        <v>74</v>
      </c>
      <c r="X506" s="1" t="s">
        <v>74</v>
      </c>
      <c r="Y506" s="1" t="s">
        <v>74</v>
      </c>
      <c r="Z506" s="1" t="s">
        <v>74</v>
      </c>
      <c r="AA506" s="1" t="s">
        <v>5221</v>
      </c>
      <c r="AB506" s="1" t="s">
        <v>5222</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5223</v>
      </c>
      <c r="AP506" s="1" t="s">
        <v>5224</v>
      </c>
      <c r="AQ506" s="1" t="s">
        <v>74</v>
      </c>
      <c r="AR506" s="1" t="s">
        <v>74</v>
      </c>
      <c r="AS506" s="1" t="s">
        <v>74</v>
      </c>
      <c r="AT506" s="1" t="s">
        <v>600</v>
      </c>
      <c r="AU506" s="1">
        <v>2012.0</v>
      </c>
      <c r="AV506" s="1">
        <v>48.0</v>
      </c>
      <c r="AW506" s="1">
        <v>1.0</v>
      </c>
      <c r="AX506" s="1" t="s">
        <v>74</v>
      </c>
      <c r="AY506" s="1" t="s">
        <v>74</v>
      </c>
      <c r="AZ506" s="1" t="s">
        <v>74</v>
      </c>
      <c r="BA506" s="1" t="s">
        <v>74</v>
      </c>
      <c r="BB506" s="1">
        <v>25.0</v>
      </c>
      <c r="BC506" s="1">
        <v>36.0</v>
      </c>
      <c r="BD506" s="1" t="s">
        <v>74</v>
      </c>
      <c r="BE506" s="1" t="s">
        <v>5225</v>
      </c>
      <c r="BF506" s="2" t="str">
        <f>HYPERLINK("http://dx.doi.org/10.1530/JME-11-0094","http://dx.doi.org/10.1530/JME-11-0094")</f>
        <v>http://dx.doi.org/10.1530/JME-11-0094</v>
      </c>
      <c r="BG506" s="1" t="s">
        <v>74</v>
      </c>
      <c r="BH506" s="1" t="s">
        <v>74</v>
      </c>
      <c r="BI506" s="1" t="s">
        <v>74</v>
      </c>
      <c r="BJ506" s="1" t="s">
        <v>74</v>
      </c>
      <c r="BK506" s="1" t="s">
        <v>74</v>
      </c>
      <c r="BL506" s="1" t="s">
        <v>74</v>
      </c>
      <c r="BM506" s="1" t="s">
        <v>74</v>
      </c>
      <c r="BN506" s="1">
        <v>2.2052941E7</v>
      </c>
      <c r="BO506" s="1" t="s">
        <v>74</v>
      </c>
      <c r="BP506" s="1" t="s">
        <v>74</v>
      </c>
      <c r="BQ506" s="1" t="s">
        <v>74</v>
      </c>
      <c r="BR506" s="1" t="s">
        <v>74</v>
      </c>
      <c r="BS506" s="1" t="s">
        <v>5226</v>
      </c>
      <c r="BT506" s="1" t="str">
        <f>HYPERLINK("https%3A%2F%2Fwww.webofscience.com%2Fwos%2Fwoscc%2Ffull-record%2FWOS:000300298600004","View Full Record in Web of Science")</f>
        <v>View Full Record in Web of Science</v>
      </c>
    </row>
    <row r="507" ht="12.75" customHeight="1">
      <c r="A507" s="1" t="s">
        <v>72</v>
      </c>
      <c r="B507" s="1" t="s">
        <v>5227</v>
      </c>
      <c r="C507" s="1" t="s">
        <v>74</v>
      </c>
      <c r="D507" s="1" t="s">
        <v>74</v>
      </c>
      <c r="E507" s="1" t="s">
        <v>74</v>
      </c>
      <c r="F507" s="1" t="s">
        <v>5228</v>
      </c>
      <c r="G507" s="1" t="s">
        <v>74</v>
      </c>
      <c r="H507" s="1" t="s">
        <v>74</v>
      </c>
      <c r="I507" s="1" t="s">
        <v>5229</v>
      </c>
      <c r="J507" s="1" t="s">
        <v>5230</v>
      </c>
      <c r="K507" s="1" t="s">
        <v>74</v>
      </c>
      <c r="L507" s="1" t="s">
        <v>74</v>
      </c>
      <c r="M507" s="1" t="s">
        <v>74</v>
      </c>
      <c r="N507" s="1" t="s">
        <v>74</v>
      </c>
      <c r="O507" s="1" t="s">
        <v>74</v>
      </c>
      <c r="P507" s="1" t="s">
        <v>74</v>
      </c>
      <c r="Q507" s="1" t="s">
        <v>74</v>
      </c>
      <c r="R507" s="1" t="s">
        <v>74</v>
      </c>
      <c r="S507" s="1" t="s">
        <v>74</v>
      </c>
      <c r="T507" s="1" t="s">
        <v>74</v>
      </c>
      <c r="U507" s="1" t="s">
        <v>74</v>
      </c>
      <c r="V507" s="1" t="s">
        <v>5231</v>
      </c>
      <c r="W507" s="1" t="s">
        <v>74</v>
      </c>
      <c r="X507" s="1" t="s">
        <v>74</v>
      </c>
      <c r="Y507" s="1" t="s">
        <v>74</v>
      </c>
      <c r="Z507" s="1" t="s">
        <v>74</v>
      </c>
      <c r="AA507" s="1" t="s">
        <v>5232</v>
      </c>
      <c r="AB507" s="1" t="s">
        <v>5233</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5234</v>
      </c>
      <c r="AP507" s="1" t="s">
        <v>5235</v>
      </c>
      <c r="AQ507" s="1" t="s">
        <v>74</v>
      </c>
      <c r="AR507" s="1" t="s">
        <v>74</v>
      </c>
      <c r="AS507" s="1" t="s">
        <v>74</v>
      </c>
      <c r="AT507" s="1" t="s">
        <v>5236</v>
      </c>
      <c r="AU507" s="1">
        <v>2011.0</v>
      </c>
      <c r="AV507" s="1">
        <v>25.0</v>
      </c>
      <c r="AW507" s="1">
        <v>4.0</v>
      </c>
      <c r="AX507" s="1" t="s">
        <v>74</v>
      </c>
      <c r="AY507" s="1" t="s">
        <v>74</v>
      </c>
      <c r="AZ507" s="1" t="s">
        <v>74</v>
      </c>
      <c r="BA507" s="1" t="s">
        <v>74</v>
      </c>
      <c r="BB507" s="1">
        <v>354.0</v>
      </c>
      <c r="BC507" s="1">
        <v>363.0</v>
      </c>
      <c r="BD507" s="1" t="s">
        <v>74</v>
      </c>
      <c r="BE507" s="1" t="s">
        <v>74</v>
      </c>
      <c r="BF507" s="1" t="s">
        <v>74</v>
      </c>
      <c r="BG507" s="1" t="s">
        <v>74</v>
      </c>
      <c r="BH507" s="1" t="s">
        <v>74</v>
      </c>
      <c r="BI507" s="1" t="s">
        <v>74</v>
      </c>
      <c r="BJ507" s="1" t="s">
        <v>74</v>
      </c>
      <c r="BK507" s="1" t="s">
        <v>74</v>
      </c>
      <c r="BL507" s="1" t="s">
        <v>74</v>
      </c>
      <c r="BM507" s="1" t="s">
        <v>74</v>
      </c>
      <c r="BN507" s="1">
        <v>2.2247931E7</v>
      </c>
      <c r="BO507" s="1" t="s">
        <v>74</v>
      </c>
      <c r="BP507" s="1" t="s">
        <v>74</v>
      </c>
      <c r="BQ507" s="1" t="s">
        <v>74</v>
      </c>
      <c r="BR507" s="1" t="s">
        <v>74</v>
      </c>
      <c r="BS507" s="1" t="s">
        <v>5237</v>
      </c>
      <c r="BT507" s="1" t="str">
        <f>HYPERLINK("https%3A%2F%2Fwww.webofscience.com%2Fwos%2Fwoscc%2Ffull-record%2FWOS:000297079400009","View Full Record in Web of Science")</f>
        <v>View Full Record in Web of Science</v>
      </c>
    </row>
    <row r="508" ht="12.75" customHeight="1">
      <c r="A508" s="1" t="s">
        <v>72</v>
      </c>
      <c r="B508" s="1" t="s">
        <v>5238</v>
      </c>
      <c r="C508" s="1" t="s">
        <v>74</v>
      </c>
      <c r="D508" s="1" t="s">
        <v>74</v>
      </c>
      <c r="E508" s="1" t="s">
        <v>74</v>
      </c>
      <c r="F508" s="1" t="s">
        <v>5239</v>
      </c>
      <c r="G508" s="1" t="s">
        <v>74</v>
      </c>
      <c r="H508" s="1" t="s">
        <v>74</v>
      </c>
      <c r="I508" s="1" t="s">
        <v>5240</v>
      </c>
      <c r="J508" s="1" t="s">
        <v>5241</v>
      </c>
      <c r="K508" s="1" t="s">
        <v>74</v>
      </c>
      <c r="L508" s="1" t="s">
        <v>74</v>
      </c>
      <c r="M508" s="1" t="s">
        <v>74</v>
      </c>
      <c r="N508" s="1" t="s">
        <v>74</v>
      </c>
      <c r="O508" s="1" t="s">
        <v>74</v>
      </c>
      <c r="P508" s="1" t="s">
        <v>74</v>
      </c>
      <c r="Q508" s="1" t="s">
        <v>74</v>
      </c>
      <c r="R508" s="1" t="s">
        <v>74</v>
      </c>
      <c r="S508" s="1" t="s">
        <v>74</v>
      </c>
      <c r="T508" s="1" t="s">
        <v>74</v>
      </c>
      <c r="U508" s="1" t="s">
        <v>74</v>
      </c>
      <c r="V508" s="1" t="s">
        <v>5242</v>
      </c>
      <c r="W508" s="1" t="s">
        <v>74</v>
      </c>
      <c r="X508" s="1" t="s">
        <v>74</v>
      </c>
      <c r="Y508" s="1" t="s">
        <v>74</v>
      </c>
      <c r="Z508" s="1" t="s">
        <v>74</v>
      </c>
      <c r="AA508" s="1" t="s">
        <v>5243</v>
      </c>
      <c r="AB508" s="1" t="s">
        <v>5244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5245</v>
      </c>
      <c r="AP508" s="1" t="s">
        <v>5246</v>
      </c>
      <c r="AQ508" s="1" t="s">
        <v>74</v>
      </c>
      <c r="AR508" s="1" t="s">
        <v>74</v>
      </c>
      <c r="AS508" s="1" t="s">
        <v>74</v>
      </c>
      <c r="AT508" s="1" t="s">
        <v>385</v>
      </c>
      <c r="AU508" s="1">
        <v>2008.0</v>
      </c>
      <c r="AV508" s="1">
        <v>77.0</v>
      </c>
      <c r="AW508" s="1">
        <v>21.0</v>
      </c>
      <c r="AX508" s="1" t="s">
        <v>74</v>
      </c>
      <c r="AY508" s="1" t="s">
        <v>74</v>
      </c>
      <c r="AZ508" s="1" t="s">
        <v>74</v>
      </c>
      <c r="BA508" s="1" t="s">
        <v>74</v>
      </c>
      <c r="BB508" s="1" t="s">
        <v>74</v>
      </c>
      <c r="BC508" s="1" t="s">
        <v>74</v>
      </c>
      <c r="BD508" s="1">
        <v>214421.0</v>
      </c>
      <c r="BE508" s="1" t="s">
        <v>5247</v>
      </c>
      <c r="BF508" s="2" t="str">
        <f>HYPERLINK("http://dx.doi.org/10.1103/PhysRevB.77.214421","http://dx.doi.org/10.1103/PhysRevB.77.214421")</f>
        <v>http://dx.doi.org/10.1103/PhysRevB.77.214421</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5248</v>
      </c>
      <c r="BT508" s="1" t="str">
        <f>HYPERLINK("https%3A%2F%2Fwww.webofscience.com%2Fwos%2Fwoscc%2Ffull-record%2FWOS:000257288900065","View Full Record in Web of Science")</f>
        <v>View Full Record in Web of Science</v>
      </c>
    </row>
    <row r="509" ht="12.75" customHeight="1">
      <c r="A509" s="1" t="s">
        <v>72</v>
      </c>
      <c r="B509" s="1" t="s">
        <v>5249</v>
      </c>
      <c r="C509" s="1" t="s">
        <v>74</v>
      </c>
      <c r="D509" s="1" t="s">
        <v>74</v>
      </c>
      <c r="E509" s="1" t="s">
        <v>74</v>
      </c>
      <c r="F509" s="1" t="s">
        <v>5250</v>
      </c>
      <c r="G509" s="1" t="s">
        <v>74</v>
      </c>
      <c r="H509" s="1" t="s">
        <v>74</v>
      </c>
      <c r="I509" s="1" t="s">
        <v>5251</v>
      </c>
      <c r="J509" s="1" t="s">
        <v>5252</v>
      </c>
      <c r="K509" s="1" t="s">
        <v>74</v>
      </c>
      <c r="L509" s="1" t="s">
        <v>74</v>
      </c>
      <c r="M509" s="1" t="s">
        <v>74</v>
      </c>
      <c r="N509" s="1" t="s">
        <v>74</v>
      </c>
      <c r="O509" s="1" t="s">
        <v>74</v>
      </c>
      <c r="P509" s="1" t="s">
        <v>74</v>
      </c>
      <c r="Q509" s="1" t="s">
        <v>74</v>
      </c>
      <c r="R509" s="1" t="s">
        <v>74</v>
      </c>
      <c r="S509" s="1" t="s">
        <v>74</v>
      </c>
      <c r="T509" s="1" t="s">
        <v>74</v>
      </c>
      <c r="U509" s="1" t="s">
        <v>74</v>
      </c>
      <c r="V509" s="1" t="s">
        <v>5253</v>
      </c>
      <c r="W509" s="1" t="s">
        <v>74</v>
      </c>
      <c r="X509" s="1" t="s">
        <v>74</v>
      </c>
      <c r="Y509" s="1" t="s">
        <v>74</v>
      </c>
      <c r="Z509" s="1" t="s">
        <v>74</v>
      </c>
      <c r="AA509" s="1" t="s">
        <v>5254</v>
      </c>
      <c r="AB509" s="1" t="s">
        <v>5255</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5256</v>
      </c>
      <c r="AP509" s="1" t="s">
        <v>74</v>
      </c>
      <c r="AQ509" s="1" t="s">
        <v>74</v>
      </c>
      <c r="AR509" s="1" t="s">
        <v>74</v>
      </c>
      <c r="AS509" s="1" t="s">
        <v>74</v>
      </c>
      <c r="AT509" s="1" t="s">
        <v>5257</v>
      </c>
      <c r="AU509" s="1">
        <v>2006.0</v>
      </c>
      <c r="AV509" s="1">
        <v>36.0</v>
      </c>
      <c r="AW509" s="1">
        <v>4.0</v>
      </c>
      <c r="AX509" s="1" t="s">
        <v>74</v>
      </c>
      <c r="AY509" s="1" t="s">
        <v>74</v>
      </c>
      <c r="AZ509" s="1" t="s">
        <v>74</v>
      </c>
      <c r="BA509" s="1" t="s">
        <v>74</v>
      </c>
      <c r="BB509" s="1">
        <v>296.0</v>
      </c>
      <c r="BC509" s="1">
        <v>301.0</v>
      </c>
      <c r="BD509" s="1" t="s">
        <v>74</v>
      </c>
      <c r="BE509" s="1" t="s">
        <v>5258</v>
      </c>
      <c r="BF509" s="2" t="str">
        <f>HYPERLINK("http://dx.doi.org/10.1287/inte.1060.0207","http://dx.doi.org/10.1287/inte.1060.0207")</f>
        <v>http://dx.doi.org/10.1287/inte.1060.0207</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5259</v>
      </c>
      <c r="BT509" s="1" t="str">
        <f>HYPERLINK("https%3A%2F%2Fwww.webofscience.com%2Fwos%2Fwoscc%2Ffull-record%2FWOS:000239332400003","View Full Record in Web of Science")</f>
        <v>View Full Record in Web of Science</v>
      </c>
    </row>
    <row r="510" ht="12.75" customHeight="1">
      <c r="A510" s="1" t="s">
        <v>72</v>
      </c>
      <c r="B510" s="1" t="s">
        <v>5260</v>
      </c>
      <c r="C510" s="1" t="s">
        <v>74</v>
      </c>
      <c r="D510" s="1" t="s">
        <v>74</v>
      </c>
      <c r="E510" s="1" t="s">
        <v>74</v>
      </c>
      <c r="F510" s="1" t="s">
        <v>5260</v>
      </c>
      <c r="G510" s="1" t="s">
        <v>74</v>
      </c>
      <c r="H510" s="1" t="s">
        <v>74</v>
      </c>
      <c r="I510" s="1" t="s">
        <v>5261</v>
      </c>
      <c r="J510" s="1" t="s">
        <v>5262</v>
      </c>
      <c r="K510" s="1" t="s">
        <v>74</v>
      </c>
      <c r="L510" s="1" t="s">
        <v>74</v>
      </c>
      <c r="M510" s="1" t="s">
        <v>74</v>
      </c>
      <c r="N510" s="1" t="s">
        <v>74</v>
      </c>
      <c r="O510" s="1" t="s">
        <v>74</v>
      </c>
      <c r="P510" s="1" t="s">
        <v>74</v>
      </c>
      <c r="Q510" s="1" t="s">
        <v>74</v>
      </c>
      <c r="R510" s="1" t="s">
        <v>74</v>
      </c>
      <c r="S510" s="1" t="s">
        <v>74</v>
      </c>
      <c r="T510" s="1" t="s">
        <v>74</v>
      </c>
      <c r="U510" s="1" t="s">
        <v>74</v>
      </c>
      <c r="V510" s="1" t="s">
        <v>5263</v>
      </c>
      <c r="W510" s="1" t="s">
        <v>74</v>
      </c>
      <c r="X510" s="1" t="s">
        <v>74</v>
      </c>
      <c r="Y510" s="1" t="s">
        <v>74</v>
      </c>
      <c r="Z510" s="1" t="s">
        <v>74</v>
      </c>
      <c r="AA510" s="1" t="s">
        <v>5264</v>
      </c>
      <c r="AB510" s="1" t="s">
        <v>5265</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5266</v>
      </c>
      <c r="AP510" s="1" t="s">
        <v>74</v>
      </c>
      <c r="AQ510" s="1" t="s">
        <v>74</v>
      </c>
      <c r="AR510" s="1" t="s">
        <v>74</v>
      </c>
      <c r="AS510" s="1" t="s">
        <v>74</v>
      </c>
      <c r="AT510" s="1" t="s">
        <v>385</v>
      </c>
      <c r="AU510" s="1">
        <v>1999.0</v>
      </c>
      <c r="AV510" s="1">
        <v>200.0</v>
      </c>
      <c r="AW510" s="1">
        <v>6.0</v>
      </c>
      <c r="AX510" s="1" t="s">
        <v>74</v>
      </c>
      <c r="AY510" s="1" t="s">
        <v>74</v>
      </c>
      <c r="AZ510" s="1" t="s">
        <v>74</v>
      </c>
      <c r="BA510" s="1" t="s">
        <v>74</v>
      </c>
      <c r="BB510" s="1">
        <v>1306.0</v>
      </c>
      <c r="BC510" s="1">
        <v>1310.0</v>
      </c>
      <c r="BD510" s="1" t="s">
        <v>74</v>
      </c>
      <c r="BE510" s="1" t="s">
        <v>5267</v>
      </c>
      <c r="BF510" s="2" t="str">
        <f>HYPERLINK("http://dx.doi.org/10.1002/(SICI)1521-3935(19990601)200:6&lt;1306::AID-MACP1306&gt;3.0.CO;2-4","http://dx.doi.org/10.1002/(SICI)1521-3935(19990601)200:6&lt;1306::AID-MACP1306&gt;3.0.CO;2-4")</f>
        <v>http://dx.doi.org/10.1002/(SICI)1521-3935(19990601)200:6&lt;1306::AID-MACP1306&gt;3.0.CO;2-4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5268</v>
      </c>
      <c r="BT510" s="1" t="str">
        <f>HYPERLINK("https%3A%2F%2Fwww.webofscience.com%2Fwos%2Fwoscc%2Ffull-record%2FWOS:000080688600008","View Full Record in Web of Science")</f>
        <v>View Full Record in Web of Science</v>
      </c>
    </row>
    <row r="511" ht="12.75" customHeight="1">
      <c r="A511" s="1" t="s">
        <v>72</v>
      </c>
      <c r="B511" s="1" t="s">
        <v>5269</v>
      </c>
      <c r="C511" s="1" t="s">
        <v>74</v>
      </c>
      <c r="D511" s="1" t="s">
        <v>74</v>
      </c>
      <c r="E511" s="1" t="s">
        <v>74</v>
      </c>
      <c r="F511" s="1" t="s">
        <v>5270</v>
      </c>
      <c r="G511" s="1" t="s">
        <v>74</v>
      </c>
      <c r="H511" s="1" t="s">
        <v>74</v>
      </c>
      <c r="I511" s="1" t="s">
        <v>5271</v>
      </c>
      <c r="J511" s="1" t="s">
        <v>4956</v>
      </c>
      <c r="K511" s="1" t="s">
        <v>74</v>
      </c>
      <c r="L511" s="1" t="s">
        <v>74</v>
      </c>
      <c r="M511" s="1" t="s">
        <v>74</v>
      </c>
      <c r="N511" s="1" t="s">
        <v>74</v>
      </c>
      <c r="O511" s="1" t="s">
        <v>74</v>
      </c>
      <c r="P511" s="1" t="s">
        <v>74</v>
      </c>
      <c r="Q511" s="1" t="s">
        <v>74</v>
      </c>
      <c r="R511" s="1" t="s">
        <v>74</v>
      </c>
      <c r="S511" s="1" t="s">
        <v>74</v>
      </c>
      <c r="T511" s="1" t="s">
        <v>74</v>
      </c>
      <c r="U511" s="1" t="s">
        <v>74</v>
      </c>
      <c r="V511" s="1" t="s">
        <v>5272</v>
      </c>
      <c r="W511" s="1" t="s">
        <v>74</v>
      </c>
      <c r="X511" s="1" t="s">
        <v>74</v>
      </c>
      <c r="Y511" s="1" t="s">
        <v>74</v>
      </c>
      <c r="Z511" s="1" t="s">
        <v>74</v>
      </c>
      <c r="AA511" s="1" t="s">
        <v>5273</v>
      </c>
      <c r="AB511" s="1" t="s">
        <v>5274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4961</v>
      </c>
      <c r="AP511" s="1" t="s">
        <v>4962</v>
      </c>
      <c r="AQ511" s="1" t="s">
        <v>74</v>
      </c>
      <c r="AR511" s="1" t="s">
        <v>74</v>
      </c>
      <c r="AS511" s="1" t="s">
        <v>74</v>
      </c>
      <c r="AT511" s="1" t="s">
        <v>385</v>
      </c>
      <c r="AU511" s="1">
        <v>2025.0</v>
      </c>
      <c r="AV511" s="1">
        <v>233.0</v>
      </c>
      <c r="AW511" s="1" t="s">
        <v>74</v>
      </c>
      <c r="AX511" s="1" t="s">
        <v>74</v>
      </c>
      <c r="AY511" s="1" t="s">
        <v>74</v>
      </c>
      <c r="AZ511" s="1" t="s">
        <v>74</v>
      </c>
      <c r="BA511" s="1" t="s">
        <v>74</v>
      </c>
      <c r="BB511" s="1">
        <v>55.0</v>
      </c>
      <c r="BC511" s="1">
        <v>69.0</v>
      </c>
      <c r="BD511" s="1" t="s">
        <v>74</v>
      </c>
      <c r="BE511" s="1" t="s">
        <v>5275</v>
      </c>
      <c r="BF511" s="2" t="str">
        <f>HYPERLINK("http://dx.doi.org/10.1016/j.freeradbiomed.2025.03.030","http://dx.doi.org/10.1016/j.freeradbiomed.2025.03.030")</f>
        <v>http://dx.doi.org/10.1016/j.freeradbiomed.2025.03.030</v>
      </c>
      <c r="BG511" s="1" t="s">
        <v>74</v>
      </c>
      <c r="BH511" s="1" t="s">
        <v>74</v>
      </c>
      <c r="BI511" s="1" t="s">
        <v>74</v>
      </c>
      <c r="BJ511" s="1" t="s">
        <v>74</v>
      </c>
      <c r="BK511" s="1" t="s">
        <v>74</v>
      </c>
      <c r="BL511" s="1" t="s">
        <v>74</v>
      </c>
      <c r="BM511" s="1" t="s">
        <v>74</v>
      </c>
      <c r="BN511" s="1">
        <v>4.0120653E7</v>
      </c>
      <c r="BO511" s="1" t="s">
        <v>74</v>
      </c>
      <c r="BP511" s="1" t="s">
        <v>74</v>
      </c>
      <c r="BQ511" s="1" t="s">
        <v>74</v>
      </c>
      <c r="BR511" s="1" t="s">
        <v>74</v>
      </c>
      <c r="BS511" s="1" t="s">
        <v>5276</v>
      </c>
      <c r="BT511" s="1" t="str">
        <f>HYPERLINK("https%3A%2F%2Fwww.webofscience.com%2Fwos%2Fwoscc%2Ffull-record%2FWOS:001458056400001","View Full Record in Web of Science")</f>
        <v>View Full Record in Web of Science</v>
      </c>
    </row>
    <row r="512" ht="12.75" customHeight="1">
      <c r="A512" s="1" t="s">
        <v>72</v>
      </c>
      <c r="B512" s="1" t="s">
        <v>5277</v>
      </c>
      <c r="C512" s="1" t="s">
        <v>74</v>
      </c>
      <c r="D512" s="1" t="s">
        <v>74</v>
      </c>
      <c r="E512" s="1" t="s">
        <v>74</v>
      </c>
      <c r="F512" s="1" t="s">
        <v>5278</v>
      </c>
      <c r="G512" s="1" t="s">
        <v>74</v>
      </c>
      <c r="H512" s="1" t="s">
        <v>74</v>
      </c>
      <c r="I512" s="1" t="s">
        <v>5279</v>
      </c>
      <c r="J512" s="1" t="s">
        <v>2010</v>
      </c>
      <c r="K512" s="1" t="s">
        <v>74</v>
      </c>
      <c r="L512" s="1" t="s">
        <v>74</v>
      </c>
      <c r="M512" s="1" t="s">
        <v>74</v>
      </c>
      <c r="N512" s="1" t="s">
        <v>74</v>
      </c>
      <c r="O512" s="1" t="s">
        <v>74</v>
      </c>
      <c r="P512" s="1" t="s">
        <v>74</v>
      </c>
      <c r="Q512" s="1" t="s">
        <v>74</v>
      </c>
      <c r="R512" s="1" t="s">
        <v>74</v>
      </c>
      <c r="S512" s="1" t="s">
        <v>74</v>
      </c>
      <c r="T512" s="1" t="s">
        <v>74</v>
      </c>
      <c r="U512" s="1" t="s">
        <v>74</v>
      </c>
      <c r="V512" s="1" t="s">
        <v>5280</v>
      </c>
      <c r="W512" s="1" t="s">
        <v>74</v>
      </c>
      <c r="X512" s="1" t="s">
        <v>74</v>
      </c>
      <c r="Y512" s="1" t="s">
        <v>74</v>
      </c>
      <c r="Z512" s="1" t="s">
        <v>74</v>
      </c>
      <c r="AA512" s="1" t="s">
        <v>5281</v>
      </c>
      <c r="AB512" s="1" t="s">
        <v>5282</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74</v>
      </c>
      <c r="AP512" s="1" t="s">
        <v>2014</v>
      </c>
      <c r="AQ512" s="1" t="s">
        <v>74</v>
      </c>
      <c r="AR512" s="1" t="s">
        <v>74</v>
      </c>
      <c r="AS512" s="1" t="s">
        <v>74</v>
      </c>
      <c r="AT512" s="1" t="s">
        <v>822</v>
      </c>
      <c r="AU512" s="1">
        <v>2025.0</v>
      </c>
      <c r="AV512" s="1">
        <v>27.0</v>
      </c>
      <c r="AW512" s="1">
        <v>1.0</v>
      </c>
      <c r="AX512" s="1" t="s">
        <v>74</v>
      </c>
      <c r="AY512" s="1" t="s">
        <v>74</v>
      </c>
      <c r="AZ512" s="1" t="s">
        <v>74</v>
      </c>
      <c r="BA512" s="1" t="s">
        <v>74</v>
      </c>
      <c r="BB512" s="1" t="s">
        <v>74</v>
      </c>
      <c r="BC512" s="1" t="s">
        <v>74</v>
      </c>
      <c r="BD512" s="1">
        <v>50.0</v>
      </c>
      <c r="BE512" s="1" t="s">
        <v>5283</v>
      </c>
      <c r="BF512" s="2" t="str">
        <f>HYPERLINK("http://dx.doi.org/10.3390/e27010050","http://dx.doi.org/10.3390/e27010050")</f>
        <v>http://dx.doi.org/10.3390/e27010050</v>
      </c>
      <c r="BG512" s="1" t="s">
        <v>74</v>
      </c>
      <c r="BH512" s="1" t="s">
        <v>74</v>
      </c>
      <c r="BI512" s="1" t="s">
        <v>74</v>
      </c>
      <c r="BJ512" s="1" t="s">
        <v>74</v>
      </c>
      <c r="BK512" s="1" t="s">
        <v>74</v>
      </c>
      <c r="BL512" s="1" t="s">
        <v>74</v>
      </c>
      <c r="BM512" s="1" t="s">
        <v>74</v>
      </c>
      <c r="BN512" s="1">
        <v>3.985167E7</v>
      </c>
      <c r="BO512" s="1" t="s">
        <v>74</v>
      </c>
      <c r="BP512" s="1" t="s">
        <v>74</v>
      </c>
      <c r="BQ512" s="1" t="s">
        <v>74</v>
      </c>
      <c r="BR512" s="1" t="s">
        <v>74</v>
      </c>
      <c r="BS512" s="1" t="s">
        <v>5284</v>
      </c>
      <c r="BT512" s="1" t="str">
        <f>HYPERLINK("https%3A%2F%2Fwww.webofscience.com%2Fwos%2Fwoscc%2Ffull-record%2FWOS:001405358600001","View Full Record in Web of Science")</f>
        <v>View Full Record in Web of Science</v>
      </c>
    </row>
    <row r="513" ht="12.75" customHeight="1">
      <c r="A513" s="1" t="s">
        <v>72</v>
      </c>
      <c r="B513" s="1" t="s">
        <v>5285</v>
      </c>
      <c r="C513" s="1" t="s">
        <v>74</v>
      </c>
      <c r="D513" s="1" t="s">
        <v>74</v>
      </c>
      <c r="E513" s="1" t="s">
        <v>74</v>
      </c>
      <c r="F513" s="1" t="s">
        <v>5286</v>
      </c>
      <c r="G513" s="1" t="s">
        <v>74</v>
      </c>
      <c r="H513" s="1" t="s">
        <v>74</v>
      </c>
      <c r="I513" s="1" t="s">
        <v>5287</v>
      </c>
      <c r="J513" s="1" t="s">
        <v>526</v>
      </c>
      <c r="K513" s="1" t="s">
        <v>74</v>
      </c>
      <c r="L513" s="1" t="s">
        <v>74</v>
      </c>
      <c r="M513" s="1" t="s">
        <v>74</v>
      </c>
      <c r="N513" s="1" t="s">
        <v>74</v>
      </c>
      <c r="O513" s="1" t="s">
        <v>74</v>
      </c>
      <c r="P513" s="1" t="s">
        <v>74</v>
      </c>
      <c r="Q513" s="1" t="s">
        <v>74</v>
      </c>
      <c r="R513" s="1" t="s">
        <v>74</v>
      </c>
      <c r="S513" s="1" t="s">
        <v>74</v>
      </c>
      <c r="T513" s="1" t="s">
        <v>74</v>
      </c>
      <c r="U513" s="1" t="s">
        <v>74</v>
      </c>
      <c r="V513" s="1" t="s">
        <v>5288</v>
      </c>
      <c r="W513" s="1" t="s">
        <v>74</v>
      </c>
      <c r="X513" s="1" t="s">
        <v>74</v>
      </c>
      <c r="Y513" s="1" t="s">
        <v>74</v>
      </c>
      <c r="Z513" s="1" t="s">
        <v>74</v>
      </c>
      <c r="AA513" s="1" t="s">
        <v>5289</v>
      </c>
      <c r="AB513" s="1" t="s">
        <v>5290</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529</v>
      </c>
      <c r="AP513" s="1" t="s">
        <v>530</v>
      </c>
      <c r="AQ513" s="1" t="s">
        <v>74</v>
      </c>
      <c r="AR513" s="1" t="s">
        <v>74</v>
      </c>
      <c r="AS513" s="1" t="s">
        <v>74</v>
      </c>
      <c r="AT513" s="1" t="s">
        <v>5291</v>
      </c>
      <c r="AU513" s="1">
        <v>2025.0</v>
      </c>
      <c r="AV513" s="1">
        <v>354.0</v>
      </c>
      <c r="AW513" s="1" t="s">
        <v>74</v>
      </c>
      <c r="AX513" s="1">
        <v>6.0</v>
      </c>
      <c r="AY513" s="1" t="s">
        <v>74</v>
      </c>
      <c r="AZ513" s="1" t="s">
        <v>74</v>
      </c>
      <c r="BA513" s="1" t="s">
        <v>74</v>
      </c>
      <c r="BB513" s="1" t="s">
        <v>74</v>
      </c>
      <c r="BC513" s="1" t="s">
        <v>74</v>
      </c>
      <c r="BD513" s="1" t="s">
        <v>74</v>
      </c>
      <c r="BE513" s="1" t="s">
        <v>5292</v>
      </c>
      <c r="BF513" s="2" t="str">
        <f>HYPERLINK("http://dx.doi.org/10.1016/j.seppur.2024.129199","http://dx.doi.org/10.1016/j.seppur.2024.129199")</f>
        <v>http://dx.doi.org/10.1016/j.seppur.2024.129199</v>
      </c>
      <c r="BG513" s="1" t="s">
        <v>74</v>
      </c>
      <c r="BH513" s="1" t="s">
        <v>3479</v>
      </c>
      <c r="BI513" s="1" t="s">
        <v>74</v>
      </c>
      <c r="BJ513" s="1" t="s">
        <v>74</v>
      </c>
      <c r="BK513" s="1" t="s">
        <v>74</v>
      </c>
      <c r="BL513" s="1" t="s">
        <v>74</v>
      </c>
      <c r="BM513" s="1" t="s">
        <v>74</v>
      </c>
      <c r="BN513" s="1" t="s">
        <v>74</v>
      </c>
      <c r="BO513" s="1" t="s">
        <v>74</v>
      </c>
      <c r="BP513" s="1" t="s">
        <v>74</v>
      </c>
      <c r="BQ513" s="1" t="s">
        <v>74</v>
      </c>
      <c r="BR513" s="1" t="s">
        <v>74</v>
      </c>
      <c r="BS513" s="1" t="s">
        <v>5293</v>
      </c>
      <c r="BT513" s="1" t="str">
        <f>HYPERLINK("https%3A%2F%2Fwww.webofscience.com%2Fwos%2Fwoscc%2Ffull-record%2FWOS:001297983200001","View Full Record in Web of Science")</f>
        <v>View Full Record in Web of Science</v>
      </c>
    </row>
    <row r="514" ht="12.75" customHeight="1">
      <c r="A514" s="1" t="s">
        <v>72</v>
      </c>
      <c r="B514" s="1" t="s">
        <v>5294</v>
      </c>
      <c r="C514" s="1" t="s">
        <v>74</v>
      </c>
      <c r="D514" s="1" t="s">
        <v>74</v>
      </c>
      <c r="E514" s="1" t="s">
        <v>74</v>
      </c>
      <c r="F514" s="1" t="s">
        <v>5295</v>
      </c>
      <c r="G514" s="1" t="s">
        <v>74</v>
      </c>
      <c r="H514" s="1" t="s">
        <v>74</v>
      </c>
      <c r="I514" s="1" t="s">
        <v>5296</v>
      </c>
      <c r="J514" s="1" t="s">
        <v>3329</v>
      </c>
      <c r="K514" s="1" t="s">
        <v>74</v>
      </c>
      <c r="L514" s="1" t="s">
        <v>74</v>
      </c>
      <c r="M514" s="1" t="s">
        <v>74</v>
      </c>
      <c r="N514" s="1" t="s">
        <v>74</v>
      </c>
      <c r="O514" s="1" t="s">
        <v>74</v>
      </c>
      <c r="P514" s="1" t="s">
        <v>74</v>
      </c>
      <c r="Q514" s="1" t="s">
        <v>74</v>
      </c>
      <c r="R514" s="1" t="s">
        <v>74</v>
      </c>
      <c r="S514" s="1" t="s">
        <v>74</v>
      </c>
      <c r="T514" s="1" t="s">
        <v>74</v>
      </c>
      <c r="U514" s="1" t="s">
        <v>74</v>
      </c>
      <c r="V514" s="1" t="s">
        <v>5297</v>
      </c>
      <c r="W514" s="1" t="s">
        <v>74</v>
      </c>
      <c r="X514" s="1" t="s">
        <v>74</v>
      </c>
      <c r="Y514" s="1" t="s">
        <v>74</v>
      </c>
      <c r="Z514" s="1" t="s">
        <v>74</v>
      </c>
      <c r="AA514" s="1" t="s">
        <v>5298</v>
      </c>
      <c r="AB514" s="1" t="s">
        <v>5299</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3333</v>
      </c>
      <c r="AP514" s="1" t="s">
        <v>5300</v>
      </c>
      <c r="AQ514" s="1" t="s">
        <v>74</v>
      </c>
      <c r="AR514" s="1" t="s">
        <v>74</v>
      </c>
      <c r="AS514" s="1" t="s">
        <v>74</v>
      </c>
      <c r="AT514" s="1" t="s">
        <v>877</v>
      </c>
      <c r="AU514" s="1">
        <v>2024.0</v>
      </c>
      <c r="AV514" s="1">
        <v>229.0</v>
      </c>
      <c r="AW514" s="1" t="s">
        <v>74</v>
      </c>
      <c r="AX514" s="1" t="s">
        <v>74</v>
      </c>
      <c r="AY514" s="1" t="s">
        <v>74</v>
      </c>
      <c r="AZ514" s="1" t="s">
        <v>74</v>
      </c>
      <c r="BA514" s="1" t="s">
        <v>74</v>
      </c>
      <c r="BB514" s="1" t="s">
        <v>74</v>
      </c>
      <c r="BC514" s="1" t="s">
        <v>74</v>
      </c>
      <c r="BD514" s="1">
        <v>120764.0</v>
      </c>
      <c r="BE514" s="1" t="s">
        <v>5301</v>
      </c>
      <c r="BF514" s="2" t="str">
        <f>HYPERLINK("http://dx.doi.org/10.1016/j.renene.2024.120764","http://dx.doi.org/10.1016/j.renene.2024.120764")</f>
        <v>http://dx.doi.org/10.1016/j.renene.2024.120764</v>
      </c>
      <c r="BG514" s="1" t="s">
        <v>74</v>
      </c>
      <c r="BH514" s="1" t="s">
        <v>5302</v>
      </c>
      <c r="BI514" s="1" t="s">
        <v>74</v>
      </c>
      <c r="BJ514" s="1" t="s">
        <v>74</v>
      </c>
      <c r="BK514" s="1" t="s">
        <v>74</v>
      </c>
      <c r="BL514" s="1" t="s">
        <v>74</v>
      </c>
      <c r="BM514" s="1" t="s">
        <v>74</v>
      </c>
      <c r="BN514" s="1" t="s">
        <v>74</v>
      </c>
      <c r="BO514" s="1" t="s">
        <v>74</v>
      </c>
      <c r="BP514" s="1" t="s">
        <v>74</v>
      </c>
      <c r="BQ514" s="1" t="s">
        <v>74</v>
      </c>
      <c r="BR514" s="1" t="s">
        <v>74</v>
      </c>
      <c r="BS514" s="1" t="s">
        <v>5303</v>
      </c>
      <c r="BT514" s="1" t="str">
        <f>HYPERLINK("https%3A%2F%2Fwww.webofscience.com%2Fwos%2Fwoscc%2Ffull-record%2FWOS:001261116100001","View Full Record in Web of Science")</f>
        <v>View Full Record in Web of Science</v>
      </c>
    </row>
    <row r="515" ht="12.75" customHeight="1">
      <c r="A515" s="1" t="s">
        <v>1844</v>
      </c>
      <c r="B515" s="1" t="s">
        <v>5304</v>
      </c>
      <c r="C515" s="1" t="s">
        <v>74</v>
      </c>
      <c r="D515" s="1" t="s">
        <v>5304</v>
      </c>
      <c r="E515" s="1" t="s">
        <v>74</v>
      </c>
      <c r="F515" s="1" t="s">
        <v>5305</v>
      </c>
      <c r="G515" s="1" t="s">
        <v>74</v>
      </c>
      <c r="H515" s="1" t="s">
        <v>74</v>
      </c>
      <c r="I515" s="1" t="s">
        <v>5306</v>
      </c>
      <c r="J515" s="1" t="s">
        <v>5307</v>
      </c>
      <c r="K515" s="1" t="s">
        <v>74</v>
      </c>
      <c r="L515" s="1" t="s">
        <v>74</v>
      </c>
      <c r="M515" s="1" t="s">
        <v>74</v>
      </c>
      <c r="N515" s="1" t="s">
        <v>74</v>
      </c>
      <c r="O515" s="1" t="s">
        <v>74</v>
      </c>
      <c r="P515" s="1" t="s">
        <v>74</v>
      </c>
      <c r="Q515" s="1" t="s">
        <v>74</v>
      </c>
      <c r="R515" s="1" t="s">
        <v>74</v>
      </c>
      <c r="S515" s="1" t="s">
        <v>74</v>
      </c>
      <c r="T515" s="1" t="s">
        <v>74</v>
      </c>
      <c r="U515" s="1" t="s">
        <v>74</v>
      </c>
      <c r="V515" s="1" t="s">
        <v>74</v>
      </c>
      <c r="W515" s="1" t="s">
        <v>74</v>
      </c>
      <c r="X515" s="1" t="s">
        <v>74</v>
      </c>
      <c r="Y515" s="1" t="s">
        <v>74</v>
      </c>
      <c r="Z515" s="1" t="s">
        <v>74</v>
      </c>
      <c r="AA515" s="1" t="s">
        <v>5308</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74</v>
      </c>
      <c r="AP515" s="1" t="s">
        <v>74</v>
      </c>
      <c r="AQ515" s="1" t="s">
        <v>5309</v>
      </c>
      <c r="AR515" s="1" t="s">
        <v>74</v>
      </c>
      <c r="AS515" s="1" t="s">
        <v>74</v>
      </c>
      <c r="AT515" s="1" t="s">
        <v>74</v>
      </c>
      <c r="AU515" s="1">
        <v>2024.0</v>
      </c>
      <c r="AV515" s="1" t="s">
        <v>74</v>
      </c>
      <c r="AW515" s="1" t="s">
        <v>74</v>
      </c>
      <c r="AX515" s="1" t="s">
        <v>74</v>
      </c>
      <c r="AY515" s="1" t="s">
        <v>74</v>
      </c>
      <c r="AZ515" s="1" t="s">
        <v>74</v>
      </c>
      <c r="BA515" s="1" t="s">
        <v>74</v>
      </c>
      <c r="BB515" s="1">
        <v>259.0</v>
      </c>
      <c r="BC515" s="1">
        <v>261.0</v>
      </c>
      <c r="BD515" s="1" t="s">
        <v>74</v>
      </c>
      <c r="BE515" s="1" t="s">
        <v>74</v>
      </c>
      <c r="BF515" s="1" t="s">
        <v>74</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5310</v>
      </c>
      <c r="BT515" s="1" t="str">
        <f>HYPERLINK("https%3A%2F%2Fwww.webofscience.com%2Fwos%2Fwoscc%2Ffull-record%2FWOS:001356039600015","View Full Record in Web of Science")</f>
        <v>View Full Record in Web of Science</v>
      </c>
    </row>
    <row r="516" ht="12.75" customHeight="1">
      <c r="A516" s="1" t="s">
        <v>72</v>
      </c>
      <c r="B516" s="1" t="s">
        <v>5311</v>
      </c>
      <c r="C516" s="1" t="s">
        <v>74</v>
      </c>
      <c r="D516" s="1" t="s">
        <v>74</v>
      </c>
      <c r="E516" s="1" t="s">
        <v>74</v>
      </c>
      <c r="F516" s="1" t="s">
        <v>5312</v>
      </c>
      <c r="G516" s="1" t="s">
        <v>74</v>
      </c>
      <c r="H516" s="1" t="s">
        <v>74</v>
      </c>
      <c r="I516" s="1" t="s">
        <v>5313</v>
      </c>
      <c r="J516" s="1" t="s">
        <v>5314</v>
      </c>
      <c r="K516" s="1" t="s">
        <v>74</v>
      </c>
      <c r="L516" s="1" t="s">
        <v>74</v>
      </c>
      <c r="M516" s="1" t="s">
        <v>74</v>
      </c>
      <c r="N516" s="1" t="s">
        <v>74</v>
      </c>
      <c r="O516" s="1" t="s">
        <v>74</v>
      </c>
      <c r="P516" s="1" t="s">
        <v>74</v>
      </c>
      <c r="Q516" s="1" t="s">
        <v>74</v>
      </c>
      <c r="R516" s="1" t="s">
        <v>74</v>
      </c>
      <c r="S516" s="1" t="s">
        <v>74</v>
      </c>
      <c r="T516" s="1" t="s">
        <v>74</v>
      </c>
      <c r="U516" s="1" t="s">
        <v>74</v>
      </c>
      <c r="V516" s="1" t="s">
        <v>5315</v>
      </c>
      <c r="W516" s="1" t="s">
        <v>74</v>
      </c>
      <c r="X516" s="1" t="s">
        <v>74</v>
      </c>
      <c r="Y516" s="1" t="s">
        <v>74</v>
      </c>
      <c r="Z516" s="1" t="s">
        <v>74</v>
      </c>
      <c r="AA516" s="1" t="s">
        <v>4618</v>
      </c>
      <c r="AB516" s="1" t="s">
        <v>4619</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5316</v>
      </c>
      <c r="AP516" s="1" t="s">
        <v>5317</v>
      </c>
      <c r="AQ516" s="1" t="s">
        <v>74</v>
      </c>
      <c r="AR516" s="1" t="s">
        <v>74</v>
      </c>
      <c r="AS516" s="1" t="s">
        <v>74</v>
      </c>
      <c r="AT516" s="1" t="s">
        <v>5318</v>
      </c>
      <c r="AU516" s="1">
        <v>2023.0</v>
      </c>
      <c r="AV516" s="1">
        <v>39.0</v>
      </c>
      <c r="AW516" s="1">
        <v>18.0</v>
      </c>
      <c r="AX516" s="1" t="s">
        <v>74</v>
      </c>
      <c r="AY516" s="1" t="s">
        <v>74</v>
      </c>
      <c r="AZ516" s="1" t="s">
        <v>74</v>
      </c>
      <c r="BA516" s="1" t="s">
        <v>74</v>
      </c>
      <c r="BB516" s="1">
        <v>3123.0</v>
      </c>
      <c r="BC516" s="1">
        <v>3133.0</v>
      </c>
      <c r="BD516" s="1" t="s">
        <v>74</v>
      </c>
      <c r="BE516" s="1" t="s">
        <v>5319</v>
      </c>
      <c r="BF516" s="2" t="str">
        <f>HYPERLINK("http://dx.doi.org/10.1080/02670836.2023.2240101","http://dx.doi.org/10.1080/02670836.2023.2240101")</f>
        <v>http://dx.doi.org/10.1080/02670836.2023.2240101</v>
      </c>
      <c r="BG516" s="1" t="s">
        <v>74</v>
      </c>
      <c r="BH516" s="1" t="s">
        <v>4385</v>
      </c>
      <c r="BI516" s="1" t="s">
        <v>74</v>
      </c>
      <c r="BJ516" s="1" t="s">
        <v>74</v>
      </c>
      <c r="BK516" s="1" t="s">
        <v>74</v>
      </c>
      <c r="BL516" s="1" t="s">
        <v>74</v>
      </c>
      <c r="BM516" s="1" t="s">
        <v>74</v>
      </c>
      <c r="BN516" s="1" t="s">
        <v>74</v>
      </c>
      <c r="BO516" s="1" t="s">
        <v>74</v>
      </c>
      <c r="BP516" s="1" t="s">
        <v>74</v>
      </c>
      <c r="BQ516" s="1" t="s">
        <v>74</v>
      </c>
      <c r="BR516" s="1" t="s">
        <v>74</v>
      </c>
      <c r="BS516" s="1" t="s">
        <v>5320</v>
      </c>
      <c r="BT516" s="1" t="str">
        <f>HYPERLINK("https%3A%2F%2Fwww.webofscience.com%2Fwos%2Fwoscc%2Ffull-record%2FWOS:001043577900001","View Full Record in Web of Science")</f>
        <v>View Full Record in Web of Science</v>
      </c>
    </row>
    <row r="517" ht="12.75" customHeight="1">
      <c r="A517" s="1" t="s">
        <v>72</v>
      </c>
      <c r="B517" s="1" t="s">
        <v>5321</v>
      </c>
      <c r="C517" s="1" t="s">
        <v>74</v>
      </c>
      <c r="D517" s="1" t="s">
        <v>74</v>
      </c>
      <c r="E517" s="1" t="s">
        <v>74</v>
      </c>
      <c r="F517" s="1" t="s">
        <v>5322</v>
      </c>
      <c r="G517" s="1" t="s">
        <v>74</v>
      </c>
      <c r="H517" s="1" t="s">
        <v>74</v>
      </c>
      <c r="I517" s="1" t="s">
        <v>5323</v>
      </c>
      <c r="J517" s="1" t="s">
        <v>5324</v>
      </c>
      <c r="K517" s="1" t="s">
        <v>74</v>
      </c>
      <c r="L517" s="1" t="s">
        <v>74</v>
      </c>
      <c r="M517" s="1" t="s">
        <v>74</v>
      </c>
      <c r="N517" s="1" t="s">
        <v>74</v>
      </c>
      <c r="O517" s="1" t="s">
        <v>74</v>
      </c>
      <c r="P517" s="1" t="s">
        <v>74</v>
      </c>
      <c r="Q517" s="1" t="s">
        <v>74</v>
      </c>
      <c r="R517" s="1" t="s">
        <v>74</v>
      </c>
      <c r="S517" s="1" t="s">
        <v>74</v>
      </c>
      <c r="T517" s="1" t="s">
        <v>74</v>
      </c>
      <c r="U517" s="1" t="s">
        <v>74</v>
      </c>
      <c r="V517" s="1" t="s">
        <v>5325</v>
      </c>
      <c r="W517" s="1" t="s">
        <v>74</v>
      </c>
      <c r="X517" s="1" t="s">
        <v>74</v>
      </c>
      <c r="Y517" s="1" t="s">
        <v>74</v>
      </c>
      <c r="Z517" s="1" t="s">
        <v>74</v>
      </c>
      <c r="AA517" s="1" t="s">
        <v>5326</v>
      </c>
      <c r="AB517" s="1" t="s">
        <v>5327</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5328</v>
      </c>
      <c r="AP517" s="1" t="s">
        <v>5329</v>
      </c>
      <c r="AQ517" s="1" t="s">
        <v>74</v>
      </c>
      <c r="AR517" s="1" t="s">
        <v>74</v>
      </c>
      <c r="AS517" s="1" t="s">
        <v>74</v>
      </c>
      <c r="AT517" s="1" t="s">
        <v>5330</v>
      </c>
      <c r="AU517" s="1">
        <v>2022.0</v>
      </c>
      <c r="AV517" s="1">
        <v>2022.0</v>
      </c>
      <c r="AW517" s="1" t="s">
        <v>74</v>
      </c>
      <c r="AX517" s="1" t="s">
        <v>74</v>
      </c>
      <c r="AY517" s="1" t="s">
        <v>74</v>
      </c>
      <c r="AZ517" s="1" t="s">
        <v>74</v>
      </c>
      <c r="BA517" s="1" t="s">
        <v>74</v>
      </c>
      <c r="BB517" s="1" t="s">
        <v>74</v>
      </c>
      <c r="BC517" s="1" t="s">
        <v>74</v>
      </c>
      <c r="BD517" s="1">
        <v>2594564.0</v>
      </c>
      <c r="BE517" s="1" t="s">
        <v>5331</v>
      </c>
      <c r="BF517" s="2" t="str">
        <f>HYPERLINK("http://dx.doi.org/10.1155/2022/2594564","http://dx.doi.org/10.1155/2022/2594564")</f>
        <v>http://dx.doi.org/10.1155/2022/2594564</v>
      </c>
      <c r="BG517" s="1" t="s">
        <v>74</v>
      </c>
      <c r="BH517" s="1" t="s">
        <v>74</v>
      </c>
      <c r="BI517" s="1" t="s">
        <v>74</v>
      </c>
      <c r="BJ517" s="1" t="s">
        <v>74</v>
      </c>
      <c r="BK517" s="1" t="s">
        <v>74</v>
      </c>
      <c r="BL517" s="1" t="s">
        <v>74</v>
      </c>
      <c r="BM517" s="1" t="s">
        <v>74</v>
      </c>
      <c r="BN517" s="1">
        <v>3.5812012E7</v>
      </c>
      <c r="BO517" s="1" t="s">
        <v>74</v>
      </c>
      <c r="BP517" s="1" t="s">
        <v>74</v>
      </c>
      <c r="BQ517" s="1" t="s">
        <v>74</v>
      </c>
      <c r="BR517" s="1" t="s">
        <v>74</v>
      </c>
      <c r="BS517" s="1" t="s">
        <v>5332</v>
      </c>
      <c r="BT517" s="1" t="str">
        <f>HYPERLINK("https%3A%2F%2Fwww.webofscience.com%2Fwos%2Fwoscc%2Ffull-record%2FWOS:000829095900001","View Full Record in Web of Science")</f>
        <v>View Full Record in Web of Science</v>
      </c>
    </row>
    <row r="518" ht="12.75" customHeight="1">
      <c r="A518" s="1" t="s">
        <v>72</v>
      </c>
      <c r="B518" s="1" t="s">
        <v>5333</v>
      </c>
      <c r="C518" s="1" t="s">
        <v>74</v>
      </c>
      <c r="D518" s="1" t="s">
        <v>74</v>
      </c>
      <c r="E518" s="1" t="s">
        <v>74</v>
      </c>
      <c r="F518" s="1" t="s">
        <v>5334</v>
      </c>
      <c r="G518" s="1" t="s">
        <v>74</v>
      </c>
      <c r="H518" s="1" t="s">
        <v>74</v>
      </c>
      <c r="I518" s="1" t="s">
        <v>5335</v>
      </c>
      <c r="J518" s="1" t="s">
        <v>5336</v>
      </c>
      <c r="K518" s="1" t="s">
        <v>74</v>
      </c>
      <c r="L518" s="1" t="s">
        <v>74</v>
      </c>
      <c r="M518" s="1" t="s">
        <v>74</v>
      </c>
      <c r="N518" s="1" t="s">
        <v>74</v>
      </c>
      <c r="O518" s="1" t="s">
        <v>74</v>
      </c>
      <c r="P518" s="1" t="s">
        <v>74</v>
      </c>
      <c r="Q518" s="1" t="s">
        <v>74</v>
      </c>
      <c r="R518" s="1" t="s">
        <v>74</v>
      </c>
      <c r="S518" s="1" t="s">
        <v>74</v>
      </c>
      <c r="T518" s="1" t="s">
        <v>74</v>
      </c>
      <c r="U518" s="1" t="s">
        <v>74</v>
      </c>
      <c r="V518" s="1" t="s">
        <v>5337</v>
      </c>
      <c r="W518" s="1" t="s">
        <v>74</v>
      </c>
      <c r="X518" s="1" t="s">
        <v>74</v>
      </c>
      <c r="Y518" s="1" t="s">
        <v>74</v>
      </c>
      <c r="Z518" s="1" t="s">
        <v>74</v>
      </c>
      <c r="AA518" s="1" t="s">
        <v>5338</v>
      </c>
      <c r="AB518" s="1" t="s">
        <v>5339</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74</v>
      </c>
      <c r="AP518" s="1" t="s">
        <v>5340</v>
      </c>
      <c r="AQ518" s="1" t="s">
        <v>74</v>
      </c>
      <c r="AR518" s="1" t="s">
        <v>74</v>
      </c>
      <c r="AS518" s="1" t="s">
        <v>74</v>
      </c>
      <c r="AT518" s="1" t="s">
        <v>176</v>
      </c>
      <c r="AU518" s="1">
        <v>2021.0</v>
      </c>
      <c r="AV518" s="1">
        <v>4.0</v>
      </c>
      <c r="AW518" s="1">
        <v>1.0</v>
      </c>
      <c r="AX518" s="1" t="s">
        <v>74</v>
      </c>
      <c r="AY518" s="1" t="s">
        <v>74</v>
      </c>
      <c r="AZ518" s="1" t="s">
        <v>74</v>
      </c>
      <c r="BA518" s="1" t="s">
        <v>74</v>
      </c>
      <c r="BB518" s="1">
        <v>184.0</v>
      </c>
      <c r="BC518" s="1">
        <v>204.0</v>
      </c>
      <c r="BD518" s="1" t="s">
        <v>74</v>
      </c>
      <c r="BE518" s="1" t="s">
        <v>5341</v>
      </c>
      <c r="BF518" s="2" t="str">
        <f>HYPERLINK("http://dx.doi.org/10.3390/stats4010014","http://dx.doi.org/10.3390/stats4010014")</f>
        <v>http://dx.doi.org/10.3390/stats4010014</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5342</v>
      </c>
      <c r="BT518" s="1" t="str">
        <f>HYPERLINK("https%3A%2F%2Fwww.webofscience.com%2Fwos%2Fwoscc%2Ffull-record%2FWOS:000836807900001","View Full Record in Web of Science")</f>
        <v>View Full Record in Web of Science</v>
      </c>
    </row>
    <row r="519" ht="12.75" customHeight="1">
      <c r="A519" s="1" t="s">
        <v>72</v>
      </c>
      <c r="B519" s="1" t="s">
        <v>5343</v>
      </c>
      <c r="C519" s="1" t="s">
        <v>74</v>
      </c>
      <c r="D519" s="1" t="s">
        <v>74</v>
      </c>
      <c r="E519" s="1" t="s">
        <v>74</v>
      </c>
      <c r="F519" s="1" t="s">
        <v>5344</v>
      </c>
      <c r="G519" s="1" t="s">
        <v>74</v>
      </c>
      <c r="H519" s="1" t="s">
        <v>74</v>
      </c>
      <c r="I519" s="1" t="s">
        <v>5345</v>
      </c>
      <c r="J519" s="1" t="s">
        <v>1517</v>
      </c>
      <c r="K519" s="1" t="s">
        <v>74</v>
      </c>
      <c r="L519" s="1" t="s">
        <v>74</v>
      </c>
      <c r="M519" s="1" t="s">
        <v>74</v>
      </c>
      <c r="N519" s="1" t="s">
        <v>74</v>
      </c>
      <c r="O519" s="1" t="s">
        <v>74</v>
      </c>
      <c r="P519" s="1" t="s">
        <v>74</v>
      </c>
      <c r="Q519" s="1" t="s">
        <v>74</v>
      </c>
      <c r="R519" s="1" t="s">
        <v>74</v>
      </c>
      <c r="S519" s="1" t="s">
        <v>74</v>
      </c>
      <c r="T519" s="1" t="s">
        <v>74</v>
      </c>
      <c r="U519" s="1" t="s">
        <v>74</v>
      </c>
      <c r="V519" s="1" t="s">
        <v>5346</v>
      </c>
      <c r="W519" s="1" t="s">
        <v>74</v>
      </c>
      <c r="X519" s="1" t="s">
        <v>74</v>
      </c>
      <c r="Y519" s="1" t="s">
        <v>74</v>
      </c>
      <c r="Z519" s="1" t="s">
        <v>74</v>
      </c>
      <c r="AA519" s="1" t="s">
        <v>5347</v>
      </c>
      <c r="AB519" s="1" t="s">
        <v>5348</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1521</v>
      </c>
      <c r="AP519" s="1" t="s">
        <v>1522</v>
      </c>
      <c r="AQ519" s="1" t="s">
        <v>74</v>
      </c>
      <c r="AR519" s="1" t="s">
        <v>74</v>
      </c>
      <c r="AS519" s="1" t="s">
        <v>74</v>
      </c>
      <c r="AT519" s="1" t="s">
        <v>5349</v>
      </c>
      <c r="AU519" s="1">
        <v>2019.0</v>
      </c>
      <c r="AV519" s="1">
        <v>308.0</v>
      </c>
      <c r="AW519" s="1" t="s">
        <v>74</v>
      </c>
      <c r="AX519" s="1" t="s">
        <v>74</v>
      </c>
      <c r="AY519" s="1" t="s">
        <v>74</v>
      </c>
      <c r="AZ519" s="1" t="s">
        <v>74</v>
      </c>
      <c r="BA519" s="1" t="s">
        <v>74</v>
      </c>
      <c r="BB519" s="1">
        <v>295.0</v>
      </c>
      <c r="BC519" s="1">
        <v>306.0</v>
      </c>
      <c r="BD519" s="1" t="s">
        <v>74</v>
      </c>
      <c r="BE519" s="1" t="s">
        <v>5350</v>
      </c>
      <c r="BF519" s="2" t="str">
        <f>HYPERLINK("http://dx.doi.org/10.1016/j.electacta.2019.04.005","http://dx.doi.org/10.1016/j.electacta.2019.04.005")</f>
        <v>http://dx.doi.org/10.1016/j.electacta.2019.04.005</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5351</v>
      </c>
      <c r="BT519" s="1" t="str">
        <f>HYPERLINK("https%3A%2F%2Fwww.webofscience.com%2Fwos%2Fwoscc%2Ffull-record%2FWOS:000466713100032","View Full Record in Web of Science")</f>
        <v>View Full Record in Web of Science</v>
      </c>
    </row>
    <row r="520" ht="12.75" customHeight="1">
      <c r="A520" s="1" t="s">
        <v>72</v>
      </c>
      <c r="B520" s="1" t="s">
        <v>5352</v>
      </c>
      <c r="C520" s="1" t="s">
        <v>74</v>
      </c>
      <c r="D520" s="1" t="s">
        <v>74</v>
      </c>
      <c r="E520" s="1" t="s">
        <v>74</v>
      </c>
      <c r="F520" s="1" t="s">
        <v>5353</v>
      </c>
      <c r="G520" s="1" t="s">
        <v>74</v>
      </c>
      <c r="H520" s="1" t="s">
        <v>74</v>
      </c>
      <c r="I520" s="1" t="s">
        <v>5354</v>
      </c>
      <c r="J520" s="1" t="s">
        <v>5355</v>
      </c>
      <c r="K520" s="1" t="s">
        <v>74</v>
      </c>
      <c r="L520" s="1" t="s">
        <v>74</v>
      </c>
      <c r="M520" s="1" t="s">
        <v>74</v>
      </c>
      <c r="N520" s="1" t="s">
        <v>74</v>
      </c>
      <c r="O520" s="1" t="s">
        <v>74</v>
      </c>
      <c r="P520" s="1" t="s">
        <v>74</v>
      </c>
      <c r="Q520" s="1" t="s">
        <v>74</v>
      </c>
      <c r="R520" s="1" t="s">
        <v>74</v>
      </c>
      <c r="S520" s="1" t="s">
        <v>74</v>
      </c>
      <c r="T520" s="1" t="s">
        <v>74</v>
      </c>
      <c r="U520" s="1" t="s">
        <v>74</v>
      </c>
      <c r="V520" s="1" t="s">
        <v>5356</v>
      </c>
      <c r="W520" s="1" t="s">
        <v>74</v>
      </c>
      <c r="X520" s="1" t="s">
        <v>74</v>
      </c>
      <c r="Y520" s="1" t="s">
        <v>74</v>
      </c>
      <c r="Z520" s="1" t="s">
        <v>74</v>
      </c>
      <c r="AA520" s="1" t="s">
        <v>5357</v>
      </c>
      <c r="AB520" s="1" t="s">
        <v>5358</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5359</v>
      </c>
      <c r="AP520" s="1" t="s">
        <v>5360</v>
      </c>
      <c r="AQ520" s="1" t="s">
        <v>74</v>
      </c>
      <c r="AR520" s="1" t="s">
        <v>74</v>
      </c>
      <c r="AS520" s="1" t="s">
        <v>74</v>
      </c>
      <c r="AT520" s="1" t="s">
        <v>74</v>
      </c>
      <c r="AU520" s="1">
        <v>2019.0</v>
      </c>
      <c r="AV520" s="1">
        <v>19.0</v>
      </c>
      <c r="AW520" s="1">
        <v>3.0</v>
      </c>
      <c r="AX520" s="1" t="s">
        <v>74</v>
      </c>
      <c r="AY520" s="1" t="s">
        <v>74</v>
      </c>
      <c r="AZ520" s="1" t="s">
        <v>1350</v>
      </c>
      <c r="BA520" s="1" t="s">
        <v>74</v>
      </c>
      <c r="BB520" s="1">
        <v>411.0</v>
      </c>
      <c r="BC520" s="1">
        <v>435.0</v>
      </c>
      <c r="BD520" s="1" t="s">
        <v>74</v>
      </c>
      <c r="BE520" s="1" t="s">
        <v>5361</v>
      </c>
      <c r="BF520" s="2" t="str">
        <f>HYPERLINK("http://dx.doi.org/10.1080/19491247.2019.1627841","http://dx.doi.org/10.1080/19491247.2019.1627841")</f>
        <v>http://dx.doi.org/10.1080/19491247.2019.1627841</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5362</v>
      </c>
      <c r="BT520" s="1" t="str">
        <f>HYPERLINK("https%3A%2F%2Fwww.webofscience.com%2Fwos%2Fwoscc%2Ffull-record%2FWOS:000482290600007","View Full Record in Web of Science")</f>
        <v>View Full Record in Web of Science</v>
      </c>
    </row>
    <row r="521" ht="12.75" customHeight="1">
      <c r="A521" s="1" t="s">
        <v>72</v>
      </c>
      <c r="B521" s="1" t="s">
        <v>5363</v>
      </c>
      <c r="C521" s="1" t="s">
        <v>74</v>
      </c>
      <c r="D521" s="1" t="s">
        <v>74</v>
      </c>
      <c r="E521" s="1" t="s">
        <v>74</v>
      </c>
      <c r="F521" s="1" t="s">
        <v>5364</v>
      </c>
      <c r="G521" s="1" t="s">
        <v>74</v>
      </c>
      <c r="H521" s="1" t="s">
        <v>74</v>
      </c>
      <c r="I521" s="1" t="s">
        <v>5365</v>
      </c>
      <c r="J521" s="1" t="s">
        <v>5366</v>
      </c>
      <c r="K521" s="1" t="s">
        <v>74</v>
      </c>
      <c r="L521" s="1" t="s">
        <v>74</v>
      </c>
      <c r="M521" s="1" t="s">
        <v>74</v>
      </c>
      <c r="N521" s="1" t="s">
        <v>74</v>
      </c>
      <c r="O521" s="1" t="s">
        <v>74</v>
      </c>
      <c r="P521" s="1" t="s">
        <v>74</v>
      </c>
      <c r="Q521" s="1" t="s">
        <v>74</v>
      </c>
      <c r="R521" s="1" t="s">
        <v>74</v>
      </c>
      <c r="S521" s="1" t="s">
        <v>74</v>
      </c>
      <c r="T521" s="1" t="s">
        <v>74</v>
      </c>
      <c r="U521" s="1" t="s">
        <v>74</v>
      </c>
      <c r="V521" s="1" t="s">
        <v>5367</v>
      </c>
      <c r="W521" s="1" t="s">
        <v>74</v>
      </c>
      <c r="X521" s="1" t="s">
        <v>74</v>
      </c>
      <c r="Y521" s="1" t="s">
        <v>74</v>
      </c>
      <c r="Z521" s="1" t="s">
        <v>74</v>
      </c>
      <c r="AA521" s="1" t="s">
        <v>5368</v>
      </c>
      <c r="AB521" s="1" t="s">
        <v>5369</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5370</v>
      </c>
      <c r="AP521" s="1" t="s">
        <v>5371</v>
      </c>
      <c r="AQ521" s="1" t="s">
        <v>74</v>
      </c>
      <c r="AR521" s="1" t="s">
        <v>74</v>
      </c>
      <c r="AS521" s="1" t="s">
        <v>74</v>
      </c>
      <c r="AT521" s="1" t="s">
        <v>4404</v>
      </c>
      <c r="AU521" s="1">
        <v>2017.0</v>
      </c>
      <c r="AV521" s="1">
        <v>342.0</v>
      </c>
      <c r="AW521" s="1" t="s">
        <v>74</v>
      </c>
      <c r="AX521" s="1" t="s">
        <v>74</v>
      </c>
      <c r="AY521" s="1" t="s">
        <v>74</v>
      </c>
      <c r="AZ521" s="1" t="s">
        <v>74</v>
      </c>
      <c r="BA521" s="1" t="s">
        <v>74</v>
      </c>
      <c r="BB521" s="1">
        <v>34.0</v>
      </c>
      <c r="BC521" s="1">
        <v>79.0</v>
      </c>
      <c r="BD521" s="1" t="s">
        <v>74</v>
      </c>
      <c r="BE521" s="1" t="s">
        <v>5372</v>
      </c>
      <c r="BF521" s="2" t="str">
        <f>HYPERLINK("http://dx.doi.org/10.1016/j.ccr.2017.03.021","http://dx.doi.org/10.1016/j.ccr.2017.03.021")</f>
        <v>http://dx.doi.org/10.1016/j.ccr.2017.03.021</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5373</v>
      </c>
      <c r="BT521" s="1" t="str">
        <f>HYPERLINK("https%3A%2F%2Fwww.webofscience.com%2Fwos%2Fwoscc%2Ffull-record%2FWOS:000400399800003","View Full Record in Web of Science")</f>
        <v>View Full Record in Web of Science</v>
      </c>
    </row>
    <row r="522" ht="12.75" customHeight="1">
      <c r="A522" s="1" t="s">
        <v>72</v>
      </c>
      <c r="B522" s="1" t="s">
        <v>5374</v>
      </c>
      <c r="C522" s="1" t="s">
        <v>74</v>
      </c>
      <c r="D522" s="1" t="s">
        <v>74</v>
      </c>
      <c r="E522" s="1" t="s">
        <v>74</v>
      </c>
      <c r="F522" s="1" t="s">
        <v>5375</v>
      </c>
      <c r="G522" s="1" t="s">
        <v>74</v>
      </c>
      <c r="H522" s="1" t="s">
        <v>74</v>
      </c>
      <c r="I522" s="1" t="s">
        <v>5376</v>
      </c>
      <c r="J522" s="1" t="s">
        <v>2968</v>
      </c>
      <c r="K522" s="1" t="s">
        <v>74</v>
      </c>
      <c r="L522" s="1" t="s">
        <v>74</v>
      </c>
      <c r="M522" s="1" t="s">
        <v>74</v>
      </c>
      <c r="N522" s="1" t="s">
        <v>74</v>
      </c>
      <c r="O522" s="1" t="s">
        <v>2969</v>
      </c>
      <c r="P522" s="1" t="s">
        <v>5377</v>
      </c>
      <c r="Q522" s="1" t="s">
        <v>5378</v>
      </c>
      <c r="R522" s="1" t="s">
        <v>2972</v>
      </c>
      <c r="S522" s="1" t="s">
        <v>74</v>
      </c>
      <c r="T522" s="1" t="s">
        <v>74</v>
      </c>
      <c r="U522" s="1" t="s">
        <v>74</v>
      </c>
      <c r="V522" s="1" t="s">
        <v>74</v>
      </c>
      <c r="W522" s="1" t="s">
        <v>74</v>
      </c>
      <c r="X522" s="1" t="s">
        <v>74</v>
      </c>
      <c r="Y522" s="1" t="s">
        <v>74</v>
      </c>
      <c r="Z522" s="1" t="s">
        <v>74</v>
      </c>
      <c r="AA522" s="1" t="s">
        <v>5379</v>
      </c>
      <c r="AB522" s="1" t="s">
        <v>5380</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318</v>
      </c>
      <c r="AP522" s="1" t="s">
        <v>319</v>
      </c>
      <c r="AQ522" s="1" t="s">
        <v>74</v>
      </c>
      <c r="AR522" s="1" t="s">
        <v>74</v>
      </c>
      <c r="AS522" s="1" t="s">
        <v>74</v>
      </c>
      <c r="AT522" s="1" t="s">
        <v>94</v>
      </c>
      <c r="AU522" s="1">
        <v>2017.0</v>
      </c>
      <c r="AV522" s="1">
        <v>49.0</v>
      </c>
      <c r="AW522" s="1">
        <v>5.0</v>
      </c>
      <c r="AX522" s="1" t="s">
        <v>74</v>
      </c>
      <c r="AY522" s="1">
        <v>1.0</v>
      </c>
      <c r="AZ522" s="1" t="s">
        <v>74</v>
      </c>
      <c r="BA522" s="1">
        <v>3752.0</v>
      </c>
      <c r="BB522" s="1">
        <v>1078.0</v>
      </c>
      <c r="BC522" s="1">
        <v>1079.0</v>
      </c>
      <c r="BD522" s="1" t="s">
        <v>74</v>
      </c>
      <c r="BE522" s="1" t="s">
        <v>5381</v>
      </c>
      <c r="BF522" s="2" t="str">
        <f>HYPERLINK("http://dx.doi.org/10.1249/01.mss.0000519967.27014.bd","http://dx.doi.org/10.1249/01.mss.0000519967.27014.bd")</f>
        <v>http://dx.doi.org/10.1249/01.mss.0000519967.27014.bd</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5382</v>
      </c>
      <c r="BT522" s="1" t="str">
        <f>HYPERLINK("https%3A%2F%2Fwww.webofscience.com%2Fwos%2Fwoscc%2Ffull-record%2FWOS:000415216000740","View Full Record in Web of Science")</f>
        <v>View Full Record in Web of Science</v>
      </c>
    </row>
    <row r="523" ht="12.75" customHeight="1">
      <c r="A523" s="1" t="s">
        <v>72</v>
      </c>
      <c r="B523" s="1" t="s">
        <v>5383</v>
      </c>
      <c r="C523" s="1" t="s">
        <v>74</v>
      </c>
      <c r="D523" s="1" t="s">
        <v>74</v>
      </c>
      <c r="E523" s="1" t="s">
        <v>74</v>
      </c>
      <c r="F523" s="1" t="s">
        <v>5384</v>
      </c>
      <c r="G523" s="1" t="s">
        <v>74</v>
      </c>
      <c r="H523" s="1" t="s">
        <v>74</v>
      </c>
      <c r="I523" s="1" t="s">
        <v>5385</v>
      </c>
      <c r="J523" s="1" t="s">
        <v>5386</v>
      </c>
      <c r="K523" s="1" t="s">
        <v>74</v>
      </c>
      <c r="L523" s="1" t="s">
        <v>74</v>
      </c>
      <c r="M523" s="1" t="s">
        <v>74</v>
      </c>
      <c r="N523" s="1" t="s">
        <v>74</v>
      </c>
      <c r="O523" s="1" t="s">
        <v>74</v>
      </c>
      <c r="P523" s="1" t="s">
        <v>74</v>
      </c>
      <c r="Q523" s="1" t="s">
        <v>74</v>
      </c>
      <c r="R523" s="1" t="s">
        <v>74</v>
      </c>
      <c r="S523" s="1" t="s">
        <v>74</v>
      </c>
      <c r="T523" s="1" t="s">
        <v>74</v>
      </c>
      <c r="U523" s="1" t="s">
        <v>74</v>
      </c>
      <c r="V523" s="1" t="s">
        <v>5387</v>
      </c>
      <c r="W523" s="1" t="s">
        <v>74</v>
      </c>
      <c r="X523" s="1" t="s">
        <v>74</v>
      </c>
      <c r="Y523" s="1" t="s">
        <v>74</v>
      </c>
      <c r="Z523" s="1" t="s">
        <v>74</v>
      </c>
      <c r="AA523" s="1" t="s">
        <v>5388</v>
      </c>
      <c r="AB523" s="1" t="s">
        <v>5389</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5390</v>
      </c>
      <c r="AP523" s="1" t="s">
        <v>5391</v>
      </c>
      <c r="AQ523" s="1" t="s">
        <v>74</v>
      </c>
      <c r="AR523" s="1" t="s">
        <v>74</v>
      </c>
      <c r="AS523" s="1" t="s">
        <v>74</v>
      </c>
      <c r="AT523" s="1" t="s">
        <v>308</v>
      </c>
      <c r="AU523" s="1">
        <v>2016.0</v>
      </c>
      <c r="AV523" s="1">
        <v>28.0</v>
      </c>
      <c r="AW523" s="1">
        <v>4.0</v>
      </c>
      <c r="AX523" s="1" t="s">
        <v>74</v>
      </c>
      <c r="AY523" s="1" t="s">
        <v>74</v>
      </c>
      <c r="AZ523" s="1" t="s">
        <v>74</v>
      </c>
      <c r="BA523" s="1" t="s">
        <v>74</v>
      </c>
      <c r="BB523" s="1" t="s">
        <v>5392</v>
      </c>
      <c r="BC523" s="1" t="s">
        <v>5393</v>
      </c>
      <c r="BD523" s="1" t="s">
        <v>74</v>
      </c>
      <c r="BE523" s="1" t="s">
        <v>5394</v>
      </c>
      <c r="BF523" s="2" t="str">
        <f>HYPERLINK("http://dx.doi.org/10.1037/pas0000143","http://dx.doi.org/10.1037/pas0000143")</f>
        <v>http://dx.doi.org/10.1037/pas0000143</v>
      </c>
      <c r="BG523" s="1" t="s">
        <v>74</v>
      </c>
      <c r="BH523" s="1" t="s">
        <v>74</v>
      </c>
      <c r="BI523" s="1" t="s">
        <v>74</v>
      </c>
      <c r="BJ523" s="1" t="s">
        <v>74</v>
      </c>
      <c r="BK523" s="1" t="s">
        <v>74</v>
      </c>
      <c r="BL523" s="1" t="s">
        <v>74</v>
      </c>
      <c r="BM523" s="1" t="s">
        <v>74</v>
      </c>
      <c r="BN523" s="1">
        <v>2.6389598E7</v>
      </c>
      <c r="BO523" s="1" t="s">
        <v>74</v>
      </c>
      <c r="BP523" s="1" t="s">
        <v>74</v>
      </c>
      <c r="BQ523" s="1" t="s">
        <v>74</v>
      </c>
      <c r="BR523" s="1" t="s">
        <v>74</v>
      </c>
      <c r="BS523" s="1" t="s">
        <v>5395</v>
      </c>
      <c r="BT523" s="1" t="str">
        <f>HYPERLINK("https%3A%2F%2Fwww.webofscience.com%2Fwos%2Fwoscc%2Ffull-record%2FWOS:000372968600001","View Full Record in Web of Science")</f>
        <v>View Full Record in Web of Science</v>
      </c>
    </row>
    <row r="524" ht="12.75" customHeight="1">
      <c r="A524" s="1" t="s">
        <v>72</v>
      </c>
      <c r="B524" s="1" t="s">
        <v>5396</v>
      </c>
      <c r="C524" s="1" t="s">
        <v>74</v>
      </c>
      <c r="D524" s="1" t="s">
        <v>74</v>
      </c>
      <c r="E524" s="1" t="s">
        <v>74</v>
      </c>
      <c r="F524" s="1" t="s">
        <v>5397</v>
      </c>
      <c r="G524" s="1" t="s">
        <v>74</v>
      </c>
      <c r="H524" s="1" t="s">
        <v>74</v>
      </c>
      <c r="I524" s="1" t="s">
        <v>5398</v>
      </c>
      <c r="J524" s="1" t="s">
        <v>958</v>
      </c>
      <c r="K524" s="1" t="s">
        <v>74</v>
      </c>
      <c r="L524" s="1" t="s">
        <v>74</v>
      </c>
      <c r="M524" s="1" t="s">
        <v>74</v>
      </c>
      <c r="N524" s="1" t="s">
        <v>74</v>
      </c>
      <c r="O524" s="1" t="s">
        <v>74</v>
      </c>
      <c r="P524" s="1" t="s">
        <v>74</v>
      </c>
      <c r="Q524" s="1" t="s">
        <v>74</v>
      </c>
      <c r="R524" s="1" t="s">
        <v>74</v>
      </c>
      <c r="S524" s="1" t="s">
        <v>74</v>
      </c>
      <c r="T524" s="1" t="s">
        <v>74</v>
      </c>
      <c r="U524" s="1" t="s">
        <v>74</v>
      </c>
      <c r="V524" s="1" t="s">
        <v>5399</v>
      </c>
      <c r="W524" s="1" t="s">
        <v>74</v>
      </c>
      <c r="X524" s="1" t="s">
        <v>74</v>
      </c>
      <c r="Y524" s="1" t="s">
        <v>74</v>
      </c>
      <c r="Z524" s="1" t="s">
        <v>74</v>
      </c>
      <c r="AA524" s="1" t="s">
        <v>5400</v>
      </c>
      <c r="AB524" s="1" t="s">
        <v>5401</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962</v>
      </c>
      <c r="AP524" s="1" t="s">
        <v>5042</v>
      </c>
      <c r="AQ524" s="1" t="s">
        <v>74</v>
      </c>
      <c r="AR524" s="1" t="s">
        <v>74</v>
      </c>
      <c r="AS524" s="1" t="s">
        <v>74</v>
      </c>
      <c r="AT524" s="1" t="s">
        <v>5402</v>
      </c>
      <c r="AU524" s="1">
        <v>2014.0</v>
      </c>
      <c r="AV524" s="1">
        <v>49.0</v>
      </c>
      <c r="AW524" s="1">
        <v>7.0</v>
      </c>
      <c r="AX524" s="1" t="s">
        <v>74</v>
      </c>
      <c r="AY524" s="1" t="s">
        <v>74</v>
      </c>
      <c r="AZ524" s="1" t="s">
        <v>74</v>
      </c>
      <c r="BA524" s="1" t="s">
        <v>74</v>
      </c>
      <c r="BB524" s="1">
        <v>857.0</v>
      </c>
      <c r="BC524" s="1">
        <v>862.0</v>
      </c>
      <c r="BD524" s="1" t="s">
        <v>74</v>
      </c>
      <c r="BE524" s="1" t="s">
        <v>5403</v>
      </c>
      <c r="BF524" s="2" t="str">
        <f>HYPERLINK("http://dx.doi.org/10.1080/10934529.2014.882682","http://dx.doi.org/10.1080/10934529.2014.882682")</f>
        <v>http://dx.doi.org/10.1080/10934529.2014.882682</v>
      </c>
      <c r="BG524" s="1" t="s">
        <v>74</v>
      </c>
      <c r="BH524" s="1" t="s">
        <v>74</v>
      </c>
      <c r="BI524" s="1" t="s">
        <v>74</v>
      </c>
      <c r="BJ524" s="1" t="s">
        <v>74</v>
      </c>
      <c r="BK524" s="1" t="s">
        <v>74</v>
      </c>
      <c r="BL524" s="1" t="s">
        <v>74</v>
      </c>
      <c r="BM524" s="1" t="s">
        <v>74</v>
      </c>
      <c r="BN524" s="1">
        <v>2.4679094E7</v>
      </c>
      <c r="BO524" s="1" t="s">
        <v>74</v>
      </c>
      <c r="BP524" s="1" t="s">
        <v>74</v>
      </c>
      <c r="BQ524" s="1" t="s">
        <v>74</v>
      </c>
      <c r="BR524" s="1" t="s">
        <v>74</v>
      </c>
      <c r="BS524" s="1" t="s">
        <v>5404</v>
      </c>
      <c r="BT524" s="1" t="str">
        <f>HYPERLINK("https%3A%2F%2Fwww.webofscience.com%2Fwos%2Fwoscc%2Ffull-record%2FWOS:000334068600013","View Full Record in Web of Science")</f>
        <v>View Full Record in Web of Science</v>
      </c>
    </row>
    <row r="525" ht="12.75" customHeight="1">
      <c r="A525" s="1" t="s">
        <v>1844</v>
      </c>
      <c r="B525" s="1" t="s">
        <v>5405</v>
      </c>
      <c r="C525" s="1" t="s">
        <v>74</v>
      </c>
      <c r="D525" s="1" t="s">
        <v>5406</v>
      </c>
      <c r="E525" s="1" t="s">
        <v>74</v>
      </c>
      <c r="F525" s="1" t="s">
        <v>5407</v>
      </c>
      <c r="G525" s="1" t="s">
        <v>74</v>
      </c>
      <c r="H525" s="1" t="s">
        <v>74</v>
      </c>
      <c r="I525" s="1" t="s">
        <v>5408</v>
      </c>
      <c r="J525" s="1" t="s">
        <v>5409</v>
      </c>
      <c r="K525" s="1" t="s">
        <v>5410</v>
      </c>
      <c r="L525" s="1" t="s">
        <v>74</v>
      </c>
      <c r="M525" s="1" t="s">
        <v>74</v>
      </c>
      <c r="N525" s="1" t="s">
        <v>74</v>
      </c>
      <c r="O525" s="1" t="s">
        <v>74</v>
      </c>
      <c r="P525" s="1" t="s">
        <v>74</v>
      </c>
      <c r="Q525" s="1" t="s">
        <v>74</v>
      </c>
      <c r="R525" s="1" t="s">
        <v>74</v>
      </c>
      <c r="S525" s="1" t="s">
        <v>74</v>
      </c>
      <c r="T525" s="1" t="s">
        <v>74</v>
      </c>
      <c r="U525" s="1" t="s">
        <v>74</v>
      </c>
      <c r="V525" s="1" t="s">
        <v>5411</v>
      </c>
      <c r="W525" s="1" t="s">
        <v>74</v>
      </c>
      <c r="X525" s="1" t="s">
        <v>74</v>
      </c>
      <c r="Y525" s="1" t="s">
        <v>74</v>
      </c>
      <c r="Z525" s="1" t="s">
        <v>74</v>
      </c>
      <c r="AA525" s="1" t="s">
        <v>5412</v>
      </c>
      <c r="AB525" s="1" t="s">
        <v>5413</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74</v>
      </c>
      <c r="AP525" s="1" t="s">
        <v>74</v>
      </c>
      <c r="AQ525" s="1" t="s">
        <v>5414</v>
      </c>
      <c r="AR525" s="1" t="s">
        <v>74</v>
      </c>
      <c r="AS525" s="1" t="s">
        <v>74</v>
      </c>
      <c r="AT525" s="1" t="s">
        <v>74</v>
      </c>
      <c r="AU525" s="1">
        <v>2011.0</v>
      </c>
      <c r="AV525" s="1">
        <v>3.0</v>
      </c>
      <c r="AW525" s="1" t="s">
        <v>74</v>
      </c>
      <c r="AX525" s="1" t="s">
        <v>74</v>
      </c>
      <c r="AY525" s="1" t="s">
        <v>74</v>
      </c>
      <c r="AZ525" s="1" t="s">
        <v>74</v>
      </c>
      <c r="BA525" s="1" t="s">
        <v>74</v>
      </c>
      <c r="BB525" s="1">
        <v>201.0</v>
      </c>
      <c r="BC525" s="1">
        <v>210.0</v>
      </c>
      <c r="BD525" s="1" t="s">
        <v>74</v>
      </c>
      <c r="BE525" s="1" t="s">
        <v>5415</v>
      </c>
      <c r="BF525" s="2" t="str">
        <f>HYPERLINK("http://dx.doi.org/10.1007/978-94-007-0501-2_11","http://dx.doi.org/10.1007/978-94-007-0501-2_11")</f>
        <v>http://dx.doi.org/10.1007/978-94-007-0501-2_11</v>
      </c>
      <c r="BG525" s="1" t="s">
        <v>5416</v>
      </c>
      <c r="BH525" s="1" t="s">
        <v>74</v>
      </c>
      <c r="BI525" s="1" t="s">
        <v>74</v>
      </c>
      <c r="BJ525" s="1" t="s">
        <v>74</v>
      </c>
      <c r="BK525" s="1" t="s">
        <v>74</v>
      </c>
      <c r="BL525" s="1" t="s">
        <v>74</v>
      </c>
      <c r="BM525" s="1" t="s">
        <v>74</v>
      </c>
      <c r="BN525" s="1" t="s">
        <v>74</v>
      </c>
      <c r="BO525" s="1" t="s">
        <v>74</v>
      </c>
      <c r="BP525" s="1" t="s">
        <v>74</v>
      </c>
      <c r="BQ525" s="1" t="s">
        <v>74</v>
      </c>
      <c r="BR525" s="1" t="s">
        <v>74</v>
      </c>
      <c r="BS525" s="1" t="s">
        <v>5417</v>
      </c>
      <c r="BT525" s="1" t="str">
        <f>HYPERLINK("https%3A%2F%2Fwww.webofscience.com%2Fwos%2Fwoscc%2Ffull-record%2FWOS:000300646400011","View Full Record in Web of Science")</f>
        <v>View Full Record in Web of Science</v>
      </c>
    </row>
    <row r="526" ht="12.75" customHeight="1">
      <c r="A526" s="1" t="s">
        <v>72</v>
      </c>
      <c r="B526" s="1" t="s">
        <v>5418</v>
      </c>
      <c r="C526" s="1" t="s">
        <v>74</v>
      </c>
      <c r="D526" s="1" t="s">
        <v>74</v>
      </c>
      <c r="E526" s="1" t="s">
        <v>74</v>
      </c>
      <c r="F526" s="1" t="s">
        <v>5418</v>
      </c>
      <c r="G526" s="1" t="s">
        <v>74</v>
      </c>
      <c r="H526" s="1" t="s">
        <v>74</v>
      </c>
      <c r="I526" s="1" t="s">
        <v>5419</v>
      </c>
      <c r="J526" s="1" t="s">
        <v>5420</v>
      </c>
      <c r="K526" s="1" t="s">
        <v>74</v>
      </c>
      <c r="L526" s="1" t="s">
        <v>74</v>
      </c>
      <c r="M526" s="1" t="s">
        <v>74</v>
      </c>
      <c r="N526" s="1" t="s">
        <v>74</v>
      </c>
      <c r="O526" s="1" t="s">
        <v>74</v>
      </c>
      <c r="P526" s="1" t="s">
        <v>74</v>
      </c>
      <c r="Q526" s="1" t="s">
        <v>74</v>
      </c>
      <c r="R526" s="1" t="s">
        <v>74</v>
      </c>
      <c r="S526" s="1" t="s">
        <v>74</v>
      </c>
      <c r="T526" s="1" t="s">
        <v>74</v>
      </c>
      <c r="U526" s="1" t="s">
        <v>74</v>
      </c>
      <c r="V526" s="1" t="s">
        <v>5421</v>
      </c>
      <c r="W526" s="1" t="s">
        <v>74</v>
      </c>
      <c r="X526" s="1" t="s">
        <v>74</v>
      </c>
      <c r="Y526" s="1" t="s">
        <v>74</v>
      </c>
      <c r="Z526" s="1" t="s">
        <v>74</v>
      </c>
      <c r="AA526" s="1" t="s">
        <v>74</v>
      </c>
      <c r="AB526" s="1" t="s">
        <v>5422</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5423</v>
      </c>
      <c r="AP526" s="1" t="s">
        <v>5424</v>
      </c>
      <c r="AQ526" s="1" t="s">
        <v>74</v>
      </c>
      <c r="AR526" s="1" t="s">
        <v>74</v>
      </c>
      <c r="AS526" s="1" t="s">
        <v>74</v>
      </c>
      <c r="AT526" s="1" t="s">
        <v>5425</v>
      </c>
      <c r="AU526" s="1">
        <v>2005.0</v>
      </c>
      <c r="AV526" s="1">
        <v>97.0</v>
      </c>
      <c r="AW526" s="1">
        <v>1.0</v>
      </c>
      <c r="AX526" s="1" t="s">
        <v>74</v>
      </c>
      <c r="AY526" s="1" t="s">
        <v>74</v>
      </c>
      <c r="AZ526" s="1" t="s">
        <v>74</v>
      </c>
      <c r="BA526" s="1" t="s">
        <v>74</v>
      </c>
      <c r="BB526" s="1">
        <v>97.0</v>
      </c>
      <c r="BC526" s="1">
        <v>100.0</v>
      </c>
      <c r="BD526" s="1" t="s">
        <v>74</v>
      </c>
      <c r="BE526" s="1" t="s">
        <v>5426</v>
      </c>
      <c r="BF526" s="2" t="str">
        <f>HYPERLINK("http://dx.doi.org/10.1016/j.jep.2004.10.027","http://dx.doi.org/10.1016/j.jep.2004.10.027")</f>
        <v>http://dx.doi.org/10.1016/j.jep.2004.10.027</v>
      </c>
      <c r="BG526" s="1" t="s">
        <v>74</v>
      </c>
      <c r="BH526" s="1" t="s">
        <v>74</v>
      </c>
      <c r="BI526" s="1" t="s">
        <v>74</v>
      </c>
      <c r="BJ526" s="1" t="s">
        <v>74</v>
      </c>
      <c r="BK526" s="1" t="s">
        <v>74</v>
      </c>
      <c r="BL526" s="1" t="s">
        <v>74</v>
      </c>
      <c r="BM526" s="1" t="s">
        <v>74</v>
      </c>
      <c r="BN526" s="1">
        <v>1.5652282E7</v>
      </c>
      <c r="BO526" s="1" t="s">
        <v>74</v>
      </c>
      <c r="BP526" s="1" t="s">
        <v>74</v>
      </c>
      <c r="BQ526" s="1" t="s">
        <v>74</v>
      </c>
      <c r="BR526" s="1" t="s">
        <v>74</v>
      </c>
      <c r="BS526" s="1" t="s">
        <v>5427</v>
      </c>
      <c r="BT526" s="1" t="str">
        <f>HYPERLINK("https%3A%2F%2Fwww.webofscience.com%2Fwos%2Fwoscc%2Ffull-record%2FWOS:000226779500016","View Full Record in Web of Science")</f>
        <v>View Full Record in Web of Science</v>
      </c>
    </row>
    <row r="527" ht="12.75" customHeight="1">
      <c r="A527" s="1" t="s">
        <v>72</v>
      </c>
      <c r="B527" s="1" t="s">
        <v>5428</v>
      </c>
      <c r="C527" s="1" t="s">
        <v>74</v>
      </c>
      <c r="D527" s="1" t="s">
        <v>74</v>
      </c>
      <c r="E527" s="1" t="s">
        <v>74</v>
      </c>
      <c r="F527" s="1" t="s">
        <v>5428</v>
      </c>
      <c r="G527" s="1" t="s">
        <v>74</v>
      </c>
      <c r="H527" s="1" t="s">
        <v>74</v>
      </c>
      <c r="I527" s="1" t="s">
        <v>5429</v>
      </c>
      <c r="J527" s="1" t="s">
        <v>4345</v>
      </c>
      <c r="K527" s="1" t="s">
        <v>74</v>
      </c>
      <c r="L527" s="1" t="s">
        <v>74</v>
      </c>
      <c r="M527" s="1" t="s">
        <v>74</v>
      </c>
      <c r="N527" s="1" t="s">
        <v>74</v>
      </c>
      <c r="O527" s="1" t="s">
        <v>74</v>
      </c>
      <c r="P527" s="1" t="s">
        <v>74</v>
      </c>
      <c r="Q527" s="1" t="s">
        <v>74</v>
      </c>
      <c r="R527" s="1" t="s">
        <v>74</v>
      </c>
      <c r="S527" s="1" t="s">
        <v>74</v>
      </c>
      <c r="T527" s="1" t="s">
        <v>74</v>
      </c>
      <c r="U527" s="1" t="s">
        <v>74</v>
      </c>
      <c r="V527" s="1" t="s">
        <v>5430</v>
      </c>
      <c r="W527" s="1" t="s">
        <v>74</v>
      </c>
      <c r="X527" s="1" t="s">
        <v>74</v>
      </c>
      <c r="Y527" s="1" t="s">
        <v>74</v>
      </c>
      <c r="Z527" s="1" t="s">
        <v>74</v>
      </c>
      <c r="AA527" s="1" t="s">
        <v>74</v>
      </c>
      <c r="AB527" s="1" t="s">
        <v>74</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4349</v>
      </c>
      <c r="AP527" s="1" t="s">
        <v>4350</v>
      </c>
      <c r="AQ527" s="1" t="s">
        <v>74</v>
      </c>
      <c r="AR527" s="1" t="s">
        <v>74</v>
      </c>
      <c r="AS527" s="1" t="s">
        <v>74</v>
      </c>
      <c r="AT527" s="1" t="s">
        <v>94</v>
      </c>
      <c r="AU527" s="1">
        <v>2004.0</v>
      </c>
      <c r="AV527" s="1">
        <v>47.0</v>
      </c>
      <c r="AW527" s="1" t="s">
        <v>5431</v>
      </c>
      <c r="AX527" s="1" t="s">
        <v>74</v>
      </c>
      <c r="AY527" s="1" t="s">
        <v>74</v>
      </c>
      <c r="AZ527" s="1" t="s">
        <v>74</v>
      </c>
      <c r="BA527" s="1" t="s">
        <v>74</v>
      </c>
      <c r="BB527" s="1">
        <v>2437.0</v>
      </c>
      <c r="BC527" s="1">
        <v>2447.0</v>
      </c>
      <c r="BD527" s="1" t="s">
        <v>74</v>
      </c>
      <c r="BE527" s="1" t="s">
        <v>5432</v>
      </c>
      <c r="BF527" s="2" t="str">
        <f>HYPERLINK("http://dx.doi.org/10.1016/j.ijheatmasstransfer.2003.11.014","http://dx.doi.org/10.1016/j.ijheatmasstransfer.2003.11.014")</f>
        <v>http://dx.doi.org/10.1016/j.ijheatmasstransfer.2003.11.014</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5433</v>
      </c>
      <c r="BT527" s="1" t="str">
        <f>HYPERLINK("https%3A%2F%2Fwww.webofscience.com%2Fwos%2Fwoscc%2Ffull-record%2FWOS:000220352300032","View Full Record in Web of Science")</f>
        <v>View Full Record in Web of Science</v>
      </c>
    </row>
    <row r="528" ht="12.75" customHeight="1">
      <c r="A528" s="1" t="s">
        <v>72</v>
      </c>
      <c r="B528" s="1" t="s">
        <v>5434</v>
      </c>
      <c r="C528" s="1" t="s">
        <v>74</v>
      </c>
      <c r="D528" s="1" t="s">
        <v>74</v>
      </c>
      <c r="E528" s="1" t="s">
        <v>74</v>
      </c>
      <c r="F528" s="1" t="s">
        <v>5434</v>
      </c>
      <c r="G528" s="1" t="s">
        <v>74</v>
      </c>
      <c r="H528" s="1" t="s">
        <v>74</v>
      </c>
      <c r="I528" s="1" t="s">
        <v>5435</v>
      </c>
      <c r="J528" s="1" t="s">
        <v>5436</v>
      </c>
      <c r="K528" s="1" t="s">
        <v>74</v>
      </c>
      <c r="L528" s="1" t="s">
        <v>74</v>
      </c>
      <c r="M528" s="1" t="s">
        <v>74</v>
      </c>
      <c r="N528" s="1" t="s">
        <v>74</v>
      </c>
      <c r="O528" s="1" t="s">
        <v>74</v>
      </c>
      <c r="P528" s="1" t="s">
        <v>74</v>
      </c>
      <c r="Q528" s="1" t="s">
        <v>74</v>
      </c>
      <c r="R528" s="1" t="s">
        <v>74</v>
      </c>
      <c r="S528" s="1" t="s">
        <v>74</v>
      </c>
      <c r="T528" s="1" t="s">
        <v>74</v>
      </c>
      <c r="U528" s="1" t="s">
        <v>74</v>
      </c>
      <c r="V528" s="1" t="s">
        <v>5437</v>
      </c>
      <c r="W528" s="1" t="s">
        <v>74</v>
      </c>
      <c r="X528" s="1" t="s">
        <v>74</v>
      </c>
      <c r="Y528" s="1" t="s">
        <v>74</v>
      </c>
      <c r="Z528" s="1" t="s">
        <v>74</v>
      </c>
      <c r="AA528" s="1" t="s">
        <v>5438</v>
      </c>
      <c r="AB528" s="1" t="s">
        <v>5439</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5440</v>
      </c>
      <c r="AP528" s="1" t="s">
        <v>74</v>
      </c>
      <c r="AQ528" s="1" t="s">
        <v>74</v>
      </c>
      <c r="AR528" s="1" t="s">
        <v>74</v>
      </c>
      <c r="AS528" s="1" t="s">
        <v>74</v>
      </c>
      <c r="AT528" s="1" t="s">
        <v>385</v>
      </c>
      <c r="AU528" s="1">
        <v>2003.0</v>
      </c>
      <c r="AV528" s="1">
        <v>45.0</v>
      </c>
      <c r="AW528" s="1">
        <v>6.0</v>
      </c>
      <c r="AX528" s="1" t="s">
        <v>74</v>
      </c>
      <c r="AY528" s="1" t="s">
        <v>74</v>
      </c>
      <c r="AZ528" s="1" t="s">
        <v>74</v>
      </c>
      <c r="BA528" s="1" t="s">
        <v>74</v>
      </c>
      <c r="BB528" s="1">
        <v>533.0</v>
      </c>
      <c r="BC528" s="1">
        <v>547.0</v>
      </c>
      <c r="BD528" s="1" t="s">
        <v>74</v>
      </c>
      <c r="BE528" s="1" t="s">
        <v>5441</v>
      </c>
      <c r="BF528" s="2" t="str">
        <f>HYPERLINK("http://dx.doi.org/10.2747/0020-6814.45.6.533","http://dx.doi.org/10.2747/0020-6814.45.6.533")</f>
        <v>http://dx.doi.org/10.2747/0020-6814.45.6.533</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5442</v>
      </c>
      <c r="BT528" s="1" t="str">
        <f>HYPERLINK("https%3A%2F%2Fwww.webofscience.com%2Fwos%2Fwoscc%2Ffull-record%2FWOS:000184726400003","View Full Record in Web of Science")</f>
        <v>View Full Record in Web of Science</v>
      </c>
    </row>
    <row r="529" ht="12.75" customHeight="1">
      <c r="A529" s="1" t="s">
        <v>72</v>
      </c>
      <c r="B529" s="1" t="s">
        <v>5443</v>
      </c>
      <c r="C529" s="1" t="s">
        <v>74</v>
      </c>
      <c r="D529" s="1" t="s">
        <v>74</v>
      </c>
      <c r="E529" s="1" t="s">
        <v>74</v>
      </c>
      <c r="F529" s="1" t="s">
        <v>5443</v>
      </c>
      <c r="G529" s="1" t="s">
        <v>74</v>
      </c>
      <c r="H529" s="1" t="s">
        <v>74</v>
      </c>
      <c r="I529" s="1" t="s">
        <v>5444</v>
      </c>
      <c r="J529" s="1" t="s">
        <v>5445</v>
      </c>
      <c r="K529" s="1" t="s">
        <v>74</v>
      </c>
      <c r="L529" s="1" t="s">
        <v>74</v>
      </c>
      <c r="M529" s="1" t="s">
        <v>74</v>
      </c>
      <c r="N529" s="1" t="s">
        <v>74</v>
      </c>
      <c r="O529" s="1" t="s">
        <v>74</v>
      </c>
      <c r="P529" s="1" t="s">
        <v>74</v>
      </c>
      <c r="Q529" s="1" t="s">
        <v>74</v>
      </c>
      <c r="R529" s="1" t="s">
        <v>74</v>
      </c>
      <c r="S529" s="1" t="s">
        <v>74</v>
      </c>
      <c r="T529" s="1" t="s">
        <v>74</v>
      </c>
      <c r="U529" s="1" t="s">
        <v>74</v>
      </c>
      <c r="V529" s="1" t="s">
        <v>5446</v>
      </c>
      <c r="W529" s="1" t="s">
        <v>74</v>
      </c>
      <c r="X529" s="1" t="s">
        <v>74</v>
      </c>
      <c r="Y529" s="1" t="s">
        <v>74</v>
      </c>
      <c r="Z529" s="1" t="s">
        <v>74</v>
      </c>
      <c r="AA529" s="1" t="s">
        <v>5447</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5448</v>
      </c>
      <c r="AP529" s="1" t="s">
        <v>74</v>
      </c>
      <c r="AQ529" s="1" t="s">
        <v>74</v>
      </c>
      <c r="AR529" s="1" t="s">
        <v>74</v>
      </c>
      <c r="AS529" s="1" t="s">
        <v>74</v>
      </c>
      <c r="AT529" s="1" t="s">
        <v>5449</v>
      </c>
      <c r="AU529" s="1">
        <v>2003.0</v>
      </c>
      <c r="AV529" s="1">
        <v>199.0</v>
      </c>
      <c r="AW529" s="1">
        <v>2.0</v>
      </c>
      <c r="AX529" s="1" t="s">
        <v>74</v>
      </c>
      <c r="AY529" s="1" t="s">
        <v>74</v>
      </c>
      <c r="AZ529" s="1" t="s">
        <v>74</v>
      </c>
      <c r="BA529" s="1" t="s">
        <v>74</v>
      </c>
      <c r="BB529" s="1">
        <v>452.0</v>
      </c>
      <c r="BC529" s="1">
        <v>467.0</v>
      </c>
      <c r="BD529" s="1" t="s">
        <v>5450</v>
      </c>
      <c r="BE529" s="1" t="s">
        <v>5451</v>
      </c>
      <c r="BF529" s="2" t="str">
        <f>HYPERLINK("http://dx.doi.org/10.1016/S0022-1236(02)00060-5","http://dx.doi.org/10.1016/S0022-1236(02)00060-5")</f>
        <v>http://dx.doi.org/10.1016/S0022-1236(02)00060-5</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5452</v>
      </c>
      <c r="BT529" s="1" t="str">
        <f>HYPERLINK("https%3A%2F%2Fwww.webofscience.com%2Fwos%2Fwoscc%2Ffull-record%2FWOS:000182440700008","View Full Record in Web of Science")</f>
        <v>View Full Record in Web of Science</v>
      </c>
    </row>
    <row r="530" ht="12.75" customHeight="1">
      <c r="A530" s="1" t="s">
        <v>72</v>
      </c>
      <c r="B530" s="1" t="s">
        <v>5453</v>
      </c>
      <c r="C530" s="1" t="s">
        <v>74</v>
      </c>
      <c r="D530" s="1" t="s">
        <v>74</v>
      </c>
      <c r="E530" s="1" t="s">
        <v>74</v>
      </c>
      <c r="F530" s="1" t="s">
        <v>5453</v>
      </c>
      <c r="G530" s="1" t="s">
        <v>74</v>
      </c>
      <c r="H530" s="1" t="s">
        <v>74</v>
      </c>
      <c r="I530" s="1" t="s">
        <v>5454</v>
      </c>
      <c r="J530" s="1" t="s">
        <v>5455</v>
      </c>
      <c r="K530" s="1" t="s">
        <v>74</v>
      </c>
      <c r="L530" s="1" t="s">
        <v>74</v>
      </c>
      <c r="M530" s="1" t="s">
        <v>74</v>
      </c>
      <c r="N530" s="1" t="s">
        <v>74</v>
      </c>
      <c r="O530" s="1" t="s">
        <v>74</v>
      </c>
      <c r="P530" s="1" t="s">
        <v>74</v>
      </c>
      <c r="Q530" s="1" t="s">
        <v>74</v>
      </c>
      <c r="R530" s="1" t="s">
        <v>74</v>
      </c>
      <c r="S530" s="1" t="s">
        <v>74</v>
      </c>
      <c r="T530" s="1" t="s">
        <v>74</v>
      </c>
      <c r="U530" s="1" t="s">
        <v>74</v>
      </c>
      <c r="V530" s="1" t="s">
        <v>5456</v>
      </c>
      <c r="W530" s="1" t="s">
        <v>74</v>
      </c>
      <c r="X530" s="1" t="s">
        <v>74</v>
      </c>
      <c r="Y530" s="1" t="s">
        <v>74</v>
      </c>
      <c r="Z530" s="1" t="s">
        <v>74</v>
      </c>
      <c r="AA530" s="1" t="s">
        <v>74</v>
      </c>
      <c r="AB530" s="1" t="s">
        <v>5457</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5458</v>
      </c>
      <c r="AP530" s="1" t="s">
        <v>5459</v>
      </c>
      <c r="AQ530" s="1" t="s">
        <v>74</v>
      </c>
      <c r="AR530" s="1" t="s">
        <v>74</v>
      </c>
      <c r="AS530" s="1" t="s">
        <v>74</v>
      </c>
      <c r="AT530" s="1" t="s">
        <v>74</v>
      </c>
      <c r="AU530" s="1">
        <v>1987.0</v>
      </c>
      <c r="AV530" s="1">
        <v>26.0</v>
      </c>
      <c r="AW530" s="1">
        <v>5.0</v>
      </c>
      <c r="AX530" s="1" t="s">
        <v>74</v>
      </c>
      <c r="AY530" s="1" t="s">
        <v>74</v>
      </c>
      <c r="AZ530" s="1" t="s">
        <v>74</v>
      </c>
      <c r="BA530" s="1" t="s">
        <v>74</v>
      </c>
      <c r="BB530" s="1">
        <v>1509.0</v>
      </c>
      <c r="BC530" s="1">
        <v>1511.0</v>
      </c>
      <c r="BD530" s="1" t="s">
        <v>74</v>
      </c>
      <c r="BE530" s="1" t="s">
        <v>5460</v>
      </c>
      <c r="BF530" s="2" t="str">
        <f>HYPERLINK("http://dx.doi.org/10.1016/S0031-9422(00)81846-4","http://dx.doi.org/10.1016/S0031-9422(00)81846-4")</f>
        <v>http://dx.doi.org/10.1016/S0031-9422(00)81846-4</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5461</v>
      </c>
      <c r="BT530" s="1" t="str">
        <f>HYPERLINK("https%3A%2F%2Fwww.webofscience.com%2Fwos%2Fwoscc%2Ffull-record%2FWOS:A1987H639600057","View Full Record in Web of Science")</f>
        <v>View Full Record in Web of Science</v>
      </c>
    </row>
    <row r="531" ht="12.75" customHeight="1">
      <c r="A531" s="1" t="s">
        <v>72</v>
      </c>
      <c r="B531" s="1" t="s">
        <v>5462</v>
      </c>
      <c r="C531" s="1" t="s">
        <v>74</v>
      </c>
      <c r="D531" s="1" t="s">
        <v>74</v>
      </c>
      <c r="E531" s="1" t="s">
        <v>74</v>
      </c>
      <c r="F531" s="1" t="s">
        <v>5463</v>
      </c>
      <c r="G531" s="1" t="s">
        <v>74</v>
      </c>
      <c r="H531" s="1" t="s">
        <v>74</v>
      </c>
      <c r="I531" s="1" t="s">
        <v>5464</v>
      </c>
      <c r="J531" s="1" t="s">
        <v>5465</v>
      </c>
      <c r="K531" s="1" t="s">
        <v>74</v>
      </c>
      <c r="L531" s="1" t="s">
        <v>74</v>
      </c>
      <c r="M531" s="1" t="s">
        <v>74</v>
      </c>
      <c r="N531" s="1" t="s">
        <v>74</v>
      </c>
      <c r="O531" s="1" t="s">
        <v>74</v>
      </c>
      <c r="P531" s="1" t="s">
        <v>74</v>
      </c>
      <c r="Q531" s="1" t="s">
        <v>74</v>
      </c>
      <c r="R531" s="1" t="s">
        <v>74</v>
      </c>
      <c r="S531" s="1" t="s">
        <v>74</v>
      </c>
      <c r="T531" s="1" t="s">
        <v>74</v>
      </c>
      <c r="U531" s="1" t="s">
        <v>74</v>
      </c>
      <c r="V531" s="1" t="s">
        <v>5466</v>
      </c>
      <c r="W531" s="1" t="s">
        <v>74</v>
      </c>
      <c r="X531" s="1" t="s">
        <v>74</v>
      </c>
      <c r="Y531" s="1" t="s">
        <v>74</v>
      </c>
      <c r="Z531" s="1" t="s">
        <v>74</v>
      </c>
      <c r="AA531" s="1" t="s">
        <v>5467</v>
      </c>
      <c r="AB531" s="1" t="s">
        <v>74</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5468</v>
      </c>
      <c r="AP531" s="1" t="s">
        <v>5469</v>
      </c>
      <c r="AQ531" s="1" t="s">
        <v>74</v>
      </c>
      <c r="AR531" s="1" t="s">
        <v>74</v>
      </c>
      <c r="AS531" s="1" t="s">
        <v>74</v>
      </c>
      <c r="AT531" s="1" t="s">
        <v>5470</v>
      </c>
      <c r="AU531" s="1">
        <v>2025.0</v>
      </c>
      <c r="AV531" s="1" t="s">
        <v>74</v>
      </c>
      <c r="AW531" s="1" t="s">
        <v>74</v>
      </c>
      <c r="AX531" s="1" t="s">
        <v>74</v>
      </c>
      <c r="AY531" s="1" t="s">
        <v>74</v>
      </c>
      <c r="AZ531" s="1" t="s">
        <v>74</v>
      </c>
      <c r="BA531" s="1" t="s">
        <v>74</v>
      </c>
      <c r="BB531" s="1" t="s">
        <v>74</v>
      </c>
      <c r="BC531" s="1" t="s">
        <v>74</v>
      </c>
      <c r="BD531" s="1" t="s">
        <v>74</v>
      </c>
      <c r="BE531" s="1" t="s">
        <v>5471</v>
      </c>
      <c r="BF531" s="2" t="str">
        <f>HYPERLINK("http://dx.doi.org/10.1021/acs.nanolett.4c06167","http://dx.doi.org/10.1021/acs.nanolett.4c06167")</f>
        <v>http://dx.doi.org/10.1021/acs.nanolett.4c06167</v>
      </c>
      <c r="BG531" s="1" t="s">
        <v>74</v>
      </c>
      <c r="BH531" s="1" t="s">
        <v>5472</v>
      </c>
      <c r="BI531" s="1" t="s">
        <v>74</v>
      </c>
      <c r="BJ531" s="1" t="s">
        <v>74</v>
      </c>
      <c r="BK531" s="1" t="s">
        <v>74</v>
      </c>
      <c r="BL531" s="1" t="s">
        <v>74</v>
      </c>
      <c r="BM531" s="1" t="s">
        <v>74</v>
      </c>
      <c r="BN531" s="1">
        <v>4.0243373E7</v>
      </c>
      <c r="BO531" s="1" t="s">
        <v>74</v>
      </c>
      <c r="BP531" s="1" t="s">
        <v>74</v>
      </c>
      <c r="BQ531" s="1" t="s">
        <v>74</v>
      </c>
      <c r="BR531" s="1" t="s">
        <v>74</v>
      </c>
      <c r="BS531" s="1" t="s">
        <v>5473</v>
      </c>
      <c r="BT531" s="1" t="str">
        <f>HYPERLINK("https%3A%2F%2Fwww.webofscience.com%2Fwos%2Fwoscc%2Ffull-record%2FWOS:001469178600001","View Full Record in Web of Science")</f>
        <v>View Full Record in Web of Science</v>
      </c>
    </row>
    <row r="532" ht="12.75" customHeight="1">
      <c r="A532" s="1" t="s">
        <v>72</v>
      </c>
      <c r="B532" s="1" t="s">
        <v>5474</v>
      </c>
      <c r="C532" s="1" t="s">
        <v>74</v>
      </c>
      <c r="D532" s="1" t="s">
        <v>74</v>
      </c>
      <c r="E532" s="1" t="s">
        <v>74</v>
      </c>
      <c r="F532" s="1" t="s">
        <v>5475</v>
      </c>
      <c r="G532" s="1" t="s">
        <v>74</v>
      </c>
      <c r="H532" s="1" t="s">
        <v>74</v>
      </c>
      <c r="I532" s="1" t="s">
        <v>5476</v>
      </c>
      <c r="J532" s="1" t="s">
        <v>1465</v>
      </c>
      <c r="K532" s="1" t="s">
        <v>74</v>
      </c>
      <c r="L532" s="1" t="s">
        <v>74</v>
      </c>
      <c r="M532" s="1" t="s">
        <v>74</v>
      </c>
      <c r="N532" s="1" t="s">
        <v>74</v>
      </c>
      <c r="O532" s="1" t="s">
        <v>74</v>
      </c>
      <c r="P532" s="1" t="s">
        <v>74</v>
      </c>
      <c r="Q532" s="1" t="s">
        <v>74</v>
      </c>
      <c r="R532" s="1" t="s">
        <v>74</v>
      </c>
      <c r="S532" s="1" t="s">
        <v>74</v>
      </c>
      <c r="T532" s="1" t="s">
        <v>74</v>
      </c>
      <c r="U532" s="1" t="s">
        <v>74</v>
      </c>
      <c r="V532" s="1" t="s">
        <v>5477</v>
      </c>
      <c r="W532" s="1" t="s">
        <v>74</v>
      </c>
      <c r="X532" s="1" t="s">
        <v>74</v>
      </c>
      <c r="Y532" s="1" t="s">
        <v>74</v>
      </c>
      <c r="Z532" s="1" t="s">
        <v>74</v>
      </c>
      <c r="AA532" s="1" t="s">
        <v>5478</v>
      </c>
      <c r="AB532" s="1" t="s">
        <v>5479</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1469</v>
      </c>
      <c r="AP532" s="1" t="s">
        <v>1470</v>
      </c>
      <c r="AQ532" s="1" t="s">
        <v>74</v>
      </c>
      <c r="AR532" s="1" t="s">
        <v>74</v>
      </c>
      <c r="AS532" s="1" t="s">
        <v>74</v>
      </c>
      <c r="AT532" s="1" t="s">
        <v>74</v>
      </c>
      <c r="AU532" s="1">
        <v>2025.0</v>
      </c>
      <c r="AV532" s="1">
        <v>48.0</v>
      </c>
      <c r="AW532" s="1">
        <v>1.0</v>
      </c>
      <c r="AX532" s="1" t="s">
        <v>74</v>
      </c>
      <c r="AY532" s="1" t="s">
        <v>74</v>
      </c>
      <c r="AZ532" s="1" t="s">
        <v>74</v>
      </c>
      <c r="BA532" s="1" t="s">
        <v>74</v>
      </c>
      <c r="BB532" s="1" t="s">
        <v>74</v>
      </c>
      <c r="BC532" s="1" t="s">
        <v>74</v>
      </c>
      <c r="BD532" s="1" t="s">
        <v>5480</v>
      </c>
      <c r="BE532" s="1" t="s">
        <v>5481</v>
      </c>
      <c r="BF532" s="2" t="str">
        <f>HYPERLINK("http://dx.doi.org/10.21577/0100-4042.20250005","http://dx.doi.org/10.21577/0100-4042.20250005")</f>
        <v>http://dx.doi.org/10.21577/0100-4042.20250005</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5482</v>
      </c>
      <c r="BT532" s="1" t="str">
        <f>HYPERLINK("https%3A%2F%2Fwww.webofscience.com%2Fwos%2Fwoscc%2Ffull-record%2FWOS:001240525700001","View Full Record in Web of Science")</f>
        <v>View Full Record in Web of Science</v>
      </c>
    </row>
    <row r="533" ht="12.75" customHeight="1">
      <c r="A533" s="1" t="s">
        <v>72</v>
      </c>
      <c r="B533" s="1" t="s">
        <v>5483</v>
      </c>
      <c r="C533" s="1" t="s">
        <v>74</v>
      </c>
      <c r="D533" s="1" t="s">
        <v>74</v>
      </c>
      <c r="E533" s="1" t="s">
        <v>74</v>
      </c>
      <c r="F533" s="1" t="s">
        <v>5484</v>
      </c>
      <c r="G533" s="1" t="s">
        <v>74</v>
      </c>
      <c r="H533" s="1" t="s">
        <v>74</v>
      </c>
      <c r="I533" s="1" t="s">
        <v>5485</v>
      </c>
      <c r="J533" s="1" t="s">
        <v>1558</v>
      </c>
      <c r="K533" s="1" t="s">
        <v>74</v>
      </c>
      <c r="L533" s="1" t="s">
        <v>74</v>
      </c>
      <c r="M533" s="1" t="s">
        <v>74</v>
      </c>
      <c r="N533" s="1" t="s">
        <v>74</v>
      </c>
      <c r="O533" s="1" t="s">
        <v>74</v>
      </c>
      <c r="P533" s="1" t="s">
        <v>74</v>
      </c>
      <c r="Q533" s="1" t="s">
        <v>74</v>
      </c>
      <c r="R533" s="1" t="s">
        <v>74</v>
      </c>
      <c r="S533" s="1" t="s">
        <v>74</v>
      </c>
      <c r="T533" s="1" t="s">
        <v>74</v>
      </c>
      <c r="U533" s="1" t="s">
        <v>74</v>
      </c>
      <c r="V533" s="1" t="s">
        <v>5486</v>
      </c>
      <c r="W533" s="1" t="s">
        <v>74</v>
      </c>
      <c r="X533" s="1" t="s">
        <v>74</v>
      </c>
      <c r="Y533" s="1" t="s">
        <v>74</v>
      </c>
      <c r="Z533" s="1" t="s">
        <v>74</v>
      </c>
      <c r="AA533" s="1" t="s">
        <v>5487</v>
      </c>
      <c r="AB533" s="1" t="s">
        <v>5488</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1562</v>
      </c>
      <c r="AP533" s="1" t="s">
        <v>1563</v>
      </c>
      <c r="AQ533" s="1" t="s">
        <v>74</v>
      </c>
      <c r="AR533" s="1" t="s">
        <v>74</v>
      </c>
      <c r="AS533" s="1" t="s">
        <v>74</v>
      </c>
      <c r="AT533" s="1" t="s">
        <v>5489</v>
      </c>
      <c r="AU533" s="1">
        <v>2024.0</v>
      </c>
      <c r="AV533" s="1">
        <v>413.0</v>
      </c>
      <c r="AW533" s="1" t="s">
        <v>74</v>
      </c>
      <c r="AX533" s="1" t="s">
        <v>74</v>
      </c>
      <c r="AY533" s="1" t="s">
        <v>74</v>
      </c>
      <c r="AZ533" s="1" t="s">
        <v>74</v>
      </c>
      <c r="BA533" s="1" t="s">
        <v>74</v>
      </c>
      <c r="BB533" s="1">
        <v>805.0</v>
      </c>
      <c r="BC533" s="1">
        <v>827.0</v>
      </c>
      <c r="BD533" s="1" t="s">
        <v>74</v>
      </c>
      <c r="BE533" s="1" t="s">
        <v>5490</v>
      </c>
      <c r="BF533" s="2" t="str">
        <f>HYPERLINK("http://dx.doi.org/10.1016/j.jde.2024.08.057","http://dx.doi.org/10.1016/j.jde.2024.08.057")</f>
        <v>http://dx.doi.org/10.1016/j.jde.2024.08.057</v>
      </c>
      <c r="BG533" s="1" t="s">
        <v>74</v>
      </c>
      <c r="BH533" s="1" t="s">
        <v>5491</v>
      </c>
      <c r="BI533" s="1" t="s">
        <v>74</v>
      </c>
      <c r="BJ533" s="1" t="s">
        <v>74</v>
      </c>
      <c r="BK533" s="1" t="s">
        <v>74</v>
      </c>
      <c r="BL533" s="1" t="s">
        <v>74</v>
      </c>
      <c r="BM533" s="1" t="s">
        <v>74</v>
      </c>
      <c r="BN533" s="1" t="s">
        <v>74</v>
      </c>
      <c r="BO533" s="1" t="s">
        <v>74</v>
      </c>
      <c r="BP533" s="1" t="s">
        <v>74</v>
      </c>
      <c r="BQ533" s="1" t="s">
        <v>74</v>
      </c>
      <c r="BR533" s="1" t="s">
        <v>74</v>
      </c>
      <c r="BS533" s="1" t="s">
        <v>5492</v>
      </c>
      <c r="BT533" s="1" t="str">
        <f>HYPERLINK("https%3A%2F%2Fwww.webofscience.com%2Fwos%2Fwoscc%2Ffull-record%2FWOS:001308773700001","View Full Record in Web of Science")</f>
        <v>View Full Record in Web of Science</v>
      </c>
    </row>
    <row r="534" ht="12.75" customHeight="1">
      <c r="A534" s="1" t="s">
        <v>154</v>
      </c>
      <c r="B534" s="1" t="s">
        <v>5493</v>
      </c>
      <c r="C534" s="1" t="s">
        <v>74</v>
      </c>
      <c r="D534" s="1" t="s">
        <v>5494</v>
      </c>
      <c r="E534" s="1" t="s">
        <v>74</v>
      </c>
      <c r="F534" s="1" t="s">
        <v>5495</v>
      </c>
      <c r="G534" s="1" t="s">
        <v>74</v>
      </c>
      <c r="H534" s="1" t="s">
        <v>74</v>
      </c>
      <c r="I534" s="1" t="s">
        <v>5496</v>
      </c>
      <c r="J534" s="1" t="s">
        <v>5497</v>
      </c>
      <c r="K534" s="1" t="s">
        <v>5498</v>
      </c>
      <c r="L534" s="1" t="s">
        <v>74</v>
      </c>
      <c r="M534" s="1" t="s">
        <v>74</v>
      </c>
      <c r="N534" s="1" t="s">
        <v>74</v>
      </c>
      <c r="O534" s="1" t="s">
        <v>5499</v>
      </c>
      <c r="P534" s="1" t="s">
        <v>5500</v>
      </c>
      <c r="Q534" s="1" t="s">
        <v>5501</v>
      </c>
      <c r="R534" s="1" t="s">
        <v>74</v>
      </c>
      <c r="S534" s="1" t="s">
        <v>5502</v>
      </c>
      <c r="T534" s="1" t="s">
        <v>74</v>
      </c>
      <c r="U534" s="1" t="s">
        <v>74</v>
      </c>
      <c r="V534" s="1" t="s">
        <v>5503</v>
      </c>
      <c r="W534" s="1" t="s">
        <v>74</v>
      </c>
      <c r="X534" s="1" t="s">
        <v>74</v>
      </c>
      <c r="Y534" s="1" t="s">
        <v>74</v>
      </c>
      <c r="Z534" s="1" t="s">
        <v>74</v>
      </c>
      <c r="AA534" s="1" t="s">
        <v>74</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5504</v>
      </c>
      <c r="AP534" s="1" t="s">
        <v>5505</v>
      </c>
      <c r="AQ534" s="1" t="s">
        <v>5506</v>
      </c>
      <c r="AR534" s="1" t="s">
        <v>74</v>
      </c>
      <c r="AS534" s="1" t="s">
        <v>74</v>
      </c>
      <c r="AT534" s="1" t="s">
        <v>74</v>
      </c>
      <c r="AU534" s="1">
        <v>2024.0</v>
      </c>
      <c r="AV534" s="1">
        <v>730.0</v>
      </c>
      <c r="AW534" s="1" t="s">
        <v>74</v>
      </c>
      <c r="AX534" s="1" t="s">
        <v>74</v>
      </c>
      <c r="AY534" s="1" t="s">
        <v>74</v>
      </c>
      <c r="AZ534" s="1" t="s">
        <v>74</v>
      </c>
      <c r="BA534" s="1" t="s">
        <v>74</v>
      </c>
      <c r="BB534" s="1">
        <v>348.0</v>
      </c>
      <c r="BC534" s="1">
        <v>363.0</v>
      </c>
      <c r="BD534" s="1" t="s">
        <v>74</v>
      </c>
      <c r="BE534" s="1" t="s">
        <v>5507</v>
      </c>
      <c r="BF534" s="2" t="str">
        <f>HYPERLINK("http://dx.doi.org/10.1007/978-3-031-71629-4_24","http://dx.doi.org/10.1007/978-3-031-71629-4_24")</f>
        <v>http://dx.doi.org/10.1007/978-3-031-71629-4_24</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5508</v>
      </c>
      <c r="BT534" s="1" t="str">
        <f>HYPERLINK("https%3A%2F%2Fwww.webofscience.com%2Fwos%2Fwoscc%2Ffull-record%2FWOS:001356134200024","View Full Record in Web of Science")</f>
        <v>View Full Record in Web of Science</v>
      </c>
    </row>
    <row r="535" ht="12.75" customHeight="1">
      <c r="A535" s="1" t="s">
        <v>72</v>
      </c>
      <c r="B535" s="1" t="s">
        <v>5509</v>
      </c>
      <c r="C535" s="1" t="s">
        <v>74</v>
      </c>
      <c r="D535" s="1" t="s">
        <v>74</v>
      </c>
      <c r="E535" s="1" t="s">
        <v>74</v>
      </c>
      <c r="F535" s="1" t="s">
        <v>5510</v>
      </c>
      <c r="G535" s="1" t="s">
        <v>74</v>
      </c>
      <c r="H535" s="1" t="s">
        <v>74</v>
      </c>
      <c r="I535" s="1" t="s">
        <v>5511</v>
      </c>
      <c r="J535" s="1" t="s">
        <v>2568</v>
      </c>
      <c r="K535" s="1" t="s">
        <v>74</v>
      </c>
      <c r="L535" s="1" t="s">
        <v>74</v>
      </c>
      <c r="M535" s="1" t="s">
        <v>74</v>
      </c>
      <c r="N535" s="1" t="s">
        <v>74</v>
      </c>
      <c r="O535" s="1" t="s">
        <v>74</v>
      </c>
      <c r="P535" s="1" t="s">
        <v>74</v>
      </c>
      <c r="Q535" s="1" t="s">
        <v>74</v>
      </c>
      <c r="R535" s="1" t="s">
        <v>74</v>
      </c>
      <c r="S535" s="1" t="s">
        <v>74</v>
      </c>
      <c r="T535" s="1" t="s">
        <v>74</v>
      </c>
      <c r="U535" s="1" t="s">
        <v>74</v>
      </c>
      <c r="V535" s="1" t="s">
        <v>5512</v>
      </c>
      <c r="W535" s="1" t="s">
        <v>74</v>
      </c>
      <c r="X535" s="1" t="s">
        <v>74</v>
      </c>
      <c r="Y535" s="1" t="s">
        <v>74</v>
      </c>
      <c r="Z535" s="1" t="s">
        <v>74</v>
      </c>
      <c r="AA535" s="1" t="s">
        <v>5513</v>
      </c>
      <c r="AB535" s="1" t="s">
        <v>5514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74</v>
      </c>
      <c r="AP535" s="1" t="s">
        <v>2572</v>
      </c>
      <c r="AQ535" s="1" t="s">
        <v>74</v>
      </c>
      <c r="AR535" s="1" t="s">
        <v>74</v>
      </c>
      <c r="AS535" s="1" t="s">
        <v>74</v>
      </c>
      <c r="AT535" s="1" t="s">
        <v>5515</v>
      </c>
      <c r="AU535" s="1">
        <v>2023.0</v>
      </c>
      <c r="AV535" s="1">
        <v>23.0</v>
      </c>
      <c r="AW535" s="1">
        <v>1.0</v>
      </c>
      <c r="AX535" s="1" t="s">
        <v>74</v>
      </c>
      <c r="AY535" s="1" t="s">
        <v>74</v>
      </c>
      <c r="AZ535" s="1" t="s">
        <v>74</v>
      </c>
      <c r="BA535" s="1" t="s">
        <v>74</v>
      </c>
      <c r="BB535" s="1" t="s">
        <v>74</v>
      </c>
      <c r="BC535" s="1" t="s">
        <v>74</v>
      </c>
      <c r="BD535" s="1">
        <v>677.0</v>
      </c>
      <c r="BE535" s="1" t="s">
        <v>5516</v>
      </c>
      <c r="BF535" s="2" t="str">
        <f>HYPERLINK("http://dx.doi.org/10.1186/s12889-023-15489-y","http://dx.doi.org/10.1186/s12889-023-15489-y")</f>
        <v>http://dx.doi.org/10.1186/s12889-023-15489-y</v>
      </c>
      <c r="BG535" s="1" t="s">
        <v>74</v>
      </c>
      <c r="BH535" s="1" t="s">
        <v>74</v>
      </c>
      <c r="BI535" s="1" t="s">
        <v>74</v>
      </c>
      <c r="BJ535" s="1" t="s">
        <v>74</v>
      </c>
      <c r="BK535" s="1" t="s">
        <v>74</v>
      </c>
      <c r="BL535" s="1" t="s">
        <v>74</v>
      </c>
      <c r="BM535" s="1" t="s">
        <v>74</v>
      </c>
      <c r="BN535" s="1">
        <v>3.7041528E7</v>
      </c>
      <c r="BO535" s="1" t="s">
        <v>74</v>
      </c>
      <c r="BP535" s="1" t="s">
        <v>74</v>
      </c>
      <c r="BQ535" s="1" t="s">
        <v>74</v>
      </c>
      <c r="BR535" s="1" t="s">
        <v>74</v>
      </c>
      <c r="BS535" s="1" t="s">
        <v>5517</v>
      </c>
      <c r="BT535" s="1" t="str">
        <f>HYPERLINK("https%3A%2F%2Fwww.webofscience.com%2Fwos%2Fwoscc%2Ffull-record%2FWOS:001189240700001","View Full Record in Web of Science")</f>
        <v>View Full Record in Web of Science</v>
      </c>
    </row>
    <row r="536" ht="12.75" customHeight="1">
      <c r="A536" s="1" t="s">
        <v>72</v>
      </c>
      <c r="B536" s="1" t="s">
        <v>5518</v>
      </c>
      <c r="C536" s="1" t="s">
        <v>74</v>
      </c>
      <c r="D536" s="1" t="s">
        <v>74</v>
      </c>
      <c r="E536" s="1" t="s">
        <v>74</v>
      </c>
      <c r="F536" s="1" t="s">
        <v>5519</v>
      </c>
      <c r="G536" s="1" t="s">
        <v>74</v>
      </c>
      <c r="H536" s="1" t="s">
        <v>74</v>
      </c>
      <c r="I536" s="1" t="s">
        <v>5520</v>
      </c>
      <c r="J536" s="1" t="s">
        <v>292</v>
      </c>
      <c r="K536" s="1" t="s">
        <v>74</v>
      </c>
      <c r="L536" s="1" t="s">
        <v>74</v>
      </c>
      <c r="M536" s="1" t="s">
        <v>74</v>
      </c>
      <c r="N536" s="1" t="s">
        <v>74</v>
      </c>
      <c r="O536" s="1" t="s">
        <v>74</v>
      </c>
      <c r="P536" s="1" t="s">
        <v>74</v>
      </c>
      <c r="Q536" s="1" t="s">
        <v>74</v>
      </c>
      <c r="R536" s="1" t="s">
        <v>74</v>
      </c>
      <c r="S536" s="1" t="s">
        <v>74</v>
      </c>
      <c r="T536" s="1" t="s">
        <v>74</v>
      </c>
      <c r="U536" s="1" t="s">
        <v>74</v>
      </c>
      <c r="V536" s="1" t="s">
        <v>5521</v>
      </c>
      <c r="W536" s="1" t="s">
        <v>74</v>
      </c>
      <c r="X536" s="1" t="s">
        <v>74</v>
      </c>
      <c r="Y536" s="1" t="s">
        <v>74</v>
      </c>
      <c r="Z536" s="1" t="s">
        <v>74</v>
      </c>
      <c r="AA536" s="1" t="s">
        <v>5522</v>
      </c>
      <c r="AB536" s="1" t="s">
        <v>5523</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296</v>
      </c>
      <c r="AP536" s="1" t="s">
        <v>74</v>
      </c>
      <c r="AQ536" s="1" t="s">
        <v>74</v>
      </c>
      <c r="AR536" s="1" t="s">
        <v>74</v>
      </c>
      <c r="AS536" s="1" t="s">
        <v>74</v>
      </c>
      <c r="AT536" s="1" t="s">
        <v>5524</v>
      </c>
      <c r="AU536" s="1">
        <v>2022.0</v>
      </c>
      <c r="AV536" s="1">
        <v>12.0</v>
      </c>
      <c r="AW536" s="1">
        <v>1.0</v>
      </c>
      <c r="AX536" s="1" t="s">
        <v>74</v>
      </c>
      <c r="AY536" s="1" t="s">
        <v>74</v>
      </c>
      <c r="AZ536" s="1" t="s">
        <v>74</v>
      </c>
      <c r="BA536" s="1" t="s">
        <v>74</v>
      </c>
      <c r="BB536" s="1" t="s">
        <v>74</v>
      </c>
      <c r="BC536" s="1" t="s">
        <v>74</v>
      </c>
      <c r="BD536" s="1">
        <v>5976.0</v>
      </c>
      <c r="BE536" s="1" t="s">
        <v>5525</v>
      </c>
      <c r="BF536" s="2" t="str">
        <f>HYPERLINK("http://dx.doi.org/10.1038/s41598-022-10048-8","http://dx.doi.org/10.1038/s41598-022-10048-8")</f>
        <v>http://dx.doi.org/10.1038/s41598-022-10048-8</v>
      </c>
      <c r="BG536" s="1" t="s">
        <v>74</v>
      </c>
      <c r="BH536" s="1" t="s">
        <v>74</v>
      </c>
      <c r="BI536" s="1" t="s">
        <v>74</v>
      </c>
      <c r="BJ536" s="1" t="s">
        <v>74</v>
      </c>
      <c r="BK536" s="1" t="s">
        <v>74</v>
      </c>
      <c r="BL536" s="1" t="s">
        <v>74</v>
      </c>
      <c r="BM536" s="1" t="s">
        <v>74</v>
      </c>
      <c r="BN536" s="1">
        <v>3.5396494E7</v>
      </c>
      <c r="BO536" s="1" t="s">
        <v>74</v>
      </c>
      <c r="BP536" s="1" t="s">
        <v>74</v>
      </c>
      <c r="BQ536" s="1" t="s">
        <v>74</v>
      </c>
      <c r="BR536" s="1" t="s">
        <v>74</v>
      </c>
      <c r="BS536" s="1" t="s">
        <v>5526</v>
      </c>
      <c r="BT536" s="1" t="str">
        <f>HYPERLINK("https%3A%2F%2Fwww.webofscience.com%2Fwos%2Fwoscc%2Ffull-record%2FWOS:000781895600010","View Full Record in Web of Science")</f>
        <v>View Full Record in Web of Science</v>
      </c>
    </row>
    <row r="537" ht="12.75" customHeight="1">
      <c r="A537" s="1" t="s">
        <v>72</v>
      </c>
      <c r="B537" s="1" t="s">
        <v>5527</v>
      </c>
      <c r="C537" s="1" t="s">
        <v>74</v>
      </c>
      <c r="D537" s="1" t="s">
        <v>74</v>
      </c>
      <c r="E537" s="1" t="s">
        <v>74</v>
      </c>
      <c r="F537" s="1" t="s">
        <v>5528</v>
      </c>
      <c r="G537" s="1" t="s">
        <v>74</v>
      </c>
      <c r="H537" s="1" t="s">
        <v>74</v>
      </c>
      <c r="I537" s="1" t="s">
        <v>5529</v>
      </c>
      <c r="J537" s="1" t="s">
        <v>1108</v>
      </c>
      <c r="K537" s="1" t="s">
        <v>74</v>
      </c>
      <c r="L537" s="1" t="s">
        <v>74</v>
      </c>
      <c r="M537" s="1" t="s">
        <v>74</v>
      </c>
      <c r="N537" s="1" t="s">
        <v>74</v>
      </c>
      <c r="O537" s="1" t="s">
        <v>74</v>
      </c>
      <c r="P537" s="1" t="s">
        <v>74</v>
      </c>
      <c r="Q537" s="1" t="s">
        <v>74</v>
      </c>
      <c r="R537" s="1" t="s">
        <v>74</v>
      </c>
      <c r="S537" s="1" t="s">
        <v>74</v>
      </c>
      <c r="T537" s="1" t="s">
        <v>74</v>
      </c>
      <c r="U537" s="1" t="s">
        <v>74</v>
      </c>
      <c r="V537" s="1" t="s">
        <v>5530</v>
      </c>
      <c r="W537" s="1" t="s">
        <v>74</v>
      </c>
      <c r="X537" s="1" t="s">
        <v>74</v>
      </c>
      <c r="Y537" s="1" t="s">
        <v>74</v>
      </c>
      <c r="Z537" s="1" t="s">
        <v>74</v>
      </c>
      <c r="AA537" s="1" t="s">
        <v>5531</v>
      </c>
      <c r="AB537" s="1" t="s">
        <v>5532</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74</v>
      </c>
      <c r="AP537" s="1" t="s">
        <v>1112</v>
      </c>
      <c r="AQ537" s="1" t="s">
        <v>74</v>
      </c>
      <c r="AR537" s="1" t="s">
        <v>74</v>
      </c>
      <c r="AS537" s="1" t="s">
        <v>74</v>
      </c>
      <c r="AT537" s="1" t="s">
        <v>974</v>
      </c>
      <c r="AU537" s="1">
        <v>2021.0</v>
      </c>
      <c r="AV537" s="1">
        <v>11.0</v>
      </c>
      <c r="AW537" s="1">
        <v>7.0</v>
      </c>
      <c r="AX537" s="1" t="s">
        <v>74</v>
      </c>
      <c r="AY537" s="1" t="s">
        <v>74</v>
      </c>
      <c r="AZ537" s="1" t="s">
        <v>74</v>
      </c>
      <c r="BA537" s="1" t="s">
        <v>74</v>
      </c>
      <c r="BB537" s="1" t="s">
        <v>74</v>
      </c>
      <c r="BC537" s="1" t="s">
        <v>74</v>
      </c>
      <c r="BD537" s="1">
        <v>1041.0</v>
      </c>
      <c r="BE537" s="1" t="s">
        <v>5533</v>
      </c>
      <c r="BF537" s="2" t="str">
        <f>HYPERLINK("http://dx.doi.org/10.3390/met11071041","http://dx.doi.org/10.3390/met11071041")</f>
        <v>http://dx.doi.org/10.3390/met11071041</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5534</v>
      </c>
      <c r="BT537" s="1" t="str">
        <f>HYPERLINK("https%3A%2F%2Fwww.webofscience.com%2Fwos%2Fwoscc%2Ffull-record%2FWOS:000676645900001","View Full Record in Web of Science")</f>
        <v>View Full Record in Web of Science</v>
      </c>
    </row>
    <row r="538" ht="12.75" customHeight="1">
      <c r="A538" s="1" t="s">
        <v>72</v>
      </c>
      <c r="B538" s="1" t="s">
        <v>5535</v>
      </c>
      <c r="C538" s="1" t="s">
        <v>74</v>
      </c>
      <c r="D538" s="1" t="s">
        <v>74</v>
      </c>
      <c r="E538" s="1" t="s">
        <v>74</v>
      </c>
      <c r="F538" s="1" t="s">
        <v>5536</v>
      </c>
      <c r="G538" s="1" t="s">
        <v>74</v>
      </c>
      <c r="H538" s="1" t="s">
        <v>74</v>
      </c>
      <c r="I538" s="1" t="s">
        <v>5537</v>
      </c>
      <c r="J538" s="1" t="s">
        <v>5538</v>
      </c>
      <c r="K538" s="1" t="s">
        <v>74</v>
      </c>
      <c r="L538" s="1" t="s">
        <v>74</v>
      </c>
      <c r="M538" s="1" t="s">
        <v>74</v>
      </c>
      <c r="N538" s="1" t="s">
        <v>74</v>
      </c>
      <c r="O538" s="1" t="s">
        <v>74</v>
      </c>
      <c r="P538" s="1" t="s">
        <v>74</v>
      </c>
      <c r="Q538" s="1" t="s">
        <v>74</v>
      </c>
      <c r="R538" s="1" t="s">
        <v>74</v>
      </c>
      <c r="S538" s="1" t="s">
        <v>74</v>
      </c>
      <c r="T538" s="1" t="s">
        <v>74</v>
      </c>
      <c r="U538" s="1" t="s">
        <v>74</v>
      </c>
      <c r="V538" s="1" t="s">
        <v>5539</v>
      </c>
      <c r="W538" s="1" t="s">
        <v>74</v>
      </c>
      <c r="X538" s="1" t="s">
        <v>74</v>
      </c>
      <c r="Y538" s="1" t="s">
        <v>74</v>
      </c>
      <c r="Z538" s="1" t="s">
        <v>74</v>
      </c>
      <c r="AA538" s="1" t="s">
        <v>74</v>
      </c>
      <c r="AB538" s="1" t="s">
        <v>5540</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5541</v>
      </c>
      <c r="AP538" s="1" t="s">
        <v>5542</v>
      </c>
      <c r="AQ538" s="1" t="s">
        <v>74</v>
      </c>
      <c r="AR538" s="1" t="s">
        <v>74</v>
      </c>
      <c r="AS538" s="1" t="s">
        <v>74</v>
      </c>
      <c r="AT538" s="1" t="s">
        <v>5543</v>
      </c>
      <c r="AU538" s="1">
        <v>2021.0</v>
      </c>
      <c r="AV538" s="1">
        <v>34.0</v>
      </c>
      <c r="AW538" s="1">
        <v>2.0</v>
      </c>
      <c r="AX538" s="1" t="s">
        <v>74</v>
      </c>
      <c r="AY538" s="1" t="s">
        <v>74</v>
      </c>
      <c r="AZ538" s="1" t="s">
        <v>74</v>
      </c>
      <c r="BA538" s="1" t="s">
        <v>74</v>
      </c>
      <c r="BB538" s="1">
        <v>60.0</v>
      </c>
      <c r="BC538" s="1">
        <v>67.0</v>
      </c>
      <c r="BD538" s="1" t="s">
        <v>74</v>
      </c>
      <c r="BE538" s="1" t="s">
        <v>5544</v>
      </c>
      <c r="BF538" s="2" t="str">
        <f>HYPERLINK("http://dx.doi.org/10.1089/ped.2021.0018","http://dx.doi.org/10.1089/ped.2021.0018")</f>
        <v>http://dx.doi.org/10.1089/ped.2021.0018</v>
      </c>
      <c r="BG538" s="1" t="s">
        <v>74</v>
      </c>
      <c r="BH538" s="1" t="s">
        <v>782</v>
      </c>
      <c r="BI538" s="1" t="s">
        <v>74</v>
      </c>
      <c r="BJ538" s="1" t="s">
        <v>74</v>
      </c>
      <c r="BK538" s="1" t="s">
        <v>74</v>
      </c>
      <c r="BL538" s="1" t="s">
        <v>74</v>
      </c>
      <c r="BM538" s="1" t="s">
        <v>74</v>
      </c>
      <c r="BN538" s="1">
        <v>3.4107753E7</v>
      </c>
      <c r="BO538" s="1" t="s">
        <v>74</v>
      </c>
      <c r="BP538" s="1" t="s">
        <v>74</v>
      </c>
      <c r="BQ538" s="1" t="s">
        <v>74</v>
      </c>
      <c r="BR538" s="1" t="s">
        <v>74</v>
      </c>
      <c r="BS538" s="1" t="s">
        <v>5545</v>
      </c>
      <c r="BT538" s="1" t="str">
        <f>HYPERLINK("https%3A%2F%2Fwww.webofscience.com%2Fwos%2Fwoscc%2Ffull-record%2FWOS:000659257600001","View Full Record in Web of Science")</f>
        <v>View Full Record in Web of Science</v>
      </c>
    </row>
    <row r="539" ht="12.75" customHeight="1">
      <c r="A539" s="1" t="s">
        <v>1844</v>
      </c>
      <c r="B539" s="1" t="s">
        <v>5546</v>
      </c>
      <c r="C539" s="1" t="s">
        <v>5546</v>
      </c>
      <c r="D539" s="1" t="s">
        <v>74</v>
      </c>
      <c r="E539" s="1" t="s">
        <v>74</v>
      </c>
      <c r="F539" s="1" t="s">
        <v>5547</v>
      </c>
      <c r="G539" s="1" t="s">
        <v>5546</v>
      </c>
      <c r="H539" s="1" t="s">
        <v>74</v>
      </c>
      <c r="I539" s="1" t="s">
        <v>5548</v>
      </c>
      <c r="J539" s="1" t="s">
        <v>5549</v>
      </c>
      <c r="K539" s="1" t="s">
        <v>74</v>
      </c>
      <c r="L539" s="1" t="s">
        <v>74</v>
      </c>
      <c r="M539" s="1" t="s">
        <v>74</v>
      </c>
      <c r="N539" s="1" t="s">
        <v>74</v>
      </c>
      <c r="O539" s="1" t="s">
        <v>74</v>
      </c>
      <c r="P539" s="1" t="s">
        <v>74</v>
      </c>
      <c r="Q539" s="1" t="s">
        <v>74</v>
      </c>
      <c r="R539" s="1" t="s">
        <v>74</v>
      </c>
      <c r="S539" s="1" t="s">
        <v>74</v>
      </c>
      <c r="T539" s="1" t="s">
        <v>74</v>
      </c>
      <c r="U539" s="1" t="s">
        <v>74</v>
      </c>
      <c r="V539" s="1" t="s">
        <v>74</v>
      </c>
      <c r="W539" s="1" t="s">
        <v>74</v>
      </c>
      <c r="X539" s="1" t="s">
        <v>74</v>
      </c>
      <c r="Y539" s="1" t="s">
        <v>74</v>
      </c>
      <c r="Z539" s="1" t="s">
        <v>74</v>
      </c>
      <c r="AA539" s="1" t="s">
        <v>5550</v>
      </c>
      <c r="AB539" s="1" t="s">
        <v>74</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74</v>
      </c>
      <c r="AQ539" s="1" t="s">
        <v>5551</v>
      </c>
      <c r="AR539" s="1" t="s">
        <v>74</v>
      </c>
      <c r="AS539" s="1" t="s">
        <v>74</v>
      </c>
      <c r="AT539" s="1" t="s">
        <v>74</v>
      </c>
      <c r="AU539" s="1">
        <v>2019.0</v>
      </c>
      <c r="AV539" s="1" t="s">
        <v>74</v>
      </c>
      <c r="AW539" s="1" t="s">
        <v>74</v>
      </c>
      <c r="AX539" s="1" t="s">
        <v>74</v>
      </c>
      <c r="AY539" s="1" t="s">
        <v>74</v>
      </c>
      <c r="AZ539" s="1" t="s">
        <v>74</v>
      </c>
      <c r="BA539" s="1" t="s">
        <v>74</v>
      </c>
      <c r="BB539" s="1">
        <v>505.0</v>
      </c>
      <c r="BC539" s="1">
        <v>510.0</v>
      </c>
      <c r="BD539" s="1" t="s">
        <v>74</v>
      </c>
      <c r="BE539" s="1" t="s">
        <v>74</v>
      </c>
      <c r="BF539" s="1" t="s">
        <v>74</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5552</v>
      </c>
      <c r="BT539" s="1" t="str">
        <f>HYPERLINK("https%3A%2F%2Fwww.webofscience.com%2Fwos%2Fwoscc%2Ffull-record%2FWOS:000887018400035","View Full Record in Web of Science")</f>
        <v>View Full Record in Web of Science</v>
      </c>
    </row>
    <row r="540" ht="12.75" customHeight="1">
      <c r="A540" s="1" t="s">
        <v>72</v>
      </c>
      <c r="B540" s="1" t="s">
        <v>5553</v>
      </c>
      <c r="C540" s="1" t="s">
        <v>74</v>
      </c>
      <c r="D540" s="1" t="s">
        <v>74</v>
      </c>
      <c r="E540" s="1" t="s">
        <v>74</v>
      </c>
      <c r="F540" s="1" t="s">
        <v>5554</v>
      </c>
      <c r="G540" s="1" t="s">
        <v>74</v>
      </c>
      <c r="H540" s="1" t="s">
        <v>74</v>
      </c>
      <c r="I540" s="1" t="s">
        <v>5555</v>
      </c>
      <c r="J540" s="1" t="s">
        <v>5556</v>
      </c>
      <c r="K540" s="1" t="s">
        <v>74</v>
      </c>
      <c r="L540" s="1" t="s">
        <v>74</v>
      </c>
      <c r="M540" s="1" t="s">
        <v>74</v>
      </c>
      <c r="N540" s="1" t="s">
        <v>74</v>
      </c>
      <c r="O540" s="1" t="s">
        <v>74</v>
      </c>
      <c r="P540" s="1" t="s">
        <v>74</v>
      </c>
      <c r="Q540" s="1" t="s">
        <v>74</v>
      </c>
      <c r="R540" s="1" t="s">
        <v>74</v>
      </c>
      <c r="S540" s="1" t="s">
        <v>74</v>
      </c>
      <c r="T540" s="1" t="s">
        <v>74</v>
      </c>
      <c r="U540" s="1" t="s">
        <v>74</v>
      </c>
      <c r="V540" s="1" t="s">
        <v>5557</v>
      </c>
      <c r="W540" s="1" t="s">
        <v>74</v>
      </c>
      <c r="X540" s="1" t="s">
        <v>74</v>
      </c>
      <c r="Y540" s="1" t="s">
        <v>74</v>
      </c>
      <c r="Z540" s="1" t="s">
        <v>74</v>
      </c>
      <c r="AA540" s="1" t="s">
        <v>5558</v>
      </c>
      <c r="AB540" s="1" t="s">
        <v>5559</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5560</v>
      </c>
      <c r="AP540" s="1" t="s">
        <v>74</v>
      </c>
      <c r="AQ540" s="1" t="s">
        <v>74</v>
      </c>
      <c r="AR540" s="1" t="s">
        <v>74</v>
      </c>
      <c r="AS540" s="1" t="s">
        <v>74</v>
      </c>
      <c r="AT540" s="1" t="s">
        <v>176</v>
      </c>
      <c r="AU540" s="1">
        <v>2018.0</v>
      </c>
      <c r="AV540" s="1">
        <v>20.0</v>
      </c>
      <c r="AW540" s="1">
        <v>1.0</v>
      </c>
      <c r="AX540" s="1" t="s">
        <v>74</v>
      </c>
      <c r="AY540" s="1" t="s">
        <v>74</v>
      </c>
      <c r="AZ540" s="1" t="s">
        <v>74</v>
      </c>
      <c r="BA540" s="1" t="s">
        <v>74</v>
      </c>
      <c r="BB540" s="1">
        <v>94.0</v>
      </c>
      <c r="BC540" s="1">
        <v>103.0</v>
      </c>
      <c r="BD540" s="1" t="s">
        <v>74</v>
      </c>
      <c r="BE540" s="1" t="s">
        <v>5561</v>
      </c>
      <c r="BF540" s="2" t="str">
        <f>HYPERLINK("http://dx.doi.org/10.23751/pn.v20i1.5836","http://dx.doi.org/10.23751/pn.v20i1.5836")</f>
        <v>http://dx.doi.org/10.23751/pn.v20i1.5836</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5562</v>
      </c>
      <c r="BT540" s="1" t="str">
        <f>HYPERLINK("https%3A%2F%2Fwww.webofscience.com%2Fwos%2Fwoscc%2Ffull-record%2FWOS:000428874500012","View Full Record in Web of Science")</f>
        <v>View Full Record in Web of Science</v>
      </c>
    </row>
    <row r="541" ht="12.75" customHeight="1">
      <c r="A541" s="1" t="s">
        <v>154</v>
      </c>
      <c r="B541" s="1" t="s">
        <v>5563</v>
      </c>
      <c r="C541" s="1" t="s">
        <v>74</v>
      </c>
      <c r="D541" s="1" t="s">
        <v>5564</v>
      </c>
      <c r="E541" s="1" t="s">
        <v>74</v>
      </c>
      <c r="F541" s="1" t="s">
        <v>5565</v>
      </c>
      <c r="G541" s="1" t="s">
        <v>74</v>
      </c>
      <c r="H541" s="1" t="s">
        <v>74</v>
      </c>
      <c r="I541" s="1" t="s">
        <v>5566</v>
      </c>
      <c r="J541" s="1" t="s">
        <v>5567</v>
      </c>
      <c r="K541" s="1" t="s">
        <v>74</v>
      </c>
      <c r="L541" s="1" t="s">
        <v>74</v>
      </c>
      <c r="M541" s="1" t="s">
        <v>74</v>
      </c>
      <c r="N541" s="1" t="s">
        <v>74</v>
      </c>
      <c r="O541" s="1" t="s">
        <v>5568</v>
      </c>
      <c r="P541" s="1" t="s">
        <v>5569</v>
      </c>
      <c r="Q541" s="1" t="s">
        <v>5570</v>
      </c>
      <c r="R541" s="1" t="s">
        <v>5571</v>
      </c>
      <c r="S541" s="1" t="s">
        <v>74</v>
      </c>
      <c r="T541" s="1" t="s">
        <v>74</v>
      </c>
      <c r="U541" s="1" t="s">
        <v>74</v>
      </c>
      <c r="V541" s="1" t="s">
        <v>5572</v>
      </c>
      <c r="W541" s="1" t="s">
        <v>74</v>
      </c>
      <c r="X541" s="1" t="s">
        <v>74</v>
      </c>
      <c r="Y541" s="1" t="s">
        <v>74</v>
      </c>
      <c r="Z541" s="1" t="s">
        <v>74</v>
      </c>
      <c r="AA541" s="1" t="s">
        <v>5573</v>
      </c>
      <c r="AB541" s="1" t="s">
        <v>5574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74</v>
      </c>
      <c r="AP541" s="1" t="s">
        <v>74</v>
      </c>
      <c r="AQ541" s="1" t="s">
        <v>5575</v>
      </c>
      <c r="AR541" s="1" t="s">
        <v>74</v>
      </c>
      <c r="AS541" s="1" t="s">
        <v>74</v>
      </c>
      <c r="AT541" s="1" t="s">
        <v>74</v>
      </c>
      <c r="AU541" s="1">
        <v>2018.0</v>
      </c>
      <c r="AV541" s="1" t="s">
        <v>74</v>
      </c>
      <c r="AW541" s="1" t="s">
        <v>74</v>
      </c>
      <c r="AX541" s="1" t="s">
        <v>74</v>
      </c>
      <c r="AY541" s="1" t="s">
        <v>74</v>
      </c>
      <c r="AZ541" s="1" t="s">
        <v>74</v>
      </c>
      <c r="BA541" s="1" t="s">
        <v>74</v>
      </c>
      <c r="BB541" s="1" t="s">
        <v>74</v>
      </c>
      <c r="BC541" s="1" t="s">
        <v>74</v>
      </c>
      <c r="BD541" s="1" t="s">
        <v>74</v>
      </c>
      <c r="BE541" s="1" t="s">
        <v>74</v>
      </c>
      <c r="BF541" s="1" t="s">
        <v>74</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5576</v>
      </c>
      <c r="BT541" s="1" t="str">
        <f>HYPERLINK("https%3A%2F%2Fwww.webofscience.com%2Fwos%2Fwoscc%2Ffull-record%2FWOS:000458417600160","View Full Record in Web of Science")</f>
        <v>View Full Record in Web of Science</v>
      </c>
    </row>
    <row r="542" ht="12.75" customHeight="1">
      <c r="A542" s="1" t="s">
        <v>72</v>
      </c>
      <c r="B542" s="1" t="s">
        <v>5443</v>
      </c>
      <c r="C542" s="1" t="s">
        <v>74</v>
      </c>
      <c r="D542" s="1" t="s">
        <v>74</v>
      </c>
      <c r="E542" s="1" t="s">
        <v>74</v>
      </c>
      <c r="F542" s="1" t="s">
        <v>5577</v>
      </c>
      <c r="G542" s="1" t="s">
        <v>74</v>
      </c>
      <c r="H542" s="1" t="s">
        <v>74</v>
      </c>
      <c r="I542" s="1" t="s">
        <v>5578</v>
      </c>
      <c r="J542" s="1" t="s">
        <v>5579</v>
      </c>
      <c r="K542" s="1" t="s">
        <v>74</v>
      </c>
      <c r="L542" s="1" t="s">
        <v>74</v>
      </c>
      <c r="M542" s="1" t="s">
        <v>74</v>
      </c>
      <c r="N542" s="1" t="s">
        <v>74</v>
      </c>
      <c r="O542" s="1" t="s">
        <v>74</v>
      </c>
      <c r="P542" s="1" t="s">
        <v>74</v>
      </c>
      <c r="Q542" s="1" t="s">
        <v>74</v>
      </c>
      <c r="R542" s="1" t="s">
        <v>74</v>
      </c>
      <c r="S542" s="1" t="s">
        <v>74</v>
      </c>
      <c r="T542" s="1" t="s">
        <v>74</v>
      </c>
      <c r="U542" s="1" t="s">
        <v>74</v>
      </c>
      <c r="V542" s="1" t="s">
        <v>5580</v>
      </c>
      <c r="W542" s="1" t="s">
        <v>74</v>
      </c>
      <c r="X542" s="1" t="s">
        <v>74</v>
      </c>
      <c r="Y542" s="1" t="s">
        <v>74</v>
      </c>
      <c r="Z542" s="1" t="s">
        <v>74</v>
      </c>
      <c r="AA542" s="1" t="s">
        <v>5447</v>
      </c>
      <c r="AB542" s="1" t="s">
        <v>74</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5581</v>
      </c>
      <c r="AP542" s="1" t="s">
        <v>5582</v>
      </c>
      <c r="AQ542" s="1" t="s">
        <v>74</v>
      </c>
      <c r="AR542" s="1" t="s">
        <v>74</v>
      </c>
      <c r="AS542" s="1" t="s">
        <v>74</v>
      </c>
      <c r="AT542" s="1" t="s">
        <v>308</v>
      </c>
      <c r="AU542" s="1">
        <v>2017.0</v>
      </c>
      <c r="AV542" s="1">
        <v>56.0</v>
      </c>
      <c r="AW542" s="1">
        <v>2.0</v>
      </c>
      <c r="AX542" s="1" t="s">
        <v>74</v>
      </c>
      <c r="AY542" s="1" t="s">
        <v>74</v>
      </c>
      <c r="AZ542" s="1" t="s">
        <v>74</v>
      </c>
      <c r="BA542" s="1" t="s">
        <v>74</v>
      </c>
      <c r="BB542" s="1" t="s">
        <v>74</v>
      </c>
      <c r="BC542" s="1" t="s">
        <v>74</v>
      </c>
      <c r="BD542" s="1">
        <v>32.0</v>
      </c>
      <c r="BE542" s="1" t="s">
        <v>5583</v>
      </c>
      <c r="BF542" s="2" t="str">
        <f>HYPERLINK("http://dx.doi.org/10.1007/s00526-017-1113-0","http://dx.doi.org/10.1007/s00526-017-1113-0")</f>
        <v>http://dx.doi.org/10.1007/s00526-017-1113-0</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5584</v>
      </c>
      <c r="BT542" s="1" t="str">
        <f>HYPERLINK("https%3A%2F%2Fwww.webofscience.com%2Fwos%2Fwoscc%2Ffull-record%2FWOS:000401451700001","View Full Record in Web of Science")</f>
        <v>View Full Record in Web of Science</v>
      </c>
    </row>
    <row r="543" ht="12.75" customHeight="1">
      <c r="A543" s="1" t="s">
        <v>72</v>
      </c>
      <c r="B543" s="1" t="s">
        <v>5585</v>
      </c>
      <c r="C543" s="1" t="s">
        <v>74</v>
      </c>
      <c r="D543" s="1" t="s">
        <v>74</v>
      </c>
      <c r="E543" s="1" t="s">
        <v>74</v>
      </c>
      <c r="F543" s="1" t="s">
        <v>5586</v>
      </c>
      <c r="G543" s="1" t="s">
        <v>74</v>
      </c>
      <c r="H543" s="1" t="s">
        <v>74</v>
      </c>
      <c r="I543" s="1" t="s">
        <v>5587</v>
      </c>
      <c r="J543" s="1" t="s">
        <v>5588</v>
      </c>
      <c r="K543" s="1" t="s">
        <v>74</v>
      </c>
      <c r="L543" s="1" t="s">
        <v>74</v>
      </c>
      <c r="M543" s="1" t="s">
        <v>74</v>
      </c>
      <c r="N543" s="1" t="s">
        <v>74</v>
      </c>
      <c r="O543" s="1" t="s">
        <v>74</v>
      </c>
      <c r="P543" s="1" t="s">
        <v>74</v>
      </c>
      <c r="Q543" s="1" t="s">
        <v>74</v>
      </c>
      <c r="R543" s="1" t="s">
        <v>74</v>
      </c>
      <c r="S543" s="1" t="s">
        <v>74</v>
      </c>
      <c r="T543" s="1" t="s">
        <v>74</v>
      </c>
      <c r="U543" s="1" t="s">
        <v>74</v>
      </c>
      <c r="V543" s="1" t="s">
        <v>5589</v>
      </c>
      <c r="W543" s="1" t="s">
        <v>74</v>
      </c>
      <c r="X543" s="1" t="s">
        <v>74</v>
      </c>
      <c r="Y543" s="1" t="s">
        <v>74</v>
      </c>
      <c r="Z543" s="1" t="s">
        <v>74</v>
      </c>
      <c r="AA543" s="1" t="s">
        <v>5590</v>
      </c>
      <c r="AB543" s="1" t="s">
        <v>74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5591</v>
      </c>
      <c r="AP543" s="1" t="s">
        <v>74</v>
      </c>
      <c r="AQ543" s="1" t="s">
        <v>74</v>
      </c>
      <c r="AR543" s="1" t="s">
        <v>74</v>
      </c>
      <c r="AS543" s="1" t="s">
        <v>74</v>
      </c>
      <c r="AT543" s="1" t="s">
        <v>5213</v>
      </c>
      <c r="AU543" s="1">
        <v>2017.0</v>
      </c>
      <c r="AV543" s="1" t="s">
        <v>74</v>
      </c>
      <c r="AW543" s="1">
        <v>60.0</v>
      </c>
      <c r="AX543" s="1" t="s">
        <v>74</v>
      </c>
      <c r="AY543" s="1" t="s">
        <v>74</v>
      </c>
      <c r="AZ543" s="1" t="s">
        <v>74</v>
      </c>
      <c r="BA543" s="1" t="s">
        <v>74</v>
      </c>
      <c r="BB543" s="1">
        <v>25.0</v>
      </c>
      <c r="BC543" s="1">
        <v>35.0</v>
      </c>
      <c r="BD543" s="1" t="s">
        <v>74</v>
      </c>
      <c r="BE543" s="1" t="s">
        <v>5592</v>
      </c>
      <c r="BF543" s="2" t="str">
        <f>HYPERLINK("http://dx.doi.org/10.7440/res60.2017.02","http://dx.doi.org/10.7440/res60.2017.02")</f>
        <v>http://dx.doi.org/10.7440/res60.2017.02</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5593</v>
      </c>
      <c r="BT543" s="1" t="str">
        <f>HYPERLINK("https%3A%2F%2Fwww.webofscience.com%2Fwos%2Fwoscc%2Ffull-record%2FWOS:000400125200003","View Full Record in Web of Science")</f>
        <v>View Full Record in Web of Science</v>
      </c>
    </row>
    <row r="544" ht="12.75" customHeight="1">
      <c r="A544" s="1" t="s">
        <v>72</v>
      </c>
      <c r="B544" s="1" t="s">
        <v>5594</v>
      </c>
      <c r="C544" s="1" t="s">
        <v>74</v>
      </c>
      <c r="D544" s="1" t="s">
        <v>74</v>
      </c>
      <c r="E544" s="1" t="s">
        <v>74</v>
      </c>
      <c r="F544" s="1" t="s">
        <v>5595</v>
      </c>
      <c r="G544" s="1" t="s">
        <v>74</v>
      </c>
      <c r="H544" s="1" t="s">
        <v>74</v>
      </c>
      <c r="I544" s="1" t="s">
        <v>5596</v>
      </c>
      <c r="J544" s="1" t="s">
        <v>5597</v>
      </c>
      <c r="K544" s="1" t="s">
        <v>74</v>
      </c>
      <c r="L544" s="1" t="s">
        <v>74</v>
      </c>
      <c r="M544" s="1" t="s">
        <v>74</v>
      </c>
      <c r="N544" s="1" t="s">
        <v>74</v>
      </c>
      <c r="O544" s="1" t="s">
        <v>74</v>
      </c>
      <c r="P544" s="1" t="s">
        <v>74</v>
      </c>
      <c r="Q544" s="1" t="s">
        <v>74</v>
      </c>
      <c r="R544" s="1" t="s">
        <v>74</v>
      </c>
      <c r="S544" s="1" t="s">
        <v>74</v>
      </c>
      <c r="T544" s="1" t="s">
        <v>74</v>
      </c>
      <c r="U544" s="1" t="s">
        <v>74</v>
      </c>
      <c r="V544" s="1" t="s">
        <v>5598</v>
      </c>
      <c r="W544" s="1" t="s">
        <v>74</v>
      </c>
      <c r="X544" s="1" t="s">
        <v>74</v>
      </c>
      <c r="Y544" s="1" t="s">
        <v>74</v>
      </c>
      <c r="Z544" s="1" t="s">
        <v>74</v>
      </c>
      <c r="AA544" s="1" t="s">
        <v>5599</v>
      </c>
      <c r="AB544" s="1" t="s">
        <v>5600</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5601</v>
      </c>
      <c r="AP544" s="1" t="s">
        <v>5602</v>
      </c>
      <c r="AQ544" s="1" t="s">
        <v>74</v>
      </c>
      <c r="AR544" s="1" t="s">
        <v>74</v>
      </c>
      <c r="AS544" s="1" t="s">
        <v>74</v>
      </c>
      <c r="AT544" s="1" t="s">
        <v>308</v>
      </c>
      <c r="AU544" s="1">
        <v>2017.0</v>
      </c>
      <c r="AV544" s="1">
        <v>34.0</v>
      </c>
      <c r="AW544" s="1">
        <v>2.0</v>
      </c>
      <c r="AX544" s="1" t="s">
        <v>74</v>
      </c>
      <c r="AY544" s="1" t="s">
        <v>74</v>
      </c>
      <c r="AZ544" s="1" t="s">
        <v>74</v>
      </c>
      <c r="BA544" s="1" t="s">
        <v>74</v>
      </c>
      <c r="BB544" s="1">
        <v>116.0</v>
      </c>
      <c r="BC544" s="1">
        <v>119.0</v>
      </c>
      <c r="BD544" s="1" t="s">
        <v>74</v>
      </c>
      <c r="BE544" s="1" t="s">
        <v>74</v>
      </c>
      <c r="BF544" s="1" t="s">
        <v>74</v>
      </c>
      <c r="BG544" s="1" t="s">
        <v>74</v>
      </c>
      <c r="BH544" s="1" t="s">
        <v>74</v>
      </c>
      <c r="BI544" s="1" t="s">
        <v>74</v>
      </c>
      <c r="BJ544" s="1" t="s">
        <v>74</v>
      </c>
      <c r="BK544" s="1" t="s">
        <v>74</v>
      </c>
      <c r="BL544" s="1" t="s">
        <v>74</v>
      </c>
      <c r="BM544" s="1" t="s">
        <v>74</v>
      </c>
      <c r="BN544" s="1">
        <v>2.8632824E7</v>
      </c>
      <c r="BO544" s="1" t="s">
        <v>74</v>
      </c>
      <c r="BP544" s="1" t="s">
        <v>74</v>
      </c>
      <c r="BQ544" s="1" t="s">
        <v>74</v>
      </c>
      <c r="BR544" s="1" t="s">
        <v>74</v>
      </c>
      <c r="BS544" s="1" t="s">
        <v>5603</v>
      </c>
      <c r="BT544" s="1" t="str">
        <f>HYPERLINK("https%3A%2F%2Fwww.webofscience.com%2Fwos%2Fwoscc%2Ffull-record%2FWOS:000400803900003","View Full Record in Web of Science")</f>
        <v>View Full Record in Web of Science</v>
      </c>
    </row>
    <row r="545" ht="12.75" customHeight="1">
      <c r="A545" s="1" t="s">
        <v>72</v>
      </c>
      <c r="B545" s="1" t="s">
        <v>5604</v>
      </c>
      <c r="C545" s="1" t="s">
        <v>74</v>
      </c>
      <c r="D545" s="1" t="s">
        <v>74</v>
      </c>
      <c r="E545" s="1" t="s">
        <v>74</v>
      </c>
      <c r="F545" s="1" t="s">
        <v>5605</v>
      </c>
      <c r="G545" s="1" t="s">
        <v>74</v>
      </c>
      <c r="H545" s="1" t="s">
        <v>74</v>
      </c>
      <c r="I545" s="1" t="s">
        <v>5606</v>
      </c>
      <c r="J545" s="1" t="s">
        <v>5607</v>
      </c>
      <c r="K545" s="1" t="s">
        <v>74</v>
      </c>
      <c r="L545" s="1" t="s">
        <v>74</v>
      </c>
      <c r="M545" s="1" t="s">
        <v>74</v>
      </c>
      <c r="N545" s="1" t="s">
        <v>74</v>
      </c>
      <c r="O545" s="1" t="s">
        <v>74</v>
      </c>
      <c r="P545" s="1" t="s">
        <v>74</v>
      </c>
      <c r="Q545" s="1" t="s">
        <v>74</v>
      </c>
      <c r="R545" s="1" t="s">
        <v>74</v>
      </c>
      <c r="S545" s="1" t="s">
        <v>74</v>
      </c>
      <c r="T545" s="1" t="s">
        <v>74</v>
      </c>
      <c r="U545" s="1" t="s">
        <v>74</v>
      </c>
      <c r="V545" s="1" t="s">
        <v>5608</v>
      </c>
      <c r="W545" s="1" t="s">
        <v>74</v>
      </c>
      <c r="X545" s="1" t="s">
        <v>74</v>
      </c>
      <c r="Y545" s="1" t="s">
        <v>74</v>
      </c>
      <c r="Z545" s="1" t="s">
        <v>74</v>
      </c>
      <c r="AA545" s="1" t="s">
        <v>5609</v>
      </c>
      <c r="AB545" s="1" t="s">
        <v>5610</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5611</v>
      </c>
      <c r="AP545" s="1" t="s">
        <v>5612</v>
      </c>
      <c r="AQ545" s="1" t="s">
        <v>74</v>
      </c>
      <c r="AR545" s="1" t="s">
        <v>74</v>
      </c>
      <c r="AS545" s="1" t="s">
        <v>74</v>
      </c>
      <c r="AT545" s="1" t="s">
        <v>5613</v>
      </c>
      <c r="AU545" s="1">
        <v>2017.0</v>
      </c>
      <c r="AV545" s="1">
        <v>7.0</v>
      </c>
      <c r="AW545" s="1">
        <v>1.0</v>
      </c>
      <c r="AX545" s="1" t="s">
        <v>74</v>
      </c>
      <c r="AY545" s="1" t="s">
        <v>74</v>
      </c>
      <c r="AZ545" s="1" t="s">
        <v>74</v>
      </c>
      <c r="BA545" s="1" t="s">
        <v>74</v>
      </c>
      <c r="BB545" s="1">
        <v>231.0</v>
      </c>
      <c r="BC545" s="1">
        <v>242.0</v>
      </c>
      <c r="BD545" s="1" t="s">
        <v>74</v>
      </c>
      <c r="BE545" s="1" t="s">
        <v>5614</v>
      </c>
      <c r="BF545" s="2" t="str">
        <f>HYPERLINK("http://dx.doi.org/10.1039/c6cy02115h","http://dx.doi.org/10.1039/c6cy02115h")</f>
        <v>http://dx.doi.org/10.1039/c6cy02115h</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5615</v>
      </c>
      <c r="BT545" s="1" t="str">
        <f>HYPERLINK("https%3A%2F%2Fwww.webofscience.com%2Fwos%2Fwoscc%2Ffull-record%2FWOS:000392399900021","View Full Record in Web of Science")</f>
        <v>View Full Record in Web of Science</v>
      </c>
    </row>
    <row r="546" ht="12.75" customHeight="1">
      <c r="A546" s="1" t="s">
        <v>72</v>
      </c>
      <c r="B546" s="1" t="s">
        <v>5616</v>
      </c>
      <c r="C546" s="1" t="s">
        <v>74</v>
      </c>
      <c r="D546" s="1" t="s">
        <v>74</v>
      </c>
      <c r="E546" s="1" t="s">
        <v>74</v>
      </c>
      <c r="F546" s="1" t="s">
        <v>5617</v>
      </c>
      <c r="G546" s="1" t="s">
        <v>74</v>
      </c>
      <c r="H546" s="1" t="s">
        <v>74</v>
      </c>
      <c r="I546" s="1" t="s">
        <v>5618</v>
      </c>
      <c r="J546" s="1" t="s">
        <v>5619</v>
      </c>
      <c r="K546" s="1" t="s">
        <v>74</v>
      </c>
      <c r="L546" s="1" t="s">
        <v>74</v>
      </c>
      <c r="M546" s="1" t="s">
        <v>74</v>
      </c>
      <c r="N546" s="1" t="s">
        <v>74</v>
      </c>
      <c r="O546" s="1" t="s">
        <v>74</v>
      </c>
      <c r="P546" s="1" t="s">
        <v>74</v>
      </c>
      <c r="Q546" s="1" t="s">
        <v>74</v>
      </c>
      <c r="R546" s="1" t="s">
        <v>74</v>
      </c>
      <c r="S546" s="1" t="s">
        <v>74</v>
      </c>
      <c r="T546" s="1" t="s">
        <v>74</v>
      </c>
      <c r="U546" s="1" t="s">
        <v>74</v>
      </c>
      <c r="V546" s="1" t="s">
        <v>5620</v>
      </c>
      <c r="W546" s="1" t="s">
        <v>74</v>
      </c>
      <c r="X546" s="1" t="s">
        <v>74</v>
      </c>
      <c r="Y546" s="1" t="s">
        <v>74</v>
      </c>
      <c r="Z546" s="1" t="s">
        <v>74</v>
      </c>
      <c r="AA546" s="1" t="s">
        <v>5621</v>
      </c>
      <c r="AB546" s="1" t="s">
        <v>5622</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5623</v>
      </c>
      <c r="AP546" s="1" t="s">
        <v>5624</v>
      </c>
      <c r="AQ546" s="1" t="s">
        <v>74</v>
      </c>
      <c r="AR546" s="1" t="s">
        <v>74</v>
      </c>
      <c r="AS546" s="1" t="s">
        <v>74</v>
      </c>
      <c r="AT546" s="1" t="s">
        <v>83</v>
      </c>
      <c r="AU546" s="1">
        <v>2015.0</v>
      </c>
      <c r="AV546" s="1">
        <v>35.0</v>
      </c>
      <c r="AW546" s="1">
        <v>3.0</v>
      </c>
      <c r="AX546" s="1" t="s">
        <v>74</v>
      </c>
      <c r="AY546" s="1" t="s">
        <v>74</v>
      </c>
      <c r="AZ546" s="1" t="s">
        <v>74</v>
      </c>
      <c r="BA546" s="1" t="s">
        <v>74</v>
      </c>
      <c r="BB546" s="1">
        <v>100.0</v>
      </c>
      <c r="BC546" s="1">
        <v>106.0</v>
      </c>
      <c r="BD546" s="1" t="s">
        <v>74</v>
      </c>
      <c r="BE546" s="1" t="s">
        <v>5625</v>
      </c>
      <c r="BF546" s="2" t="str">
        <f>HYPERLINK("http://dx.doi.org/10.15446/ing.investig.v35n3.51676","http://dx.doi.org/10.15446/ing.investig.v35n3.51676")</f>
        <v>http://dx.doi.org/10.15446/ing.investig.v35n3.51676</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5626</v>
      </c>
      <c r="BT546" s="1" t="str">
        <f>HYPERLINK("https%3A%2F%2Fwww.webofscience.com%2Fwos%2Fwoscc%2Ffull-record%2FWOS:000366830500013","View Full Record in Web of Science")</f>
        <v>View Full Record in Web of Science</v>
      </c>
    </row>
    <row r="547" ht="12.75" customHeight="1">
      <c r="A547" s="1" t="s">
        <v>72</v>
      </c>
      <c r="B547" s="1" t="s">
        <v>5627</v>
      </c>
      <c r="C547" s="1" t="s">
        <v>74</v>
      </c>
      <c r="D547" s="1" t="s">
        <v>74</v>
      </c>
      <c r="E547" s="1" t="s">
        <v>74</v>
      </c>
      <c r="F547" s="1" t="s">
        <v>5628</v>
      </c>
      <c r="G547" s="1" t="s">
        <v>74</v>
      </c>
      <c r="H547" s="1" t="s">
        <v>74</v>
      </c>
      <c r="I547" s="1" t="s">
        <v>5629</v>
      </c>
      <c r="J547" s="1" t="s">
        <v>5630</v>
      </c>
      <c r="K547" s="1" t="s">
        <v>74</v>
      </c>
      <c r="L547" s="1" t="s">
        <v>74</v>
      </c>
      <c r="M547" s="1" t="s">
        <v>74</v>
      </c>
      <c r="N547" s="1" t="s">
        <v>74</v>
      </c>
      <c r="O547" s="1" t="s">
        <v>74</v>
      </c>
      <c r="P547" s="1" t="s">
        <v>74</v>
      </c>
      <c r="Q547" s="1" t="s">
        <v>74</v>
      </c>
      <c r="R547" s="1" t="s">
        <v>74</v>
      </c>
      <c r="S547" s="1" t="s">
        <v>74</v>
      </c>
      <c r="T547" s="1" t="s">
        <v>74</v>
      </c>
      <c r="U547" s="1" t="s">
        <v>74</v>
      </c>
      <c r="V547" s="1" t="s">
        <v>5631</v>
      </c>
      <c r="W547" s="1" t="s">
        <v>74</v>
      </c>
      <c r="X547" s="1" t="s">
        <v>74</v>
      </c>
      <c r="Y547" s="1" t="s">
        <v>74</v>
      </c>
      <c r="Z547" s="1" t="s">
        <v>74</v>
      </c>
      <c r="AA547" s="1" t="s">
        <v>5632</v>
      </c>
      <c r="AB547" s="1" t="s">
        <v>5633</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5634</v>
      </c>
      <c r="AP547" s="1" t="s">
        <v>5635</v>
      </c>
      <c r="AQ547" s="1" t="s">
        <v>74</v>
      </c>
      <c r="AR547" s="1" t="s">
        <v>74</v>
      </c>
      <c r="AS547" s="1" t="s">
        <v>74</v>
      </c>
      <c r="AT547" s="1" t="s">
        <v>5636</v>
      </c>
      <c r="AU547" s="1">
        <v>2013.0</v>
      </c>
      <c r="AV547" s="1">
        <v>11.0</v>
      </c>
      <c r="AW547" s="1">
        <v>4.0</v>
      </c>
      <c r="AX547" s="1" t="s">
        <v>74</v>
      </c>
      <c r="AY547" s="1" t="s">
        <v>74</v>
      </c>
      <c r="AZ547" s="1" t="s">
        <v>74</v>
      </c>
      <c r="BA547" s="1" t="s">
        <v>74</v>
      </c>
      <c r="BB547" s="1">
        <v>366.0</v>
      </c>
      <c r="BC547" s="1">
        <v>378.0</v>
      </c>
      <c r="BD547" s="1" t="s">
        <v>74</v>
      </c>
      <c r="BE547" s="1" t="s">
        <v>5637</v>
      </c>
      <c r="BF547" s="2" t="str">
        <f>HYPERLINK("http://dx.doi.org/10.1080/19476337.2013.773564","http://dx.doi.org/10.1080/19476337.2013.773564")</f>
        <v>http://dx.doi.org/10.1080/19476337.2013.773564</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5638</v>
      </c>
      <c r="BT547" s="1" t="str">
        <f>HYPERLINK("https%3A%2F%2Fwww.webofscience.com%2Fwos%2Fwoscc%2Ffull-record%2FWOS:000326781900010","View Full Record in Web of Science")</f>
        <v>View Full Record in Web of Science</v>
      </c>
    </row>
    <row r="548" ht="12.75" customHeight="1">
      <c r="A548" s="1" t="s">
        <v>72</v>
      </c>
      <c r="B548" s="1" t="s">
        <v>5639</v>
      </c>
      <c r="C548" s="1" t="s">
        <v>74</v>
      </c>
      <c r="D548" s="1" t="s">
        <v>74</v>
      </c>
      <c r="E548" s="1" t="s">
        <v>74</v>
      </c>
      <c r="F548" s="1" t="s">
        <v>5640</v>
      </c>
      <c r="G548" s="1" t="s">
        <v>74</v>
      </c>
      <c r="H548" s="1" t="s">
        <v>74</v>
      </c>
      <c r="I548" s="1" t="s">
        <v>5641</v>
      </c>
      <c r="J548" s="1" t="s">
        <v>5642</v>
      </c>
      <c r="K548" s="1" t="s">
        <v>74</v>
      </c>
      <c r="L548" s="1" t="s">
        <v>74</v>
      </c>
      <c r="M548" s="1" t="s">
        <v>74</v>
      </c>
      <c r="N548" s="1" t="s">
        <v>74</v>
      </c>
      <c r="O548" s="1" t="s">
        <v>74</v>
      </c>
      <c r="P548" s="1" t="s">
        <v>74</v>
      </c>
      <c r="Q548" s="1" t="s">
        <v>74</v>
      </c>
      <c r="R548" s="1" t="s">
        <v>74</v>
      </c>
      <c r="S548" s="1" t="s">
        <v>74</v>
      </c>
      <c r="T548" s="1" t="s">
        <v>74</v>
      </c>
      <c r="U548" s="1" t="s">
        <v>74</v>
      </c>
      <c r="V548" s="1" t="s">
        <v>5643</v>
      </c>
      <c r="W548" s="1" t="s">
        <v>74</v>
      </c>
      <c r="X548" s="1" t="s">
        <v>74</v>
      </c>
      <c r="Y548" s="1" t="s">
        <v>74</v>
      </c>
      <c r="Z548" s="1" t="s">
        <v>74</v>
      </c>
      <c r="AA548" s="1" t="s">
        <v>5644</v>
      </c>
      <c r="AB548" s="1" t="s">
        <v>1613</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5645</v>
      </c>
      <c r="AP548" s="1" t="s">
        <v>5646</v>
      </c>
      <c r="AQ548" s="1" t="s">
        <v>74</v>
      </c>
      <c r="AR548" s="1" t="s">
        <v>74</v>
      </c>
      <c r="AS548" s="1" t="s">
        <v>74</v>
      </c>
      <c r="AT548" s="1" t="s">
        <v>1082</v>
      </c>
      <c r="AU548" s="1">
        <v>2012.0</v>
      </c>
      <c r="AV548" s="1">
        <v>67.0</v>
      </c>
      <c r="AW548" s="1">
        <v>6.0</v>
      </c>
      <c r="AX548" s="1" t="s">
        <v>74</v>
      </c>
      <c r="AY548" s="1" t="s">
        <v>74</v>
      </c>
      <c r="AZ548" s="1" t="s">
        <v>74</v>
      </c>
      <c r="BA548" s="1" t="s">
        <v>74</v>
      </c>
      <c r="BB548" s="1">
        <v>500.0</v>
      </c>
      <c r="BC548" s="1">
        <v>507.0</v>
      </c>
      <c r="BD548" s="1" t="s">
        <v>74</v>
      </c>
      <c r="BE548" s="1" t="s">
        <v>5647</v>
      </c>
      <c r="BF548" s="2" t="str">
        <f>HYPERLINK("http://dx.doi.org/10.3103/S0027134912060033","http://dx.doi.org/10.3103/S0027134912060033")</f>
        <v>http://dx.doi.org/10.3103/S0027134912060033</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5648</v>
      </c>
      <c r="BT548" s="1" t="str">
        <f>HYPERLINK("https%3A%2F%2Fwww.webofscience.com%2Fwos%2Fwoscc%2Ffull-record%2FWOS:000314399700003","View Full Record in Web of Science")</f>
        <v>View Full Record in Web of Science</v>
      </c>
    </row>
    <row r="549" ht="12.75" customHeight="1">
      <c r="A549" s="1" t="s">
        <v>72</v>
      </c>
      <c r="B549" s="1" t="s">
        <v>5649</v>
      </c>
      <c r="C549" s="1" t="s">
        <v>74</v>
      </c>
      <c r="D549" s="1" t="s">
        <v>74</v>
      </c>
      <c r="E549" s="1" t="s">
        <v>74</v>
      </c>
      <c r="F549" s="1" t="s">
        <v>5650</v>
      </c>
      <c r="G549" s="1" t="s">
        <v>74</v>
      </c>
      <c r="H549" s="1" t="s">
        <v>74</v>
      </c>
      <c r="I549" s="1" t="s">
        <v>5651</v>
      </c>
      <c r="J549" s="1" t="s">
        <v>4580</v>
      </c>
      <c r="K549" s="1" t="s">
        <v>74</v>
      </c>
      <c r="L549" s="1" t="s">
        <v>74</v>
      </c>
      <c r="M549" s="1" t="s">
        <v>74</v>
      </c>
      <c r="N549" s="1" t="s">
        <v>74</v>
      </c>
      <c r="O549" s="1" t="s">
        <v>74</v>
      </c>
      <c r="P549" s="1" t="s">
        <v>74</v>
      </c>
      <c r="Q549" s="1" t="s">
        <v>74</v>
      </c>
      <c r="R549" s="1" t="s">
        <v>74</v>
      </c>
      <c r="S549" s="1" t="s">
        <v>74</v>
      </c>
      <c r="T549" s="1" t="s">
        <v>74</v>
      </c>
      <c r="U549" s="1" t="s">
        <v>74</v>
      </c>
      <c r="V549" s="1" t="s">
        <v>5652</v>
      </c>
      <c r="W549" s="1" t="s">
        <v>74</v>
      </c>
      <c r="X549" s="1" t="s">
        <v>74</v>
      </c>
      <c r="Y549" s="1" t="s">
        <v>74</v>
      </c>
      <c r="Z549" s="1" t="s">
        <v>74</v>
      </c>
      <c r="AA549" s="1" t="s">
        <v>5653</v>
      </c>
      <c r="AB549" s="1" t="s">
        <v>5654</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4584</v>
      </c>
      <c r="AP549" s="1" t="s">
        <v>74</v>
      </c>
      <c r="AQ549" s="1" t="s">
        <v>74</v>
      </c>
      <c r="AR549" s="1" t="s">
        <v>74</v>
      </c>
      <c r="AS549" s="1" t="s">
        <v>74</v>
      </c>
      <c r="AT549" s="1" t="s">
        <v>4125</v>
      </c>
      <c r="AU549" s="1">
        <v>2008.0</v>
      </c>
      <c r="AV549" s="1">
        <v>51.0</v>
      </c>
      <c r="AW549" s="1">
        <v>8.0</v>
      </c>
      <c r="AX549" s="1" t="s">
        <v>74</v>
      </c>
      <c r="AY549" s="1" t="s">
        <v>74</v>
      </c>
      <c r="AZ549" s="1" t="s">
        <v>74</v>
      </c>
      <c r="BA549" s="1" t="s">
        <v>74</v>
      </c>
      <c r="BB549" s="1">
        <v>1383.0</v>
      </c>
      <c r="BC549" s="1">
        <v>1390.0</v>
      </c>
      <c r="BD549" s="1" t="s">
        <v>74</v>
      </c>
      <c r="BE549" s="1" t="s">
        <v>5655</v>
      </c>
      <c r="BF549" s="2" t="str">
        <f>HYPERLINK("http://dx.doi.org/10.1016/j.toxicon.2008.03.006","http://dx.doi.org/10.1016/j.toxicon.2008.03.006")</f>
        <v>http://dx.doi.org/10.1016/j.toxicon.2008.03.006</v>
      </c>
      <c r="BG549" s="1" t="s">
        <v>74</v>
      </c>
      <c r="BH549" s="1" t="s">
        <v>74</v>
      </c>
      <c r="BI549" s="1" t="s">
        <v>74</v>
      </c>
      <c r="BJ549" s="1" t="s">
        <v>74</v>
      </c>
      <c r="BK549" s="1" t="s">
        <v>74</v>
      </c>
      <c r="BL549" s="1" t="s">
        <v>74</v>
      </c>
      <c r="BM549" s="1" t="s">
        <v>74</v>
      </c>
      <c r="BN549" s="1">
        <v>1.8423792E7</v>
      </c>
      <c r="BO549" s="1" t="s">
        <v>74</v>
      </c>
      <c r="BP549" s="1" t="s">
        <v>74</v>
      </c>
      <c r="BQ549" s="1" t="s">
        <v>74</v>
      </c>
      <c r="BR549" s="1" t="s">
        <v>74</v>
      </c>
      <c r="BS549" s="1" t="s">
        <v>5656</v>
      </c>
      <c r="BT549" s="1" t="str">
        <f>HYPERLINK("https%3A%2F%2Fwww.webofscience.com%2Fwos%2Fwoscc%2Ffull-record%2FWOS:000257645200008","View Full Record in Web of Science")</f>
        <v>View Full Record in Web of Science</v>
      </c>
    </row>
    <row r="550" ht="12.75" customHeight="1">
      <c r="A550" s="1" t="s">
        <v>72</v>
      </c>
      <c r="B550" s="1" t="s">
        <v>5657</v>
      </c>
      <c r="C550" s="1" t="s">
        <v>74</v>
      </c>
      <c r="D550" s="1" t="s">
        <v>74</v>
      </c>
      <c r="E550" s="1" t="s">
        <v>74</v>
      </c>
      <c r="F550" s="1" t="s">
        <v>5658</v>
      </c>
      <c r="G550" s="1" t="s">
        <v>74</v>
      </c>
      <c r="H550" s="1" t="s">
        <v>74</v>
      </c>
      <c r="I550" s="1" t="s">
        <v>5659</v>
      </c>
      <c r="J550" s="1" t="s">
        <v>5660</v>
      </c>
      <c r="K550" s="1" t="s">
        <v>74</v>
      </c>
      <c r="L550" s="1" t="s">
        <v>74</v>
      </c>
      <c r="M550" s="1" t="s">
        <v>74</v>
      </c>
      <c r="N550" s="1" t="s">
        <v>74</v>
      </c>
      <c r="O550" s="1" t="s">
        <v>74</v>
      </c>
      <c r="P550" s="1" t="s">
        <v>74</v>
      </c>
      <c r="Q550" s="1" t="s">
        <v>74</v>
      </c>
      <c r="R550" s="1" t="s">
        <v>74</v>
      </c>
      <c r="S550" s="1" t="s">
        <v>74</v>
      </c>
      <c r="T550" s="1" t="s">
        <v>74</v>
      </c>
      <c r="U550" s="1" t="s">
        <v>74</v>
      </c>
      <c r="V550" s="1" t="s">
        <v>5661</v>
      </c>
      <c r="W550" s="1" t="s">
        <v>74</v>
      </c>
      <c r="X550" s="1" t="s">
        <v>74</v>
      </c>
      <c r="Y550" s="1" t="s">
        <v>74</v>
      </c>
      <c r="Z550" s="1" t="s">
        <v>74</v>
      </c>
      <c r="AA550" s="1" t="s">
        <v>5662</v>
      </c>
      <c r="AB550" s="1" t="s">
        <v>5663</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5664</v>
      </c>
      <c r="AP550" s="1" t="s">
        <v>5665</v>
      </c>
      <c r="AQ550" s="1" t="s">
        <v>74</v>
      </c>
      <c r="AR550" s="1" t="s">
        <v>74</v>
      </c>
      <c r="AS550" s="1" t="s">
        <v>74</v>
      </c>
      <c r="AT550" s="1" t="s">
        <v>1374</v>
      </c>
      <c r="AU550" s="1">
        <v>2008.0</v>
      </c>
      <c r="AV550" s="1">
        <v>659.0</v>
      </c>
      <c r="AW550" s="1">
        <v>5.0</v>
      </c>
      <c r="AX550" s="1" t="s">
        <v>74</v>
      </c>
      <c r="AY550" s="1" t="s">
        <v>74</v>
      </c>
      <c r="AZ550" s="1" t="s">
        <v>74</v>
      </c>
      <c r="BA550" s="1" t="s">
        <v>74</v>
      </c>
      <c r="BB550" s="1">
        <v>906.0</v>
      </c>
      <c r="BC550" s="1">
        <v>912.0</v>
      </c>
      <c r="BD550" s="1" t="s">
        <v>74</v>
      </c>
      <c r="BE550" s="1" t="s">
        <v>5666</v>
      </c>
      <c r="BF550" s="2" t="str">
        <f>HYPERLINK("http://dx.doi.org/10.1016/j.physletb.2007.12.016","http://dx.doi.org/10.1016/j.physletb.2007.12.016")</f>
        <v>http://dx.doi.org/10.1016/j.physletb.2007.12.016</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5667</v>
      </c>
      <c r="BT550" s="1" t="str">
        <f>HYPERLINK("https%3A%2F%2Fwww.webofscience.com%2Fwos%2Fwoscc%2Ffull-record%2FWOS:000253305900013","View Full Record in Web of Science")</f>
        <v>View Full Record in Web of Science</v>
      </c>
    </row>
    <row r="551" ht="12.75" customHeight="1">
      <c r="A551" s="1" t="s">
        <v>72</v>
      </c>
      <c r="B551" s="1" t="s">
        <v>5668</v>
      </c>
      <c r="C551" s="1" t="s">
        <v>74</v>
      </c>
      <c r="D551" s="1" t="s">
        <v>74</v>
      </c>
      <c r="E551" s="1" t="s">
        <v>74</v>
      </c>
      <c r="F551" s="1" t="s">
        <v>5668</v>
      </c>
      <c r="G551" s="1" t="s">
        <v>74</v>
      </c>
      <c r="H551" s="1" t="s">
        <v>74</v>
      </c>
      <c r="I551" s="1" t="s">
        <v>5669</v>
      </c>
      <c r="J551" s="1" t="s">
        <v>5670</v>
      </c>
      <c r="K551" s="1" t="s">
        <v>74</v>
      </c>
      <c r="L551" s="1" t="s">
        <v>74</v>
      </c>
      <c r="M551" s="1" t="s">
        <v>74</v>
      </c>
      <c r="N551" s="1" t="s">
        <v>74</v>
      </c>
      <c r="O551" s="1" t="s">
        <v>74</v>
      </c>
      <c r="P551" s="1" t="s">
        <v>74</v>
      </c>
      <c r="Q551" s="1" t="s">
        <v>74</v>
      </c>
      <c r="R551" s="1" t="s">
        <v>74</v>
      </c>
      <c r="S551" s="1" t="s">
        <v>74</v>
      </c>
      <c r="T551" s="1" t="s">
        <v>74</v>
      </c>
      <c r="U551" s="1" t="s">
        <v>74</v>
      </c>
      <c r="V551" s="1" t="s">
        <v>5671</v>
      </c>
      <c r="W551" s="1" t="s">
        <v>74</v>
      </c>
      <c r="X551" s="1" t="s">
        <v>74</v>
      </c>
      <c r="Y551" s="1" t="s">
        <v>74</v>
      </c>
      <c r="Z551" s="1" t="s">
        <v>74</v>
      </c>
      <c r="AA551" s="1" t="s">
        <v>5672</v>
      </c>
      <c r="AB551" s="1" t="s">
        <v>5673</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5674</v>
      </c>
      <c r="AP551" s="1" t="s">
        <v>5675</v>
      </c>
      <c r="AQ551" s="1" t="s">
        <v>74</v>
      </c>
      <c r="AR551" s="1" t="s">
        <v>74</v>
      </c>
      <c r="AS551" s="1" t="s">
        <v>74</v>
      </c>
      <c r="AT551" s="1" t="s">
        <v>5613</v>
      </c>
      <c r="AU551" s="1">
        <v>2006.0</v>
      </c>
      <c r="AV551" s="1">
        <v>348.0</v>
      </c>
      <c r="AW551" s="1">
        <v>1.0</v>
      </c>
      <c r="AX551" s="1" t="s">
        <v>74</v>
      </c>
      <c r="AY551" s="1" t="s">
        <v>74</v>
      </c>
      <c r="AZ551" s="1" t="s">
        <v>74</v>
      </c>
      <c r="BA551" s="1" t="s">
        <v>74</v>
      </c>
      <c r="BB551" s="1">
        <v>115.0</v>
      </c>
      <c r="BC551" s="1">
        <v>122.0</v>
      </c>
      <c r="BD551" s="1" t="s">
        <v>74</v>
      </c>
      <c r="BE551" s="1" t="s">
        <v>5676</v>
      </c>
      <c r="BF551" s="2" t="str">
        <f>HYPERLINK("http://dx.doi.org/10.1016/j.ab.2005.10.007","http://dx.doi.org/10.1016/j.ab.2005.10.007")</f>
        <v>http://dx.doi.org/10.1016/j.ab.2005.10.007</v>
      </c>
      <c r="BG551" s="1" t="s">
        <v>74</v>
      </c>
      <c r="BH551" s="1" t="s">
        <v>74</v>
      </c>
      <c r="BI551" s="1" t="s">
        <v>74</v>
      </c>
      <c r="BJ551" s="1" t="s">
        <v>74</v>
      </c>
      <c r="BK551" s="1" t="s">
        <v>74</v>
      </c>
      <c r="BL551" s="1" t="s">
        <v>74</v>
      </c>
      <c r="BM551" s="1" t="s">
        <v>74</v>
      </c>
      <c r="BN551" s="1">
        <v>1.6289446E7</v>
      </c>
      <c r="BO551" s="1" t="s">
        <v>74</v>
      </c>
      <c r="BP551" s="1" t="s">
        <v>74</v>
      </c>
      <c r="BQ551" s="1" t="s">
        <v>74</v>
      </c>
      <c r="BR551" s="1" t="s">
        <v>74</v>
      </c>
      <c r="BS551" s="1" t="s">
        <v>5677</v>
      </c>
      <c r="BT551" s="1" t="str">
        <f>HYPERLINK("https%3A%2F%2Fwww.webofscience.com%2Fwos%2Fwoscc%2Ffull-record%2FWOS:000234447800014","View Full Record in Web of Science")</f>
        <v>View Full Record in Web of Science</v>
      </c>
    </row>
    <row r="552" ht="12.75" customHeight="1">
      <c r="A552" s="1" t="s">
        <v>72</v>
      </c>
      <c r="B552" s="1" t="s">
        <v>5678</v>
      </c>
      <c r="C552" s="1" t="s">
        <v>74</v>
      </c>
      <c r="D552" s="1" t="s">
        <v>74</v>
      </c>
      <c r="E552" s="1" t="s">
        <v>74</v>
      </c>
      <c r="F552" s="1" t="s">
        <v>5678</v>
      </c>
      <c r="G552" s="1" t="s">
        <v>74</v>
      </c>
      <c r="H552" s="1" t="s">
        <v>74</v>
      </c>
      <c r="I552" s="1" t="s">
        <v>5679</v>
      </c>
      <c r="J552" s="1" t="s">
        <v>1897</v>
      </c>
      <c r="K552" s="1" t="s">
        <v>74</v>
      </c>
      <c r="L552" s="1" t="s">
        <v>74</v>
      </c>
      <c r="M552" s="1" t="s">
        <v>74</v>
      </c>
      <c r="N552" s="1" t="s">
        <v>74</v>
      </c>
      <c r="O552" s="1" t="s">
        <v>74</v>
      </c>
      <c r="P552" s="1" t="s">
        <v>74</v>
      </c>
      <c r="Q552" s="1" t="s">
        <v>74</v>
      </c>
      <c r="R552" s="1" t="s">
        <v>74</v>
      </c>
      <c r="S552" s="1" t="s">
        <v>74</v>
      </c>
      <c r="T552" s="1" t="s">
        <v>74</v>
      </c>
      <c r="U552" s="1" t="s">
        <v>74</v>
      </c>
      <c r="V552" s="1" t="s">
        <v>5680</v>
      </c>
      <c r="W552" s="1" t="s">
        <v>74</v>
      </c>
      <c r="X552" s="1" t="s">
        <v>74</v>
      </c>
      <c r="Y552" s="1" t="s">
        <v>74</v>
      </c>
      <c r="Z552" s="1" t="s">
        <v>74</v>
      </c>
      <c r="AA552" s="1" t="s">
        <v>5681</v>
      </c>
      <c r="AB552" s="1" t="s">
        <v>5682</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1901</v>
      </c>
      <c r="AP552" s="1" t="s">
        <v>5683</v>
      </c>
      <c r="AQ552" s="1" t="s">
        <v>74</v>
      </c>
      <c r="AR552" s="1" t="s">
        <v>74</v>
      </c>
      <c r="AS552" s="1" t="s">
        <v>74</v>
      </c>
      <c r="AT552" s="1" t="s">
        <v>308</v>
      </c>
      <c r="AU552" s="1">
        <v>2004.0</v>
      </c>
      <c r="AV552" s="1">
        <v>141.0</v>
      </c>
      <c r="AW552" s="1">
        <v>7.0</v>
      </c>
      <c r="AX552" s="1" t="s">
        <v>74</v>
      </c>
      <c r="AY552" s="1" t="s">
        <v>74</v>
      </c>
      <c r="AZ552" s="1" t="s">
        <v>74</v>
      </c>
      <c r="BA552" s="1" t="s">
        <v>74</v>
      </c>
      <c r="BB552" s="1">
        <v>1167.0</v>
      </c>
      <c r="BC552" s="1">
        <v>1174.0</v>
      </c>
      <c r="BD552" s="1" t="s">
        <v>74</v>
      </c>
      <c r="BE552" s="1" t="s">
        <v>5684</v>
      </c>
      <c r="BF552" s="2" t="str">
        <f>HYPERLINK("http://dx.doi.org/10.1038/sj.bjp.0705722","http://dx.doi.org/10.1038/sj.bjp.0705722")</f>
        <v>http://dx.doi.org/10.1038/sj.bjp.0705722</v>
      </c>
      <c r="BG552" s="1" t="s">
        <v>74</v>
      </c>
      <c r="BH552" s="1" t="s">
        <v>74</v>
      </c>
      <c r="BI552" s="1" t="s">
        <v>74</v>
      </c>
      <c r="BJ552" s="1" t="s">
        <v>74</v>
      </c>
      <c r="BK552" s="1" t="s">
        <v>74</v>
      </c>
      <c r="BL552" s="1" t="s">
        <v>74</v>
      </c>
      <c r="BM552" s="1" t="s">
        <v>74</v>
      </c>
      <c r="BN552" s="1">
        <v>1.5006903E7</v>
      </c>
      <c r="BO552" s="1" t="s">
        <v>74</v>
      </c>
      <c r="BP552" s="1" t="s">
        <v>74</v>
      </c>
      <c r="BQ552" s="1" t="s">
        <v>74</v>
      </c>
      <c r="BR552" s="1" t="s">
        <v>74</v>
      </c>
      <c r="BS552" s="1" t="s">
        <v>5685</v>
      </c>
      <c r="BT552" s="1" t="str">
        <f>HYPERLINK("https%3A%2F%2Fwww.webofscience.com%2Fwos%2Fwoscc%2Ffull-record%2FWOS:000221055300011","View Full Record in Web of Science")</f>
        <v>View Full Record in Web of Science</v>
      </c>
    </row>
    <row r="553" ht="12.75" customHeight="1">
      <c r="A553" s="1" t="s">
        <v>72</v>
      </c>
      <c r="B553" s="1" t="s">
        <v>5686</v>
      </c>
      <c r="C553" s="1" t="s">
        <v>74</v>
      </c>
      <c r="D553" s="1" t="s">
        <v>74</v>
      </c>
      <c r="E553" s="1" t="s">
        <v>74</v>
      </c>
      <c r="F553" s="1" t="s">
        <v>5686</v>
      </c>
      <c r="G553" s="1" t="s">
        <v>74</v>
      </c>
      <c r="H553" s="1" t="s">
        <v>74</v>
      </c>
      <c r="I553" s="1" t="s">
        <v>5687</v>
      </c>
      <c r="J553" s="1" t="s">
        <v>5688</v>
      </c>
      <c r="K553" s="1" t="s">
        <v>74</v>
      </c>
      <c r="L553" s="1" t="s">
        <v>74</v>
      </c>
      <c r="M553" s="1" t="s">
        <v>74</v>
      </c>
      <c r="N553" s="1" t="s">
        <v>74</v>
      </c>
      <c r="O553" s="1" t="s">
        <v>74</v>
      </c>
      <c r="P553" s="1" t="s">
        <v>74</v>
      </c>
      <c r="Q553" s="1" t="s">
        <v>74</v>
      </c>
      <c r="R553" s="1" t="s">
        <v>74</v>
      </c>
      <c r="S553" s="1" t="s">
        <v>74</v>
      </c>
      <c r="T553" s="1" t="s">
        <v>74</v>
      </c>
      <c r="U553" s="1" t="s">
        <v>74</v>
      </c>
      <c r="V553" s="1" t="s">
        <v>5689</v>
      </c>
      <c r="W553" s="1" t="s">
        <v>74</v>
      </c>
      <c r="X553" s="1" t="s">
        <v>74</v>
      </c>
      <c r="Y553" s="1" t="s">
        <v>74</v>
      </c>
      <c r="Z553" s="1" t="s">
        <v>74</v>
      </c>
      <c r="AA553" s="1" t="s">
        <v>5690</v>
      </c>
      <c r="AB553" s="1" t="s">
        <v>5691</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5692</v>
      </c>
      <c r="AP553" s="1" t="s">
        <v>5693</v>
      </c>
      <c r="AQ553" s="1" t="s">
        <v>74</v>
      </c>
      <c r="AR553" s="1" t="s">
        <v>74</v>
      </c>
      <c r="AS553" s="1" t="s">
        <v>74</v>
      </c>
      <c r="AT553" s="1" t="s">
        <v>74</v>
      </c>
      <c r="AU553" s="1">
        <v>1999.0</v>
      </c>
      <c r="AV553" s="1">
        <v>11.0</v>
      </c>
      <c r="AW553" s="1">
        <v>1.0</v>
      </c>
      <c r="AX553" s="1" t="s">
        <v>74</v>
      </c>
      <c r="AY553" s="1" t="s">
        <v>74</v>
      </c>
      <c r="AZ553" s="1" t="s">
        <v>74</v>
      </c>
      <c r="BA553" s="1" t="s">
        <v>74</v>
      </c>
      <c r="BB553" s="1">
        <v>57.0</v>
      </c>
      <c r="BC553" s="1">
        <v>67.0</v>
      </c>
      <c r="BD553" s="1" t="s">
        <v>74</v>
      </c>
      <c r="BE553" s="1" t="s">
        <v>5694</v>
      </c>
      <c r="BF553" s="2" t="str">
        <f>HYPERLINK("http://dx.doi.org/10.1023/A:1008027610826","http://dx.doi.org/10.1023/A:1008027610826")</f>
        <v>http://dx.doi.org/10.1023/A:1008027610826</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5695</v>
      </c>
      <c r="BT553" s="1" t="str">
        <f>HYPERLINK("https%3A%2F%2Fwww.webofscience.com%2Fwos%2Fwoscc%2Ffull-record%2FWOS:000081004600009","View Full Record in Web of Science")</f>
        <v>View Full Record in Web of Science</v>
      </c>
    </row>
    <row r="554" ht="12.75" customHeight="1">
      <c r="A554" s="1" t="s">
        <v>72</v>
      </c>
      <c r="B554" s="1" t="s">
        <v>5696</v>
      </c>
      <c r="C554" s="1" t="s">
        <v>74</v>
      </c>
      <c r="D554" s="1" t="s">
        <v>74</v>
      </c>
      <c r="E554" s="1" t="s">
        <v>74</v>
      </c>
      <c r="F554" s="1" t="s">
        <v>5697</v>
      </c>
      <c r="G554" s="1" t="s">
        <v>74</v>
      </c>
      <c r="H554" s="1" t="s">
        <v>74</v>
      </c>
      <c r="I554" s="1" t="s">
        <v>5698</v>
      </c>
      <c r="J554" s="1" t="s">
        <v>5699</v>
      </c>
      <c r="K554" s="1" t="s">
        <v>74</v>
      </c>
      <c r="L554" s="1" t="s">
        <v>74</v>
      </c>
      <c r="M554" s="1" t="s">
        <v>74</v>
      </c>
      <c r="N554" s="1" t="s">
        <v>74</v>
      </c>
      <c r="O554" s="1" t="s">
        <v>74</v>
      </c>
      <c r="P554" s="1" t="s">
        <v>74</v>
      </c>
      <c r="Q554" s="1" t="s">
        <v>74</v>
      </c>
      <c r="R554" s="1" t="s">
        <v>74</v>
      </c>
      <c r="S554" s="1" t="s">
        <v>74</v>
      </c>
      <c r="T554" s="1" t="s">
        <v>74</v>
      </c>
      <c r="U554" s="1" t="s">
        <v>74</v>
      </c>
      <c r="V554" s="1" t="s">
        <v>5700</v>
      </c>
      <c r="W554" s="1" t="s">
        <v>74</v>
      </c>
      <c r="X554" s="1" t="s">
        <v>74</v>
      </c>
      <c r="Y554" s="1" t="s">
        <v>74</v>
      </c>
      <c r="Z554" s="1" t="s">
        <v>74</v>
      </c>
      <c r="AA554" s="1" t="s">
        <v>5701</v>
      </c>
      <c r="AB554" s="1" t="s">
        <v>5702</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74</v>
      </c>
      <c r="AP554" s="1" t="s">
        <v>5703</v>
      </c>
      <c r="AQ554" s="1" t="s">
        <v>74</v>
      </c>
      <c r="AR554" s="1" t="s">
        <v>74</v>
      </c>
      <c r="AS554" s="1" t="s">
        <v>74</v>
      </c>
      <c r="AT554" s="1" t="s">
        <v>822</v>
      </c>
      <c r="AU554" s="1">
        <v>2025.0</v>
      </c>
      <c r="AV554" s="1">
        <v>57.0</v>
      </c>
      <c r="AW554" s="1" t="s">
        <v>74</v>
      </c>
      <c r="AX554" s="1" t="s">
        <v>74</v>
      </c>
      <c r="AY554" s="1" t="s">
        <v>74</v>
      </c>
      <c r="AZ554" s="1" t="s">
        <v>74</v>
      </c>
      <c r="BA554" s="1" t="s">
        <v>74</v>
      </c>
      <c r="BB554" s="1" t="s">
        <v>74</v>
      </c>
      <c r="BC554" s="1" t="s">
        <v>74</v>
      </c>
      <c r="BD554" s="1" t="s">
        <v>5704</v>
      </c>
      <c r="BE554" s="1" t="s">
        <v>5705</v>
      </c>
      <c r="BF554" s="2" t="str">
        <f>HYPERLINK("http://dx.doi.org/10.1016/j.gecco.2025.e03400","http://dx.doi.org/10.1016/j.gecco.2025.e03400")</f>
        <v>http://dx.doi.org/10.1016/j.gecco.2025.e03400</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5706</v>
      </c>
      <c r="BT554" s="1" t="str">
        <f>HYPERLINK("https%3A%2F%2Fwww.webofscience.com%2Fwos%2Fwoscc%2Ffull-record%2FWOS:001398520600001","View Full Record in Web of Science")</f>
        <v>View Full Record in Web of Science</v>
      </c>
    </row>
    <row r="555" ht="12.75" customHeight="1">
      <c r="A555" s="1" t="s">
        <v>72</v>
      </c>
      <c r="B555" s="1" t="s">
        <v>5707</v>
      </c>
      <c r="C555" s="1" t="s">
        <v>74</v>
      </c>
      <c r="D555" s="1" t="s">
        <v>74</v>
      </c>
      <c r="E555" s="1" t="s">
        <v>74</v>
      </c>
      <c r="F555" s="1" t="s">
        <v>5708</v>
      </c>
      <c r="G555" s="1" t="s">
        <v>74</v>
      </c>
      <c r="H555" s="1" t="s">
        <v>74</v>
      </c>
      <c r="I555" s="1" t="s">
        <v>5709</v>
      </c>
      <c r="J555" s="1" t="s">
        <v>5710</v>
      </c>
      <c r="K555" s="1" t="s">
        <v>74</v>
      </c>
      <c r="L555" s="1" t="s">
        <v>74</v>
      </c>
      <c r="M555" s="1" t="s">
        <v>74</v>
      </c>
      <c r="N555" s="1" t="s">
        <v>74</v>
      </c>
      <c r="O555" s="1" t="s">
        <v>74</v>
      </c>
      <c r="P555" s="1" t="s">
        <v>74</v>
      </c>
      <c r="Q555" s="1" t="s">
        <v>74</v>
      </c>
      <c r="R555" s="1" t="s">
        <v>74</v>
      </c>
      <c r="S555" s="1" t="s">
        <v>74</v>
      </c>
      <c r="T555" s="1" t="s">
        <v>74</v>
      </c>
      <c r="U555" s="1" t="s">
        <v>74</v>
      </c>
      <c r="V555" s="1" t="s">
        <v>5711</v>
      </c>
      <c r="W555" s="1" t="s">
        <v>74</v>
      </c>
      <c r="X555" s="1" t="s">
        <v>74</v>
      </c>
      <c r="Y555" s="1" t="s">
        <v>74</v>
      </c>
      <c r="Z555" s="1" t="s">
        <v>74</v>
      </c>
      <c r="AA555" s="1" t="s">
        <v>5712</v>
      </c>
      <c r="AB555" s="1" t="s">
        <v>5713</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5714</v>
      </c>
      <c r="AP555" s="1" t="s">
        <v>5715</v>
      </c>
      <c r="AQ555" s="1" t="s">
        <v>74</v>
      </c>
      <c r="AR555" s="1" t="s">
        <v>74</v>
      </c>
      <c r="AS555" s="1" t="s">
        <v>74</v>
      </c>
      <c r="AT555" s="1" t="s">
        <v>83</v>
      </c>
      <c r="AU555" s="1">
        <v>2024.0</v>
      </c>
      <c r="AV555" s="1">
        <v>32.0</v>
      </c>
      <c r="AW555" s="1">
        <v>12.0</v>
      </c>
      <c r="AX555" s="1" t="s">
        <v>74</v>
      </c>
      <c r="AY555" s="1" t="s">
        <v>74</v>
      </c>
      <c r="AZ555" s="1" t="s">
        <v>74</v>
      </c>
      <c r="BA555" s="1" t="s">
        <v>74</v>
      </c>
      <c r="BB555" s="1">
        <v>6235.0</v>
      </c>
      <c r="BC555" s="1">
        <v>6255.0</v>
      </c>
      <c r="BD555" s="1" t="s">
        <v>74</v>
      </c>
      <c r="BE555" s="1" t="s">
        <v>5716</v>
      </c>
      <c r="BF555" s="2" t="str">
        <f>HYPERLINK("http://dx.doi.org/10.1007/s10924-024-03363-w","http://dx.doi.org/10.1007/s10924-024-03363-w")</f>
        <v>http://dx.doi.org/10.1007/s10924-024-03363-w</v>
      </c>
      <c r="BG555" s="1" t="s">
        <v>74</v>
      </c>
      <c r="BH555" s="1" t="s">
        <v>4624</v>
      </c>
      <c r="BI555" s="1" t="s">
        <v>74</v>
      </c>
      <c r="BJ555" s="1" t="s">
        <v>74</v>
      </c>
      <c r="BK555" s="1" t="s">
        <v>74</v>
      </c>
      <c r="BL555" s="1" t="s">
        <v>74</v>
      </c>
      <c r="BM555" s="1" t="s">
        <v>74</v>
      </c>
      <c r="BN555" s="1" t="s">
        <v>74</v>
      </c>
      <c r="BO555" s="1" t="s">
        <v>74</v>
      </c>
      <c r="BP555" s="1" t="s">
        <v>74</v>
      </c>
      <c r="BQ555" s="1" t="s">
        <v>74</v>
      </c>
      <c r="BR555" s="1" t="s">
        <v>74</v>
      </c>
      <c r="BS555" s="1" t="s">
        <v>5717</v>
      </c>
      <c r="BT555" s="1" t="str">
        <f>HYPERLINK("https%3A%2F%2Fwww.webofscience.com%2Fwos%2Fwoscc%2Ffull-record%2FWOS:001280826200004","View Full Record in Web of Science")</f>
        <v>View Full Record in Web of Science</v>
      </c>
    </row>
    <row r="556" ht="12.75" customHeight="1">
      <c r="A556" s="1" t="s">
        <v>72</v>
      </c>
      <c r="B556" s="1" t="s">
        <v>5718</v>
      </c>
      <c r="C556" s="1" t="s">
        <v>74</v>
      </c>
      <c r="D556" s="1" t="s">
        <v>74</v>
      </c>
      <c r="E556" s="1" t="s">
        <v>74</v>
      </c>
      <c r="F556" s="1" t="s">
        <v>5719</v>
      </c>
      <c r="G556" s="1" t="s">
        <v>74</v>
      </c>
      <c r="H556" s="1" t="s">
        <v>74</v>
      </c>
      <c r="I556" s="1" t="s">
        <v>5720</v>
      </c>
      <c r="J556" s="1" t="s">
        <v>5721</v>
      </c>
      <c r="K556" s="1" t="s">
        <v>74</v>
      </c>
      <c r="L556" s="1" t="s">
        <v>74</v>
      </c>
      <c r="M556" s="1" t="s">
        <v>74</v>
      </c>
      <c r="N556" s="1" t="s">
        <v>74</v>
      </c>
      <c r="O556" s="1" t="s">
        <v>74</v>
      </c>
      <c r="P556" s="1" t="s">
        <v>74</v>
      </c>
      <c r="Q556" s="1" t="s">
        <v>74</v>
      </c>
      <c r="R556" s="1" t="s">
        <v>74</v>
      </c>
      <c r="S556" s="1" t="s">
        <v>74</v>
      </c>
      <c r="T556" s="1" t="s">
        <v>74</v>
      </c>
      <c r="U556" s="1" t="s">
        <v>74</v>
      </c>
      <c r="V556" s="1" t="s">
        <v>5722</v>
      </c>
      <c r="W556" s="1" t="s">
        <v>74</v>
      </c>
      <c r="X556" s="1" t="s">
        <v>74</v>
      </c>
      <c r="Y556" s="1" t="s">
        <v>74</v>
      </c>
      <c r="Z556" s="1" t="s">
        <v>74</v>
      </c>
      <c r="AA556" s="1" t="s">
        <v>5723</v>
      </c>
      <c r="AB556" s="1" t="s">
        <v>5724</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74</v>
      </c>
      <c r="AP556" s="1" t="s">
        <v>5725</v>
      </c>
      <c r="AQ556" s="1" t="s">
        <v>74</v>
      </c>
      <c r="AR556" s="1" t="s">
        <v>74</v>
      </c>
      <c r="AS556" s="1" t="s">
        <v>74</v>
      </c>
      <c r="AT556" s="1" t="s">
        <v>94</v>
      </c>
      <c r="AU556" s="1">
        <v>2024.0</v>
      </c>
      <c r="AV556" s="1">
        <v>16.0</v>
      </c>
      <c r="AW556" s="1">
        <v>9.0</v>
      </c>
      <c r="AX556" s="1" t="s">
        <v>74</v>
      </c>
      <c r="AY556" s="1" t="s">
        <v>74</v>
      </c>
      <c r="AZ556" s="1" t="s">
        <v>74</v>
      </c>
      <c r="BA556" s="1" t="s">
        <v>74</v>
      </c>
      <c r="BB556" s="1" t="s">
        <v>74</v>
      </c>
      <c r="BC556" s="1" t="s">
        <v>74</v>
      </c>
      <c r="BD556" s="1">
        <v>1324.0</v>
      </c>
      <c r="BE556" s="1" t="s">
        <v>5726</v>
      </c>
      <c r="BF556" s="2" t="str">
        <f>HYPERLINK("http://dx.doi.org/10.3390/nu16091324","http://dx.doi.org/10.3390/nu16091324")</f>
        <v>http://dx.doi.org/10.3390/nu16091324</v>
      </c>
      <c r="BG556" s="1" t="s">
        <v>74</v>
      </c>
      <c r="BH556" s="1" t="s">
        <v>74</v>
      </c>
      <c r="BI556" s="1" t="s">
        <v>74</v>
      </c>
      <c r="BJ556" s="1" t="s">
        <v>74</v>
      </c>
      <c r="BK556" s="1" t="s">
        <v>74</v>
      </c>
      <c r="BL556" s="1" t="s">
        <v>74</v>
      </c>
      <c r="BM556" s="1" t="s">
        <v>74</v>
      </c>
      <c r="BN556" s="1">
        <v>3.8732571E7</v>
      </c>
      <c r="BO556" s="1" t="s">
        <v>74</v>
      </c>
      <c r="BP556" s="1" t="s">
        <v>74</v>
      </c>
      <c r="BQ556" s="1" t="s">
        <v>74</v>
      </c>
      <c r="BR556" s="1" t="s">
        <v>74</v>
      </c>
      <c r="BS556" s="1" t="s">
        <v>5727</v>
      </c>
      <c r="BT556" s="1" t="str">
        <f>HYPERLINK("https%3A%2F%2Fwww.webofscience.com%2Fwos%2Fwoscc%2Ffull-record%2FWOS:001220016700001","View Full Record in Web of Science")</f>
        <v>View Full Record in Web of Science</v>
      </c>
    </row>
    <row r="557" ht="12.75" customHeight="1">
      <c r="A557" s="1" t="s">
        <v>72</v>
      </c>
      <c r="B557" s="1" t="s">
        <v>5728</v>
      </c>
      <c r="C557" s="1" t="s">
        <v>74</v>
      </c>
      <c r="D557" s="1" t="s">
        <v>74</v>
      </c>
      <c r="E557" s="1" t="s">
        <v>74</v>
      </c>
      <c r="F557" s="1" t="s">
        <v>5729</v>
      </c>
      <c r="G557" s="1" t="s">
        <v>74</v>
      </c>
      <c r="H557" s="1" t="s">
        <v>74</v>
      </c>
      <c r="I557" s="1" t="s">
        <v>5730</v>
      </c>
      <c r="J557" s="1" t="s">
        <v>5731</v>
      </c>
      <c r="K557" s="1" t="s">
        <v>74</v>
      </c>
      <c r="L557" s="1" t="s">
        <v>74</v>
      </c>
      <c r="M557" s="1" t="s">
        <v>74</v>
      </c>
      <c r="N557" s="1" t="s">
        <v>74</v>
      </c>
      <c r="O557" s="1" t="s">
        <v>74</v>
      </c>
      <c r="P557" s="1" t="s">
        <v>74</v>
      </c>
      <c r="Q557" s="1" t="s">
        <v>74</v>
      </c>
      <c r="R557" s="1" t="s">
        <v>74</v>
      </c>
      <c r="S557" s="1" t="s">
        <v>74</v>
      </c>
      <c r="T557" s="1" t="s">
        <v>74</v>
      </c>
      <c r="U557" s="1" t="s">
        <v>74</v>
      </c>
      <c r="V557" s="1" t="s">
        <v>5732</v>
      </c>
      <c r="W557" s="1" t="s">
        <v>74</v>
      </c>
      <c r="X557" s="1" t="s">
        <v>74</v>
      </c>
      <c r="Y557" s="1" t="s">
        <v>74</v>
      </c>
      <c r="Z557" s="1" t="s">
        <v>74</v>
      </c>
      <c r="AA557" s="1" t="s">
        <v>5733</v>
      </c>
      <c r="AB557" s="1" t="s">
        <v>1299</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5734</v>
      </c>
      <c r="AP557" s="1" t="s">
        <v>5735</v>
      </c>
      <c r="AQ557" s="1" t="s">
        <v>74</v>
      </c>
      <c r="AR557" s="1" t="s">
        <v>74</v>
      </c>
      <c r="AS557" s="1" t="s">
        <v>74</v>
      </c>
      <c r="AT557" s="1" t="s">
        <v>385</v>
      </c>
      <c r="AU557" s="1">
        <v>2024.0</v>
      </c>
      <c r="AV557" s="1">
        <v>132.0</v>
      </c>
      <c r="AW557" s="1" t="s">
        <v>74</v>
      </c>
      <c r="AX557" s="1" t="s">
        <v>74</v>
      </c>
      <c r="AY557" s="1" t="s">
        <v>74</v>
      </c>
      <c r="AZ557" s="1" t="s">
        <v>74</v>
      </c>
      <c r="BA557" s="1" t="s">
        <v>74</v>
      </c>
      <c r="BB557" s="1" t="s">
        <v>74</v>
      </c>
      <c r="BC557" s="1" t="s">
        <v>74</v>
      </c>
      <c r="BD557" s="1">
        <v>107860.0</v>
      </c>
      <c r="BE557" s="1" t="s">
        <v>5736</v>
      </c>
      <c r="BF557" s="2" t="str">
        <f>HYPERLINK("http://dx.doi.org/10.1016/j.engappai.2024.107860","http://dx.doi.org/10.1016/j.engappai.2024.107860")</f>
        <v>http://dx.doi.org/10.1016/j.engappai.2024.107860</v>
      </c>
      <c r="BG557" s="1" t="s">
        <v>74</v>
      </c>
      <c r="BH557" s="1" t="s">
        <v>5737</v>
      </c>
      <c r="BI557" s="1" t="s">
        <v>74</v>
      </c>
      <c r="BJ557" s="1" t="s">
        <v>74</v>
      </c>
      <c r="BK557" s="1" t="s">
        <v>74</v>
      </c>
      <c r="BL557" s="1" t="s">
        <v>74</v>
      </c>
      <c r="BM557" s="1" t="s">
        <v>74</v>
      </c>
      <c r="BN557" s="1" t="s">
        <v>74</v>
      </c>
      <c r="BO557" s="1" t="s">
        <v>74</v>
      </c>
      <c r="BP557" s="1" t="s">
        <v>74</v>
      </c>
      <c r="BQ557" s="1" t="s">
        <v>74</v>
      </c>
      <c r="BR557" s="1" t="s">
        <v>74</v>
      </c>
      <c r="BS557" s="1" t="s">
        <v>5738</v>
      </c>
      <c r="BT557" s="1" t="str">
        <f>HYPERLINK("https%3A%2F%2Fwww.webofscience.com%2Fwos%2Fwoscc%2Ffull-record%2FWOS:001165139400001","View Full Record in Web of Science")</f>
        <v>View Full Record in Web of Science</v>
      </c>
    </row>
    <row r="558" ht="12.75" customHeight="1">
      <c r="A558" s="1" t="s">
        <v>72</v>
      </c>
      <c r="B558" s="1" t="s">
        <v>5739</v>
      </c>
      <c r="C558" s="1" t="s">
        <v>74</v>
      </c>
      <c r="D558" s="1" t="s">
        <v>74</v>
      </c>
      <c r="E558" s="1" t="s">
        <v>74</v>
      </c>
      <c r="F558" s="1" t="s">
        <v>5740</v>
      </c>
      <c r="G558" s="1" t="s">
        <v>74</v>
      </c>
      <c r="H558" s="1" t="s">
        <v>74</v>
      </c>
      <c r="I558" s="1" t="s">
        <v>5741</v>
      </c>
      <c r="J558" s="1" t="s">
        <v>5742</v>
      </c>
      <c r="K558" s="1" t="s">
        <v>74</v>
      </c>
      <c r="L558" s="1" t="s">
        <v>74</v>
      </c>
      <c r="M558" s="1" t="s">
        <v>74</v>
      </c>
      <c r="N558" s="1" t="s">
        <v>74</v>
      </c>
      <c r="O558" s="1" t="s">
        <v>74</v>
      </c>
      <c r="P558" s="1" t="s">
        <v>74</v>
      </c>
      <c r="Q558" s="1" t="s">
        <v>74</v>
      </c>
      <c r="R558" s="1" t="s">
        <v>74</v>
      </c>
      <c r="S558" s="1" t="s">
        <v>74</v>
      </c>
      <c r="T558" s="1" t="s">
        <v>74</v>
      </c>
      <c r="U558" s="1" t="s">
        <v>74</v>
      </c>
      <c r="V558" s="1" t="s">
        <v>5743</v>
      </c>
      <c r="W558" s="1" t="s">
        <v>74</v>
      </c>
      <c r="X558" s="1" t="s">
        <v>74</v>
      </c>
      <c r="Y558" s="1" t="s">
        <v>74</v>
      </c>
      <c r="Z558" s="1" t="s">
        <v>74</v>
      </c>
      <c r="AA558" s="1" t="s">
        <v>5744</v>
      </c>
      <c r="AB558" s="1" t="s">
        <v>5745</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74</v>
      </c>
      <c r="AP558" s="1" t="s">
        <v>5746</v>
      </c>
      <c r="AQ558" s="1" t="s">
        <v>74</v>
      </c>
      <c r="AR558" s="1" t="s">
        <v>74</v>
      </c>
      <c r="AS558" s="1" t="s">
        <v>74</v>
      </c>
      <c r="AT558" s="1" t="s">
        <v>176</v>
      </c>
      <c r="AU558" s="1">
        <v>2023.0</v>
      </c>
      <c r="AV558" s="1">
        <v>13.0</v>
      </c>
      <c r="AW558" s="1">
        <v>3.0</v>
      </c>
      <c r="AX558" s="1" t="s">
        <v>74</v>
      </c>
      <c r="AY558" s="1" t="s">
        <v>74</v>
      </c>
      <c r="AZ558" s="1" t="s">
        <v>74</v>
      </c>
      <c r="BA558" s="1" t="s">
        <v>74</v>
      </c>
      <c r="BB558" s="1" t="s">
        <v>74</v>
      </c>
      <c r="BC558" s="1" t="s">
        <v>74</v>
      </c>
      <c r="BD558" s="1">
        <v>310.0</v>
      </c>
      <c r="BE558" s="1" t="s">
        <v>5747</v>
      </c>
      <c r="BF558" s="2" t="str">
        <f>HYPERLINK("http://dx.doi.org/10.3390/educsci13030310","http://dx.doi.org/10.3390/educsci13030310")</f>
        <v>http://dx.doi.org/10.3390/educsci13030310</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5748</v>
      </c>
      <c r="BT558" s="1" t="str">
        <f>HYPERLINK("https%3A%2F%2Fwww.webofscience.com%2Fwos%2Fwoscc%2Ffull-record%2FWOS:000956540400001","View Full Record in Web of Science")</f>
        <v>View Full Record in Web of Science</v>
      </c>
    </row>
    <row r="559" ht="12.75" customHeight="1">
      <c r="A559" s="1" t="s">
        <v>72</v>
      </c>
      <c r="B559" s="1" t="s">
        <v>5749</v>
      </c>
      <c r="C559" s="1" t="s">
        <v>74</v>
      </c>
      <c r="D559" s="1" t="s">
        <v>74</v>
      </c>
      <c r="E559" s="1" t="s">
        <v>74</v>
      </c>
      <c r="F559" s="1" t="s">
        <v>5750</v>
      </c>
      <c r="G559" s="1" t="s">
        <v>74</v>
      </c>
      <c r="H559" s="1" t="s">
        <v>74</v>
      </c>
      <c r="I559" s="1" t="s">
        <v>5751</v>
      </c>
      <c r="J559" s="1" t="s">
        <v>5752</v>
      </c>
      <c r="K559" s="1" t="s">
        <v>74</v>
      </c>
      <c r="L559" s="1" t="s">
        <v>74</v>
      </c>
      <c r="M559" s="1" t="s">
        <v>74</v>
      </c>
      <c r="N559" s="1" t="s">
        <v>74</v>
      </c>
      <c r="O559" s="1" t="s">
        <v>74</v>
      </c>
      <c r="P559" s="1" t="s">
        <v>74</v>
      </c>
      <c r="Q559" s="1" t="s">
        <v>74</v>
      </c>
      <c r="R559" s="1" t="s">
        <v>74</v>
      </c>
      <c r="S559" s="1" t="s">
        <v>74</v>
      </c>
      <c r="T559" s="1" t="s">
        <v>74</v>
      </c>
      <c r="U559" s="1" t="s">
        <v>74</v>
      </c>
      <c r="V559" s="1" t="s">
        <v>5753</v>
      </c>
      <c r="W559" s="1" t="s">
        <v>74</v>
      </c>
      <c r="X559" s="1" t="s">
        <v>74</v>
      </c>
      <c r="Y559" s="1" t="s">
        <v>74</v>
      </c>
      <c r="Z559" s="1" t="s">
        <v>74</v>
      </c>
      <c r="AA559" s="1" t="s">
        <v>74</v>
      </c>
      <c r="AB559" s="1" t="s">
        <v>74</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5754</v>
      </c>
      <c r="AP559" s="1" t="s">
        <v>5755</v>
      </c>
      <c r="AQ559" s="1" t="s">
        <v>74</v>
      </c>
      <c r="AR559" s="1" t="s">
        <v>74</v>
      </c>
      <c r="AS559" s="1" t="s">
        <v>74</v>
      </c>
      <c r="AT559" s="1" t="s">
        <v>176</v>
      </c>
      <c r="AU559" s="1">
        <v>2023.0</v>
      </c>
      <c r="AV559" s="1">
        <v>39.0</v>
      </c>
      <c r="AW559" s="1">
        <v>1.0</v>
      </c>
      <c r="AX559" s="1" t="s">
        <v>74</v>
      </c>
      <c r="AY559" s="1" t="s">
        <v>74</v>
      </c>
      <c r="AZ559" s="1" t="s">
        <v>74</v>
      </c>
      <c r="BA559" s="1" t="s">
        <v>74</v>
      </c>
      <c r="BB559" s="1">
        <v>2.0</v>
      </c>
      <c r="BC559" s="1">
        <v>9.0</v>
      </c>
      <c r="BD559" s="1" t="s">
        <v>74</v>
      </c>
      <c r="BE559" s="1" t="s">
        <v>5756</v>
      </c>
      <c r="BF559" s="2" t="str">
        <f>HYPERLINK("http://dx.doi.org/10.1097/RUQ.0000000000000634","http://dx.doi.org/10.1097/RUQ.0000000000000634")</f>
        <v>http://dx.doi.org/10.1097/RUQ.0000000000000634</v>
      </c>
      <c r="BG559" s="1" t="s">
        <v>74</v>
      </c>
      <c r="BH559" s="1" t="s">
        <v>74</v>
      </c>
      <c r="BI559" s="1" t="s">
        <v>74</v>
      </c>
      <c r="BJ559" s="1" t="s">
        <v>74</v>
      </c>
      <c r="BK559" s="1" t="s">
        <v>74</v>
      </c>
      <c r="BL559" s="1" t="s">
        <v>74</v>
      </c>
      <c r="BM559" s="1" t="s">
        <v>74</v>
      </c>
      <c r="BN559" s="1">
        <v>3.665165E7</v>
      </c>
      <c r="BO559" s="1" t="s">
        <v>74</v>
      </c>
      <c r="BP559" s="1" t="s">
        <v>74</v>
      </c>
      <c r="BQ559" s="1" t="s">
        <v>74</v>
      </c>
      <c r="BR559" s="1" t="s">
        <v>74</v>
      </c>
      <c r="BS559" s="1" t="s">
        <v>5757</v>
      </c>
      <c r="BT559" s="1" t="str">
        <f>HYPERLINK("https%3A%2F%2Fwww.webofscience.com%2Fwos%2Fwoscc%2Ffull-record%2FWOS:000943240300002","View Full Record in Web of Science")</f>
        <v>View Full Record in Web of Science</v>
      </c>
    </row>
    <row r="560" ht="12.75" customHeight="1">
      <c r="A560" s="1" t="s">
        <v>72</v>
      </c>
      <c r="B560" s="1" t="s">
        <v>5758</v>
      </c>
      <c r="C560" s="1" t="s">
        <v>74</v>
      </c>
      <c r="D560" s="1" t="s">
        <v>74</v>
      </c>
      <c r="E560" s="1" t="s">
        <v>74</v>
      </c>
      <c r="F560" s="1" t="s">
        <v>5759</v>
      </c>
      <c r="G560" s="1" t="s">
        <v>74</v>
      </c>
      <c r="H560" s="1" t="s">
        <v>74</v>
      </c>
      <c r="I560" s="1" t="s">
        <v>5760</v>
      </c>
      <c r="J560" s="1" t="s">
        <v>1571</v>
      </c>
      <c r="K560" s="1" t="s">
        <v>74</v>
      </c>
      <c r="L560" s="1" t="s">
        <v>74</v>
      </c>
      <c r="M560" s="1" t="s">
        <v>74</v>
      </c>
      <c r="N560" s="1" t="s">
        <v>74</v>
      </c>
      <c r="O560" s="1" t="s">
        <v>74</v>
      </c>
      <c r="P560" s="1" t="s">
        <v>74</v>
      </c>
      <c r="Q560" s="1" t="s">
        <v>74</v>
      </c>
      <c r="R560" s="1" t="s">
        <v>74</v>
      </c>
      <c r="S560" s="1" t="s">
        <v>74</v>
      </c>
      <c r="T560" s="1" t="s">
        <v>74</v>
      </c>
      <c r="U560" s="1" t="s">
        <v>74</v>
      </c>
      <c r="V560" s="1" t="s">
        <v>5761</v>
      </c>
      <c r="W560" s="1" t="s">
        <v>74</v>
      </c>
      <c r="X560" s="1" t="s">
        <v>74</v>
      </c>
      <c r="Y560" s="1" t="s">
        <v>74</v>
      </c>
      <c r="Z560" s="1" t="s">
        <v>74</v>
      </c>
      <c r="AA560" s="1" t="s">
        <v>5762</v>
      </c>
      <c r="AB560" s="1" t="s">
        <v>5763</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74</v>
      </c>
      <c r="AP560" s="1" t="s">
        <v>1575</v>
      </c>
      <c r="AQ560" s="1" t="s">
        <v>74</v>
      </c>
      <c r="AR560" s="1" t="s">
        <v>74</v>
      </c>
      <c r="AS560" s="1" t="s">
        <v>74</v>
      </c>
      <c r="AT560" s="1" t="s">
        <v>974</v>
      </c>
      <c r="AU560" s="1">
        <v>2022.0</v>
      </c>
      <c r="AV560" s="1">
        <v>14.0</v>
      </c>
      <c r="AW560" s="1">
        <v>13.0</v>
      </c>
      <c r="AX560" s="1" t="s">
        <v>74</v>
      </c>
      <c r="AY560" s="1" t="s">
        <v>74</v>
      </c>
      <c r="AZ560" s="1" t="s">
        <v>74</v>
      </c>
      <c r="BA560" s="1" t="s">
        <v>74</v>
      </c>
      <c r="BB560" s="1" t="s">
        <v>74</v>
      </c>
      <c r="BC560" s="1" t="s">
        <v>74</v>
      </c>
      <c r="BD560" s="1">
        <v>7969.0</v>
      </c>
      <c r="BE560" s="1" t="s">
        <v>5764</v>
      </c>
      <c r="BF560" s="2" t="str">
        <f>HYPERLINK("http://dx.doi.org/10.3390/su14137969","http://dx.doi.org/10.3390/su14137969")</f>
        <v>http://dx.doi.org/10.3390/su14137969</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5765</v>
      </c>
      <c r="BT560" s="1" t="str">
        <f>HYPERLINK("https%3A%2F%2Fwww.webofscience.com%2Fwos%2Fwoscc%2Ffull-record%2FWOS:000825630700001","View Full Record in Web of Science")</f>
        <v>View Full Record in Web of Science</v>
      </c>
    </row>
    <row r="561" ht="12.75" customHeight="1">
      <c r="A561" s="1" t="s">
        <v>72</v>
      </c>
      <c r="B561" s="1" t="s">
        <v>5766</v>
      </c>
      <c r="C561" s="1" t="s">
        <v>74</v>
      </c>
      <c r="D561" s="1" t="s">
        <v>74</v>
      </c>
      <c r="E561" s="1" t="s">
        <v>74</v>
      </c>
      <c r="F561" s="1" t="s">
        <v>5767</v>
      </c>
      <c r="G561" s="1" t="s">
        <v>74</v>
      </c>
      <c r="H561" s="1" t="s">
        <v>74</v>
      </c>
      <c r="I561" s="1" t="s">
        <v>5768</v>
      </c>
      <c r="J561" s="1" t="s">
        <v>5769</v>
      </c>
      <c r="K561" s="1" t="s">
        <v>74</v>
      </c>
      <c r="L561" s="1" t="s">
        <v>74</v>
      </c>
      <c r="M561" s="1" t="s">
        <v>74</v>
      </c>
      <c r="N561" s="1" t="s">
        <v>74</v>
      </c>
      <c r="O561" s="1" t="s">
        <v>74</v>
      </c>
      <c r="P561" s="1" t="s">
        <v>74</v>
      </c>
      <c r="Q561" s="1" t="s">
        <v>74</v>
      </c>
      <c r="R561" s="1" t="s">
        <v>74</v>
      </c>
      <c r="S561" s="1" t="s">
        <v>74</v>
      </c>
      <c r="T561" s="1" t="s">
        <v>74</v>
      </c>
      <c r="U561" s="1" t="s">
        <v>74</v>
      </c>
      <c r="V561" s="1" t="s">
        <v>5770</v>
      </c>
      <c r="W561" s="1" t="s">
        <v>74</v>
      </c>
      <c r="X561" s="1" t="s">
        <v>74</v>
      </c>
      <c r="Y561" s="1" t="s">
        <v>74</v>
      </c>
      <c r="Z561" s="1" t="s">
        <v>74</v>
      </c>
      <c r="AA561" s="1" t="s">
        <v>5771</v>
      </c>
      <c r="AB561" s="1" t="s">
        <v>5772</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5773</v>
      </c>
      <c r="AP561" s="1" t="s">
        <v>5774</v>
      </c>
      <c r="AQ561" s="1" t="s">
        <v>74</v>
      </c>
      <c r="AR561" s="1" t="s">
        <v>74</v>
      </c>
      <c r="AS561" s="1" t="s">
        <v>74</v>
      </c>
      <c r="AT561" s="1" t="s">
        <v>877</v>
      </c>
      <c r="AU561" s="1">
        <v>2021.0</v>
      </c>
      <c r="AV561" s="1">
        <v>9.0</v>
      </c>
      <c r="AW561" s="1">
        <v>4.0</v>
      </c>
      <c r="AX561" s="1" t="s">
        <v>74</v>
      </c>
      <c r="AY561" s="1" t="s">
        <v>74</v>
      </c>
      <c r="AZ561" s="1" t="s">
        <v>74</v>
      </c>
      <c r="BA561" s="1" t="s">
        <v>74</v>
      </c>
      <c r="BB561" s="1" t="s">
        <v>74</v>
      </c>
      <c r="BC561" s="1" t="s">
        <v>74</v>
      </c>
      <c r="BD561" s="1">
        <v>105269.0</v>
      </c>
      <c r="BE561" s="1" t="s">
        <v>5775</v>
      </c>
      <c r="BF561" s="2" t="str">
        <f>HYPERLINK("http://dx.doi.org/10.1016/j.jece.2021.105269","http://dx.doi.org/10.1016/j.jece.2021.105269")</f>
        <v>http://dx.doi.org/10.1016/j.jece.2021.105269</v>
      </c>
      <c r="BG561" s="1" t="s">
        <v>74</v>
      </c>
      <c r="BH561" s="1" t="s">
        <v>5776</v>
      </c>
      <c r="BI561" s="1" t="s">
        <v>74</v>
      </c>
      <c r="BJ561" s="1" t="s">
        <v>74</v>
      </c>
      <c r="BK561" s="1" t="s">
        <v>74</v>
      </c>
      <c r="BL561" s="1" t="s">
        <v>74</v>
      </c>
      <c r="BM561" s="1" t="s">
        <v>74</v>
      </c>
      <c r="BN561" s="1" t="s">
        <v>74</v>
      </c>
      <c r="BO561" s="1" t="s">
        <v>74</v>
      </c>
      <c r="BP561" s="1" t="s">
        <v>74</v>
      </c>
      <c r="BQ561" s="1" t="s">
        <v>74</v>
      </c>
      <c r="BR561" s="1" t="s">
        <v>74</v>
      </c>
      <c r="BS561" s="1" t="s">
        <v>5777</v>
      </c>
      <c r="BT561" s="1" t="str">
        <f>HYPERLINK("https%3A%2F%2Fwww.webofscience.com%2Fwos%2Fwoscc%2Ffull-record%2FWOS:000670383900001","View Full Record in Web of Science")</f>
        <v>View Full Record in Web of Science</v>
      </c>
    </row>
    <row r="562" ht="12.75" customHeight="1">
      <c r="A562" s="1" t="s">
        <v>154</v>
      </c>
      <c r="B562" s="1" t="s">
        <v>5778</v>
      </c>
      <c r="C562" s="1" t="s">
        <v>74</v>
      </c>
      <c r="D562" s="1" t="s">
        <v>74</v>
      </c>
      <c r="E562" s="1" t="s">
        <v>323</v>
      </c>
      <c r="F562" s="1" t="s">
        <v>5779</v>
      </c>
      <c r="G562" s="1" t="s">
        <v>74</v>
      </c>
      <c r="H562" s="1" t="s">
        <v>74</v>
      </c>
      <c r="I562" s="1" t="s">
        <v>5780</v>
      </c>
      <c r="J562" s="1" t="s">
        <v>5781</v>
      </c>
      <c r="K562" s="1" t="s">
        <v>5782</v>
      </c>
      <c r="L562" s="1" t="s">
        <v>74</v>
      </c>
      <c r="M562" s="1" t="s">
        <v>74</v>
      </c>
      <c r="N562" s="1" t="s">
        <v>74</v>
      </c>
      <c r="O562" s="1" t="s">
        <v>5783</v>
      </c>
      <c r="P562" s="1" t="s">
        <v>5784</v>
      </c>
      <c r="Q562" s="1" t="s">
        <v>5785</v>
      </c>
      <c r="R562" s="1" t="s">
        <v>323</v>
      </c>
      <c r="S562" s="1" t="s">
        <v>74</v>
      </c>
      <c r="T562" s="1" t="s">
        <v>74</v>
      </c>
      <c r="U562" s="1" t="s">
        <v>74</v>
      </c>
      <c r="V562" s="1" t="s">
        <v>5786</v>
      </c>
      <c r="W562" s="1" t="s">
        <v>74</v>
      </c>
      <c r="X562" s="1" t="s">
        <v>74</v>
      </c>
      <c r="Y562" s="1" t="s">
        <v>74</v>
      </c>
      <c r="Z562" s="1" t="s">
        <v>74</v>
      </c>
      <c r="AA562" s="1" t="s">
        <v>5787</v>
      </c>
      <c r="AB562" s="1" t="s">
        <v>5788</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5789</v>
      </c>
      <c r="AP562" s="1" t="s">
        <v>74</v>
      </c>
      <c r="AQ562" s="1" t="s">
        <v>5790</v>
      </c>
      <c r="AR562" s="1" t="s">
        <v>74</v>
      </c>
      <c r="AS562" s="1" t="s">
        <v>74</v>
      </c>
      <c r="AT562" s="1" t="s">
        <v>74</v>
      </c>
      <c r="AU562" s="1">
        <v>2020.0</v>
      </c>
      <c r="AV562" s="1" t="s">
        <v>74</v>
      </c>
      <c r="AW562" s="1" t="s">
        <v>74</v>
      </c>
      <c r="AX562" s="1" t="s">
        <v>74</v>
      </c>
      <c r="AY562" s="1" t="s">
        <v>74</v>
      </c>
      <c r="AZ562" s="1" t="s">
        <v>74</v>
      </c>
      <c r="BA562" s="1" t="s">
        <v>74</v>
      </c>
      <c r="BB562" s="1">
        <v>630.0</v>
      </c>
      <c r="BC562" s="1">
        <v>635.0</v>
      </c>
      <c r="BD562" s="1" t="s">
        <v>74</v>
      </c>
      <c r="BE562" s="1" t="s">
        <v>5791</v>
      </c>
      <c r="BF562" s="2" t="str">
        <f>HYPERLINK("http://dx.doi.org/10.1109/ICIT45562.2020.9067249","http://dx.doi.org/10.1109/ICIT45562.2020.9067249")</f>
        <v>http://dx.doi.org/10.1109/ICIT45562.2020.9067249</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5792</v>
      </c>
      <c r="BT562" s="1" t="str">
        <f>HYPERLINK("https%3A%2F%2Fwww.webofscience.com%2Fwos%2Fwoscc%2Ffull-record%2FWOS:000560681600096","View Full Record in Web of Science")</f>
        <v>View Full Record in Web of Science</v>
      </c>
    </row>
    <row r="563" ht="12.75" customHeight="1">
      <c r="A563" s="1" t="s">
        <v>72</v>
      </c>
      <c r="B563" s="1" t="s">
        <v>5793</v>
      </c>
      <c r="C563" s="1" t="s">
        <v>74</v>
      </c>
      <c r="D563" s="1" t="s">
        <v>74</v>
      </c>
      <c r="E563" s="1" t="s">
        <v>74</v>
      </c>
      <c r="F563" s="1" t="s">
        <v>5794</v>
      </c>
      <c r="G563" s="1" t="s">
        <v>74</v>
      </c>
      <c r="H563" s="1" t="s">
        <v>74</v>
      </c>
      <c r="I563" s="1" t="s">
        <v>5795</v>
      </c>
      <c r="J563" s="1" t="s">
        <v>5796</v>
      </c>
      <c r="K563" s="1" t="s">
        <v>74</v>
      </c>
      <c r="L563" s="1" t="s">
        <v>74</v>
      </c>
      <c r="M563" s="1" t="s">
        <v>74</v>
      </c>
      <c r="N563" s="1" t="s">
        <v>74</v>
      </c>
      <c r="O563" s="1" t="s">
        <v>74</v>
      </c>
      <c r="P563" s="1" t="s">
        <v>74</v>
      </c>
      <c r="Q563" s="1" t="s">
        <v>74</v>
      </c>
      <c r="R563" s="1" t="s">
        <v>74</v>
      </c>
      <c r="S563" s="1" t="s">
        <v>74</v>
      </c>
      <c r="T563" s="1" t="s">
        <v>74</v>
      </c>
      <c r="U563" s="1" t="s">
        <v>74</v>
      </c>
      <c r="V563" s="1" t="s">
        <v>5797</v>
      </c>
      <c r="W563" s="1" t="s">
        <v>74</v>
      </c>
      <c r="X563" s="1" t="s">
        <v>74</v>
      </c>
      <c r="Y563" s="1" t="s">
        <v>74</v>
      </c>
      <c r="Z563" s="1" t="s">
        <v>74</v>
      </c>
      <c r="AA563" s="1" t="s">
        <v>5798</v>
      </c>
      <c r="AB563" s="1" t="s">
        <v>5799</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5800</v>
      </c>
      <c r="AP563" s="1" t="s">
        <v>5801</v>
      </c>
      <c r="AQ563" s="1" t="s">
        <v>74</v>
      </c>
      <c r="AR563" s="1" t="s">
        <v>74</v>
      </c>
      <c r="AS563" s="1" t="s">
        <v>74</v>
      </c>
      <c r="AT563" s="1" t="s">
        <v>94</v>
      </c>
      <c r="AU563" s="1">
        <v>2017.0</v>
      </c>
      <c r="AV563" s="1">
        <v>5.0</v>
      </c>
      <c r="AW563" s="1">
        <v>3.0</v>
      </c>
      <c r="AX563" s="1" t="s">
        <v>74</v>
      </c>
      <c r="AY563" s="1" t="s">
        <v>74</v>
      </c>
      <c r="AZ563" s="1" t="s">
        <v>74</v>
      </c>
      <c r="BA563" s="1" t="s">
        <v>74</v>
      </c>
      <c r="BB563" s="1">
        <v>486.0</v>
      </c>
      <c r="BC563" s="1">
        <v>494.0</v>
      </c>
      <c r="BD563" s="1" t="s">
        <v>74</v>
      </c>
      <c r="BE563" s="1" t="s">
        <v>5802</v>
      </c>
      <c r="BF563" s="2" t="str">
        <f>HYPERLINK("http://dx.doi.org/10.1111/andr.12346","http://dx.doi.org/10.1111/andr.12346")</f>
        <v>http://dx.doi.org/10.1111/andr.12346</v>
      </c>
      <c r="BG563" s="1" t="s">
        <v>74</v>
      </c>
      <c r="BH563" s="1" t="s">
        <v>74</v>
      </c>
      <c r="BI563" s="1" t="s">
        <v>74</v>
      </c>
      <c r="BJ563" s="1" t="s">
        <v>74</v>
      </c>
      <c r="BK563" s="1" t="s">
        <v>74</v>
      </c>
      <c r="BL563" s="1" t="s">
        <v>74</v>
      </c>
      <c r="BM563" s="1" t="s">
        <v>74</v>
      </c>
      <c r="BN563" s="1">
        <v>2.8334509E7</v>
      </c>
      <c r="BO563" s="1" t="s">
        <v>74</v>
      </c>
      <c r="BP563" s="1" t="s">
        <v>74</v>
      </c>
      <c r="BQ563" s="1" t="s">
        <v>74</v>
      </c>
      <c r="BR563" s="1" t="s">
        <v>74</v>
      </c>
      <c r="BS563" s="1" t="s">
        <v>5803</v>
      </c>
      <c r="BT563" s="1" t="str">
        <f>HYPERLINK("https%3A%2F%2Fwww.webofscience.com%2Fwos%2Fwoscc%2Ffull-record%2FWOS:000399642700015","View Full Record in Web of Science")</f>
        <v>View Full Record in Web of Science</v>
      </c>
    </row>
    <row r="564" ht="12.75" customHeight="1">
      <c r="A564" s="1" t="s">
        <v>72</v>
      </c>
      <c r="B564" s="1" t="s">
        <v>5804</v>
      </c>
      <c r="C564" s="1" t="s">
        <v>74</v>
      </c>
      <c r="D564" s="1" t="s">
        <v>74</v>
      </c>
      <c r="E564" s="1" t="s">
        <v>74</v>
      </c>
      <c r="F564" s="1" t="s">
        <v>5805</v>
      </c>
      <c r="G564" s="1" t="s">
        <v>74</v>
      </c>
      <c r="H564" s="1" t="s">
        <v>74</v>
      </c>
      <c r="I564" s="1" t="s">
        <v>5806</v>
      </c>
      <c r="J564" s="1" t="s">
        <v>5807</v>
      </c>
      <c r="K564" s="1" t="s">
        <v>74</v>
      </c>
      <c r="L564" s="1" t="s">
        <v>74</v>
      </c>
      <c r="M564" s="1" t="s">
        <v>74</v>
      </c>
      <c r="N564" s="1" t="s">
        <v>74</v>
      </c>
      <c r="O564" s="1" t="s">
        <v>74</v>
      </c>
      <c r="P564" s="1" t="s">
        <v>74</v>
      </c>
      <c r="Q564" s="1" t="s">
        <v>74</v>
      </c>
      <c r="R564" s="1" t="s">
        <v>74</v>
      </c>
      <c r="S564" s="1" t="s">
        <v>74</v>
      </c>
      <c r="T564" s="1" t="s">
        <v>74</v>
      </c>
      <c r="U564" s="1" t="s">
        <v>74</v>
      </c>
      <c r="V564" s="1" t="s">
        <v>5808</v>
      </c>
      <c r="W564" s="1" t="s">
        <v>74</v>
      </c>
      <c r="X564" s="1" t="s">
        <v>74</v>
      </c>
      <c r="Y564" s="1" t="s">
        <v>74</v>
      </c>
      <c r="Z564" s="1" t="s">
        <v>74</v>
      </c>
      <c r="AA564" s="1" t="s">
        <v>5809</v>
      </c>
      <c r="AB564" s="1" t="s">
        <v>5810</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5811</v>
      </c>
      <c r="AP564" s="1" t="s">
        <v>5812</v>
      </c>
      <c r="AQ564" s="1" t="s">
        <v>74</v>
      </c>
      <c r="AR564" s="1" t="s">
        <v>74</v>
      </c>
      <c r="AS564" s="1" t="s">
        <v>74</v>
      </c>
      <c r="AT564" s="1" t="s">
        <v>5813</v>
      </c>
      <c r="AU564" s="1">
        <v>2017.0</v>
      </c>
      <c r="AV564" s="1">
        <v>93.0</v>
      </c>
      <c r="AW564" s="1">
        <v>3.0</v>
      </c>
      <c r="AX564" s="1" t="s">
        <v>74</v>
      </c>
      <c r="AY564" s="1" t="s">
        <v>74</v>
      </c>
      <c r="AZ564" s="1" t="s">
        <v>74</v>
      </c>
      <c r="BA564" s="1" t="s">
        <v>74</v>
      </c>
      <c r="BB564" s="1">
        <v>230.0</v>
      </c>
      <c r="BC564" s="1">
        <v>237.0</v>
      </c>
      <c r="BD564" s="1" t="s">
        <v>74</v>
      </c>
      <c r="BE564" s="1" t="s">
        <v>5814</v>
      </c>
      <c r="BF564" s="2" t="str">
        <f>HYPERLINK("http://dx.doi.org/10.1016/j.jped.2016.07.003","http://dx.doi.org/10.1016/j.jped.2016.07.003")</f>
        <v>http://dx.doi.org/10.1016/j.jped.2016.07.003</v>
      </c>
      <c r="BG564" s="1" t="s">
        <v>74</v>
      </c>
      <c r="BH564" s="1" t="s">
        <v>74</v>
      </c>
      <c r="BI564" s="1" t="s">
        <v>74</v>
      </c>
      <c r="BJ564" s="1" t="s">
        <v>74</v>
      </c>
      <c r="BK564" s="1" t="s">
        <v>74</v>
      </c>
      <c r="BL564" s="1" t="s">
        <v>74</v>
      </c>
      <c r="BM564" s="1" t="s">
        <v>74</v>
      </c>
      <c r="BN564" s="1">
        <v>2.7886805E7</v>
      </c>
      <c r="BO564" s="1" t="s">
        <v>74</v>
      </c>
      <c r="BP564" s="1" t="s">
        <v>74</v>
      </c>
      <c r="BQ564" s="1" t="s">
        <v>74</v>
      </c>
      <c r="BR564" s="1" t="s">
        <v>74</v>
      </c>
      <c r="BS564" s="1" t="s">
        <v>5815</v>
      </c>
      <c r="BT564" s="1" t="str">
        <f>HYPERLINK("https%3A%2F%2Fwww.webofscience.com%2Fwos%2Fwoscc%2Ffull-record%2FWOS:000402692700005","View Full Record in Web of Science")</f>
        <v>View Full Record in Web of Science</v>
      </c>
    </row>
    <row r="565" ht="12.75" customHeight="1">
      <c r="A565" s="1" t="s">
        <v>72</v>
      </c>
      <c r="B565" s="1" t="s">
        <v>5816</v>
      </c>
      <c r="C565" s="1" t="s">
        <v>74</v>
      </c>
      <c r="D565" s="1" t="s">
        <v>74</v>
      </c>
      <c r="E565" s="1" t="s">
        <v>74</v>
      </c>
      <c r="F565" s="1" t="s">
        <v>5817</v>
      </c>
      <c r="G565" s="1" t="s">
        <v>74</v>
      </c>
      <c r="H565" s="1" t="s">
        <v>74</v>
      </c>
      <c r="I565" s="1" t="s">
        <v>5818</v>
      </c>
      <c r="J565" s="1" t="s">
        <v>5819</v>
      </c>
      <c r="K565" s="1" t="s">
        <v>74</v>
      </c>
      <c r="L565" s="1" t="s">
        <v>74</v>
      </c>
      <c r="M565" s="1" t="s">
        <v>74</v>
      </c>
      <c r="N565" s="1" t="s">
        <v>74</v>
      </c>
      <c r="O565" s="1" t="s">
        <v>74</v>
      </c>
      <c r="P565" s="1" t="s">
        <v>74</v>
      </c>
      <c r="Q565" s="1" t="s">
        <v>74</v>
      </c>
      <c r="R565" s="1" t="s">
        <v>74</v>
      </c>
      <c r="S565" s="1" t="s">
        <v>74</v>
      </c>
      <c r="T565" s="1" t="s">
        <v>74</v>
      </c>
      <c r="U565" s="1" t="s">
        <v>74</v>
      </c>
      <c r="V565" s="1" t="s">
        <v>5820</v>
      </c>
      <c r="W565" s="1" t="s">
        <v>74</v>
      </c>
      <c r="X565" s="1" t="s">
        <v>74</v>
      </c>
      <c r="Y565" s="1" t="s">
        <v>74</v>
      </c>
      <c r="Z565" s="1" t="s">
        <v>74</v>
      </c>
      <c r="AA565" s="1" t="s">
        <v>5821</v>
      </c>
      <c r="AB565" s="1" t="s">
        <v>5822</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5823</v>
      </c>
      <c r="AP565" s="1" t="s">
        <v>5824</v>
      </c>
      <c r="AQ565" s="1" t="s">
        <v>74</v>
      </c>
      <c r="AR565" s="1" t="s">
        <v>74</v>
      </c>
      <c r="AS565" s="1" t="s">
        <v>74</v>
      </c>
      <c r="AT565" s="1" t="s">
        <v>385</v>
      </c>
      <c r="AU565" s="1">
        <v>2015.0</v>
      </c>
      <c r="AV565" s="1">
        <v>85.0</v>
      </c>
      <c r="AW565" s="1">
        <v>6.0</v>
      </c>
      <c r="AX565" s="1" t="s">
        <v>74</v>
      </c>
      <c r="AY565" s="1" t="s">
        <v>74</v>
      </c>
      <c r="AZ565" s="1" t="s">
        <v>74</v>
      </c>
      <c r="BA565" s="1" t="s">
        <v>74</v>
      </c>
      <c r="BB565" s="1">
        <v>685.0</v>
      </c>
      <c r="BC565" s="1">
        <v>695.0</v>
      </c>
      <c r="BD565" s="1" t="s">
        <v>74</v>
      </c>
      <c r="BE565" s="1" t="s">
        <v>5825</v>
      </c>
      <c r="BF565" s="2" t="str">
        <f>HYPERLINK("http://dx.doi.org/10.1111/cbdd.12458","http://dx.doi.org/10.1111/cbdd.12458")</f>
        <v>http://dx.doi.org/10.1111/cbdd.12458</v>
      </c>
      <c r="BG565" s="1" t="s">
        <v>74</v>
      </c>
      <c r="BH565" s="1" t="s">
        <v>74</v>
      </c>
      <c r="BI565" s="1" t="s">
        <v>74</v>
      </c>
      <c r="BJ565" s="1" t="s">
        <v>74</v>
      </c>
      <c r="BK565" s="1" t="s">
        <v>74</v>
      </c>
      <c r="BL565" s="1" t="s">
        <v>74</v>
      </c>
      <c r="BM565" s="1" t="s">
        <v>74</v>
      </c>
      <c r="BN565" s="1">
        <v>2.5346162E7</v>
      </c>
      <c r="BO565" s="1" t="s">
        <v>74</v>
      </c>
      <c r="BP565" s="1" t="s">
        <v>74</v>
      </c>
      <c r="BQ565" s="1" t="s">
        <v>74</v>
      </c>
      <c r="BR565" s="1" t="s">
        <v>74</v>
      </c>
      <c r="BS565" s="1" t="s">
        <v>5826</v>
      </c>
      <c r="BT565" s="1" t="str">
        <f>HYPERLINK("https%3A%2F%2Fwww.webofscience.com%2Fwos%2Fwoscc%2Ffull-record%2FWOS:000354534300003","View Full Record in Web of Science")</f>
        <v>View Full Record in Web of Science</v>
      </c>
    </row>
    <row r="566" ht="12.75" customHeight="1">
      <c r="A566" s="1" t="s">
        <v>72</v>
      </c>
      <c r="B566" s="1" t="s">
        <v>5827</v>
      </c>
      <c r="C566" s="1" t="s">
        <v>74</v>
      </c>
      <c r="D566" s="1" t="s">
        <v>74</v>
      </c>
      <c r="E566" s="1" t="s">
        <v>74</v>
      </c>
      <c r="F566" s="1" t="s">
        <v>5828</v>
      </c>
      <c r="G566" s="1" t="s">
        <v>74</v>
      </c>
      <c r="H566" s="1" t="s">
        <v>74</v>
      </c>
      <c r="I566" s="1" t="s">
        <v>5829</v>
      </c>
      <c r="J566" s="1" t="s">
        <v>5830</v>
      </c>
      <c r="K566" s="1" t="s">
        <v>74</v>
      </c>
      <c r="L566" s="1" t="s">
        <v>74</v>
      </c>
      <c r="M566" s="1" t="s">
        <v>74</v>
      </c>
      <c r="N566" s="1" t="s">
        <v>74</v>
      </c>
      <c r="O566" s="1" t="s">
        <v>74</v>
      </c>
      <c r="P566" s="1" t="s">
        <v>74</v>
      </c>
      <c r="Q566" s="1" t="s">
        <v>74</v>
      </c>
      <c r="R566" s="1" t="s">
        <v>74</v>
      </c>
      <c r="S566" s="1" t="s">
        <v>74</v>
      </c>
      <c r="T566" s="1" t="s">
        <v>74</v>
      </c>
      <c r="U566" s="1" t="s">
        <v>74</v>
      </c>
      <c r="V566" s="1" t="s">
        <v>5831</v>
      </c>
      <c r="W566" s="1" t="s">
        <v>74</v>
      </c>
      <c r="X566" s="1" t="s">
        <v>74</v>
      </c>
      <c r="Y566" s="1" t="s">
        <v>74</v>
      </c>
      <c r="Z566" s="1" t="s">
        <v>74</v>
      </c>
      <c r="AA566" s="1" t="s">
        <v>5832</v>
      </c>
      <c r="AB566" s="1" t="s">
        <v>5833</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5834</v>
      </c>
      <c r="AP566" s="1" t="s">
        <v>74</v>
      </c>
      <c r="AQ566" s="1" t="s">
        <v>74</v>
      </c>
      <c r="AR566" s="1" t="s">
        <v>74</v>
      </c>
      <c r="AS566" s="1" t="s">
        <v>74</v>
      </c>
      <c r="AT566" s="1" t="s">
        <v>5835</v>
      </c>
      <c r="AU566" s="1">
        <v>2013.0</v>
      </c>
      <c r="AV566" s="1">
        <v>130.0</v>
      </c>
      <c r="AW566" s="1">
        <v>3.0</v>
      </c>
      <c r="AX566" s="1" t="s">
        <v>74</v>
      </c>
      <c r="AY566" s="1" t="s">
        <v>74</v>
      </c>
      <c r="AZ566" s="1" t="s">
        <v>74</v>
      </c>
      <c r="BA566" s="1" t="s">
        <v>74</v>
      </c>
      <c r="BB566" s="1">
        <v>2159.0</v>
      </c>
      <c r="BC566" s="1">
        <v>2164.0</v>
      </c>
      <c r="BD566" s="1" t="s">
        <v>74</v>
      </c>
      <c r="BE566" s="1" t="s">
        <v>5836</v>
      </c>
      <c r="BF566" s="2" t="str">
        <f>HYPERLINK("http://dx.doi.org/10.1002/app.39426","http://dx.doi.org/10.1002/app.39426")</f>
        <v>http://dx.doi.org/10.1002/app.39426</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5837</v>
      </c>
      <c r="BT566" s="1" t="str">
        <f>HYPERLINK("https%3A%2F%2Fwww.webofscience.com%2Fwos%2Fwoscc%2Ffull-record%2FWOS:000322871700086","View Full Record in Web of Science")</f>
        <v>View Full Record in Web of Science</v>
      </c>
    </row>
    <row r="567" ht="12.75" customHeight="1">
      <c r="A567" s="1" t="s">
        <v>72</v>
      </c>
      <c r="B567" s="1" t="s">
        <v>5838</v>
      </c>
      <c r="C567" s="1" t="s">
        <v>74</v>
      </c>
      <c r="D567" s="1" t="s">
        <v>74</v>
      </c>
      <c r="E567" s="1" t="s">
        <v>74</v>
      </c>
      <c r="F567" s="1" t="s">
        <v>5838</v>
      </c>
      <c r="G567" s="1" t="s">
        <v>74</v>
      </c>
      <c r="H567" s="1" t="s">
        <v>74</v>
      </c>
      <c r="I567" s="1" t="s">
        <v>5839</v>
      </c>
      <c r="J567" s="1" t="s">
        <v>5840</v>
      </c>
      <c r="K567" s="1" t="s">
        <v>74</v>
      </c>
      <c r="L567" s="1" t="s">
        <v>74</v>
      </c>
      <c r="M567" s="1" t="s">
        <v>74</v>
      </c>
      <c r="N567" s="1" t="s">
        <v>74</v>
      </c>
      <c r="O567" s="1" t="s">
        <v>74</v>
      </c>
      <c r="P567" s="1" t="s">
        <v>74</v>
      </c>
      <c r="Q567" s="1" t="s">
        <v>74</v>
      </c>
      <c r="R567" s="1" t="s">
        <v>74</v>
      </c>
      <c r="S567" s="1" t="s">
        <v>74</v>
      </c>
      <c r="T567" s="1" t="s">
        <v>74</v>
      </c>
      <c r="U567" s="1" t="s">
        <v>74</v>
      </c>
      <c r="V567" s="1" t="s">
        <v>5841</v>
      </c>
      <c r="W567" s="1" t="s">
        <v>74</v>
      </c>
      <c r="X567" s="1" t="s">
        <v>74</v>
      </c>
      <c r="Y567" s="1" t="s">
        <v>74</v>
      </c>
      <c r="Z567" s="1" t="s">
        <v>74</v>
      </c>
      <c r="AA567" s="1" t="s">
        <v>5842</v>
      </c>
      <c r="AB567" s="1" t="s">
        <v>5843</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5844</v>
      </c>
      <c r="AP567" s="1" t="s">
        <v>74</v>
      </c>
      <c r="AQ567" s="1" t="s">
        <v>74</v>
      </c>
      <c r="AR567" s="1" t="s">
        <v>74</v>
      </c>
      <c r="AS567" s="1" t="s">
        <v>74</v>
      </c>
      <c r="AT567" s="1" t="s">
        <v>822</v>
      </c>
      <c r="AU567" s="1">
        <v>1999.0</v>
      </c>
      <c r="AV567" s="1">
        <v>11.0</v>
      </c>
      <c r="AW567" s="1">
        <v>1.0</v>
      </c>
      <c r="AX567" s="1" t="s">
        <v>74</v>
      </c>
      <c r="AY567" s="1" t="s">
        <v>74</v>
      </c>
      <c r="AZ567" s="1" t="s">
        <v>74</v>
      </c>
      <c r="BA567" s="1" t="s">
        <v>74</v>
      </c>
      <c r="BB567" s="1">
        <v>58.0</v>
      </c>
      <c r="BC567" s="1">
        <v>67.0</v>
      </c>
      <c r="BD567" s="1" t="s">
        <v>74</v>
      </c>
      <c r="BE567" s="1" t="s">
        <v>5845</v>
      </c>
      <c r="BF567" s="2" t="str">
        <f>HYPERLINK("http://dx.doi.org/10.1063/1.869902","http://dx.doi.org/10.1063/1.869902")</f>
        <v>http://dx.doi.org/10.1063/1.869902</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5846</v>
      </c>
      <c r="BT567" s="1" t="str">
        <f>HYPERLINK("https%3A%2F%2Fwww.webofscience.com%2Fwos%2Fwoscc%2Ffull-record%2FWOS:000077544700009","View Full Record in Web of Science")</f>
        <v>View Full Record in Web of Science</v>
      </c>
    </row>
    <row r="568" ht="12.75" customHeight="1">
      <c r="A568" s="1" t="s">
        <v>72</v>
      </c>
      <c r="B568" s="1" t="s">
        <v>5847</v>
      </c>
      <c r="C568" s="1" t="s">
        <v>74</v>
      </c>
      <c r="D568" s="1" t="s">
        <v>74</v>
      </c>
      <c r="E568" s="1" t="s">
        <v>74</v>
      </c>
      <c r="F568" s="1" t="s">
        <v>5847</v>
      </c>
      <c r="G568" s="1" t="s">
        <v>74</v>
      </c>
      <c r="H568" s="1" t="s">
        <v>74</v>
      </c>
      <c r="I568" s="1" t="s">
        <v>5848</v>
      </c>
      <c r="J568" s="1" t="s">
        <v>5849</v>
      </c>
      <c r="K568" s="1" t="s">
        <v>74</v>
      </c>
      <c r="L568" s="1" t="s">
        <v>74</v>
      </c>
      <c r="M568" s="1" t="s">
        <v>74</v>
      </c>
      <c r="N568" s="1" t="s">
        <v>74</v>
      </c>
      <c r="O568" s="1" t="s">
        <v>74</v>
      </c>
      <c r="P568" s="1" t="s">
        <v>74</v>
      </c>
      <c r="Q568" s="1" t="s">
        <v>74</v>
      </c>
      <c r="R568" s="1" t="s">
        <v>74</v>
      </c>
      <c r="S568" s="1" t="s">
        <v>74</v>
      </c>
      <c r="T568" s="1" t="s">
        <v>74</v>
      </c>
      <c r="U568" s="1" t="s">
        <v>74</v>
      </c>
      <c r="V568" s="1" t="s">
        <v>5850</v>
      </c>
      <c r="W568" s="1" t="s">
        <v>74</v>
      </c>
      <c r="X568" s="1" t="s">
        <v>74</v>
      </c>
      <c r="Y568" s="1" t="s">
        <v>74</v>
      </c>
      <c r="Z568" s="1" t="s">
        <v>74</v>
      </c>
      <c r="AA568" s="1" t="s">
        <v>5851</v>
      </c>
      <c r="AB568" s="1" t="s">
        <v>5852</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5853</v>
      </c>
      <c r="AP568" s="1" t="s">
        <v>74</v>
      </c>
      <c r="AQ568" s="1" t="s">
        <v>74</v>
      </c>
      <c r="AR568" s="1" t="s">
        <v>74</v>
      </c>
      <c r="AS568" s="1" t="s">
        <v>74</v>
      </c>
      <c r="AT568" s="1" t="s">
        <v>151</v>
      </c>
      <c r="AU568" s="1">
        <v>1993.0</v>
      </c>
      <c r="AV568" s="1">
        <v>29.0</v>
      </c>
      <c r="AW568" s="1">
        <v>4.0</v>
      </c>
      <c r="AX568" s="1" t="s">
        <v>74</v>
      </c>
      <c r="AY568" s="1" t="s">
        <v>74</v>
      </c>
      <c r="AZ568" s="1" t="s">
        <v>74</v>
      </c>
      <c r="BA568" s="1" t="s">
        <v>74</v>
      </c>
      <c r="BB568" s="1">
        <v>367.0</v>
      </c>
      <c r="BC568" s="1">
        <v>378.0</v>
      </c>
      <c r="BD568" s="1" t="s">
        <v>74</v>
      </c>
      <c r="BE568" s="1" t="s">
        <v>74</v>
      </c>
      <c r="BF568" s="1" t="s">
        <v>74</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5854</v>
      </c>
      <c r="BT568" s="1" t="str">
        <f>HYPERLINK("https%3A%2F%2Fwww.webofscience.com%2Fwos%2Fwoscc%2Ffull-record%2FWOS:A1993ME84600008","View Full Record in Web of Science")</f>
        <v>View Full Record in Web of Science</v>
      </c>
    </row>
    <row r="569" ht="12.75" customHeight="1">
      <c r="A569" s="1" t="s">
        <v>72</v>
      </c>
      <c r="B569" s="1" t="s">
        <v>5855</v>
      </c>
      <c r="C569" s="1" t="s">
        <v>74</v>
      </c>
      <c r="D569" s="1" t="s">
        <v>74</v>
      </c>
      <c r="E569" s="1" t="s">
        <v>74</v>
      </c>
      <c r="F569" s="1" t="s">
        <v>5855</v>
      </c>
      <c r="G569" s="1" t="s">
        <v>74</v>
      </c>
      <c r="H569" s="1" t="s">
        <v>74</v>
      </c>
      <c r="I569" s="1" t="s">
        <v>5856</v>
      </c>
      <c r="J569" s="1" t="s">
        <v>5857</v>
      </c>
      <c r="K569" s="1" t="s">
        <v>74</v>
      </c>
      <c r="L569" s="1" t="s">
        <v>74</v>
      </c>
      <c r="M569" s="1" t="s">
        <v>74</v>
      </c>
      <c r="N569" s="1" t="s">
        <v>74</v>
      </c>
      <c r="O569" s="1" t="s">
        <v>74</v>
      </c>
      <c r="P569" s="1" t="s">
        <v>74</v>
      </c>
      <c r="Q569" s="1" t="s">
        <v>74</v>
      </c>
      <c r="R569" s="1" t="s">
        <v>74</v>
      </c>
      <c r="S569" s="1" t="s">
        <v>74</v>
      </c>
      <c r="T569" s="1" t="s">
        <v>74</v>
      </c>
      <c r="U569" s="1" t="s">
        <v>74</v>
      </c>
      <c r="V569" s="1" t="s">
        <v>74</v>
      </c>
      <c r="W569" s="1" t="s">
        <v>74</v>
      </c>
      <c r="X569" s="1" t="s">
        <v>74</v>
      </c>
      <c r="Y569" s="1" t="s">
        <v>74</v>
      </c>
      <c r="Z569" s="1" t="s">
        <v>74</v>
      </c>
      <c r="AA569" s="1" t="s">
        <v>74</v>
      </c>
      <c r="AB569" s="1" t="s">
        <v>5858</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5859</v>
      </c>
      <c r="AP569" s="1" t="s">
        <v>74</v>
      </c>
      <c r="AQ569" s="1" t="s">
        <v>74</v>
      </c>
      <c r="AR569" s="1" t="s">
        <v>74</v>
      </c>
      <c r="AS569" s="1" t="s">
        <v>74</v>
      </c>
      <c r="AT569" s="1" t="s">
        <v>74</v>
      </c>
      <c r="AU569" s="1">
        <v>1984.0</v>
      </c>
      <c r="AV569" s="1" t="s">
        <v>74</v>
      </c>
      <c r="AW569" s="1">
        <v>20.0</v>
      </c>
      <c r="AX569" s="1" t="s">
        <v>74</v>
      </c>
      <c r="AY569" s="1" t="s">
        <v>74</v>
      </c>
      <c r="AZ569" s="1" t="s">
        <v>74</v>
      </c>
      <c r="BA569" s="1" t="s">
        <v>74</v>
      </c>
      <c r="BB569" s="1">
        <v>1371.0</v>
      </c>
      <c r="BC569" s="1">
        <v>1373.0</v>
      </c>
      <c r="BD569" s="1" t="s">
        <v>74</v>
      </c>
      <c r="BE569" s="1" t="s">
        <v>5860</v>
      </c>
      <c r="BF569" s="2" t="str">
        <f>HYPERLINK("http://dx.doi.org/10.1039/c39840001371","http://dx.doi.org/10.1039/c39840001371")</f>
        <v>http://dx.doi.org/10.1039/c39840001371</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5861</v>
      </c>
      <c r="BT569" s="1" t="str">
        <f>HYPERLINK("https%3A%2F%2Fwww.webofscience.com%2Fwos%2Fwoscc%2Ffull-record%2FWOS:A1984TP09800033","View Full Record in Web of Science")</f>
        <v>View Full Record in Web of Science</v>
      </c>
    </row>
    <row r="570" ht="12.75" customHeight="1">
      <c r="A570" s="1" t="s">
        <v>72</v>
      </c>
      <c r="B570" s="1" t="s">
        <v>5862</v>
      </c>
      <c r="C570" s="1" t="s">
        <v>74</v>
      </c>
      <c r="D570" s="1" t="s">
        <v>74</v>
      </c>
      <c r="E570" s="1" t="s">
        <v>74</v>
      </c>
      <c r="F570" s="1" t="s">
        <v>5863</v>
      </c>
      <c r="G570" s="1" t="s">
        <v>74</v>
      </c>
      <c r="H570" s="1" t="s">
        <v>74</v>
      </c>
      <c r="I570" s="1" t="s">
        <v>5864</v>
      </c>
      <c r="J570" s="1" t="s">
        <v>5865</v>
      </c>
      <c r="K570" s="1" t="s">
        <v>74</v>
      </c>
      <c r="L570" s="1" t="s">
        <v>74</v>
      </c>
      <c r="M570" s="1" t="s">
        <v>74</v>
      </c>
      <c r="N570" s="1" t="s">
        <v>74</v>
      </c>
      <c r="O570" s="1" t="s">
        <v>74</v>
      </c>
      <c r="P570" s="1" t="s">
        <v>74</v>
      </c>
      <c r="Q570" s="1" t="s">
        <v>74</v>
      </c>
      <c r="R570" s="1" t="s">
        <v>74</v>
      </c>
      <c r="S570" s="1" t="s">
        <v>74</v>
      </c>
      <c r="T570" s="1" t="s">
        <v>74</v>
      </c>
      <c r="U570" s="1" t="s">
        <v>74</v>
      </c>
      <c r="V570" s="1" t="s">
        <v>5866</v>
      </c>
      <c r="W570" s="1" t="s">
        <v>74</v>
      </c>
      <c r="X570" s="1" t="s">
        <v>74</v>
      </c>
      <c r="Y570" s="1" t="s">
        <v>74</v>
      </c>
      <c r="Z570" s="1" t="s">
        <v>74</v>
      </c>
      <c r="AA570" s="1" t="s">
        <v>5867</v>
      </c>
      <c r="AB570" s="1" t="s">
        <v>5868</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5869</v>
      </c>
      <c r="AP570" s="1" t="s">
        <v>74</v>
      </c>
      <c r="AQ570" s="1" t="s">
        <v>74</v>
      </c>
      <c r="AR570" s="1" t="s">
        <v>74</v>
      </c>
      <c r="AS570" s="1" t="s">
        <v>74</v>
      </c>
      <c r="AT570" s="1" t="s">
        <v>151</v>
      </c>
      <c r="AU570" s="1">
        <v>2024.0</v>
      </c>
      <c r="AV570" s="1">
        <v>22.0</v>
      </c>
      <c r="AW570" s="1">
        <v>4.0</v>
      </c>
      <c r="AX570" s="1" t="s">
        <v>74</v>
      </c>
      <c r="AY570" s="1" t="s">
        <v>74</v>
      </c>
      <c r="AZ570" s="1" t="s">
        <v>74</v>
      </c>
      <c r="BA570" s="1" t="s">
        <v>74</v>
      </c>
      <c r="BB570" s="1" t="s">
        <v>74</v>
      </c>
      <c r="BC570" s="1" t="s">
        <v>74</v>
      </c>
      <c r="BD570" s="1">
        <v>1.4747049241289232E16</v>
      </c>
      <c r="BE570" s="1" t="s">
        <v>5870</v>
      </c>
      <c r="BF570" s="2" t="str">
        <f>HYPERLINK("http://dx.doi.org/10.1177/14747049241289232","http://dx.doi.org/10.1177/14747049241289232")</f>
        <v>http://dx.doi.org/10.1177/14747049241289232</v>
      </c>
      <c r="BG570" s="1" t="s">
        <v>74</v>
      </c>
      <c r="BH570" s="1" t="s">
        <v>74</v>
      </c>
      <c r="BI570" s="1" t="s">
        <v>74</v>
      </c>
      <c r="BJ570" s="1" t="s">
        <v>74</v>
      </c>
      <c r="BK570" s="1" t="s">
        <v>74</v>
      </c>
      <c r="BL570" s="1" t="s">
        <v>74</v>
      </c>
      <c r="BM570" s="1" t="s">
        <v>74</v>
      </c>
      <c r="BN570" s="1">
        <v>3.947337E7</v>
      </c>
      <c r="BO570" s="1" t="s">
        <v>74</v>
      </c>
      <c r="BP570" s="1" t="s">
        <v>74</v>
      </c>
      <c r="BQ570" s="1" t="s">
        <v>74</v>
      </c>
      <c r="BR570" s="1" t="s">
        <v>74</v>
      </c>
      <c r="BS570" s="1" t="s">
        <v>5871</v>
      </c>
      <c r="BT570" s="1" t="str">
        <f>HYPERLINK("https%3A%2F%2Fwww.webofscience.com%2Fwos%2Fwoscc%2Ffull-record%2FWOS:001345760100001","View Full Record in Web of Science")</f>
        <v>View Full Record in Web of Science</v>
      </c>
    </row>
    <row r="571" ht="12.75" customHeight="1">
      <c r="A571" s="1" t="s">
        <v>72</v>
      </c>
      <c r="B571" s="1" t="s">
        <v>5872</v>
      </c>
      <c r="C571" s="1" t="s">
        <v>74</v>
      </c>
      <c r="D571" s="1" t="s">
        <v>74</v>
      </c>
      <c r="E571" s="1" t="s">
        <v>74</v>
      </c>
      <c r="F571" s="1" t="s">
        <v>5873</v>
      </c>
      <c r="G571" s="1" t="s">
        <v>74</v>
      </c>
      <c r="H571" s="1" t="s">
        <v>74</v>
      </c>
      <c r="I571" s="1" t="s">
        <v>5874</v>
      </c>
      <c r="J571" s="1" t="s">
        <v>5875</v>
      </c>
      <c r="K571" s="1" t="s">
        <v>74</v>
      </c>
      <c r="L571" s="1" t="s">
        <v>74</v>
      </c>
      <c r="M571" s="1" t="s">
        <v>74</v>
      </c>
      <c r="N571" s="1" t="s">
        <v>74</v>
      </c>
      <c r="O571" s="1" t="s">
        <v>74</v>
      </c>
      <c r="P571" s="1" t="s">
        <v>74</v>
      </c>
      <c r="Q571" s="1" t="s">
        <v>74</v>
      </c>
      <c r="R571" s="1" t="s">
        <v>74</v>
      </c>
      <c r="S571" s="1" t="s">
        <v>74</v>
      </c>
      <c r="T571" s="1" t="s">
        <v>74</v>
      </c>
      <c r="U571" s="1" t="s">
        <v>74</v>
      </c>
      <c r="V571" s="1" t="s">
        <v>5876</v>
      </c>
      <c r="W571" s="1" t="s">
        <v>74</v>
      </c>
      <c r="X571" s="1" t="s">
        <v>74</v>
      </c>
      <c r="Y571" s="1" t="s">
        <v>74</v>
      </c>
      <c r="Z571" s="1" t="s">
        <v>74</v>
      </c>
      <c r="AA571" s="1" t="s">
        <v>5877</v>
      </c>
      <c r="AB571" s="1" t="s">
        <v>5878</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5879</v>
      </c>
      <c r="AP571" s="1" t="s">
        <v>5880</v>
      </c>
      <c r="AQ571" s="1" t="s">
        <v>74</v>
      </c>
      <c r="AR571" s="1" t="s">
        <v>74</v>
      </c>
      <c r="AS571" s="1" t="s">
        <v>74</v>
      </c>
      <c r="AT571" s="1" t="s">
        <v>5881</v>
      </c>
      <c r="AU571" s="1">
        <v>2024.0</v>
      </c>
      <c r="AV571" s="1">
        <v>24.0</v>
      </c>
      <c r="AW571" s="1">
        <v>17.0</v>
      </c>
      <c r="AX571" s="1" t="s">
        <v>74</v>
      </c>
      <c r="AY571" s="1" t="s">
        <v>74</v>
      </c>
      <c r="AZ571" s="1" t="s">
        <v>74</v>
      </c>
      <c r="BA571" s="1" t="s">
        <v>74</v>
      </c>
      <c r="BB571" s="1">
        <v>7002.0</v>
      </c>
      <c r="BC571" s="1">
        <v>7014.0</v>
      </c>
      <c r="BD571" s="1" t="s">
        <v>74</v>
      </c>
      <c r="BE571" s="1" t="s">
        <v>5882</v>
      </c>
      <c r="BF571" s="2" t="str">
        <f>HYPERLINK("http://dx.doi.org/10.1021/acs.cgd.4c00642","http://dx.doi.org/10.1021/acs.cgd.4c00642")</f>
        <v>http://dx.doi.org/10.1021/acs.cgd.4c00642</v>
      </c>
      <c r="BG571" s="1" t="s">
        <v>74</v>
      </c>
      <c r="BH571" s="1" t="s">
        <v>3479</v>
      </c>
      <c r="BI571" s="1" t="s">
        <v>74</v>
      </c>
      <c r="BJ571" s="1" t="s">
        <v>74</v>
      </c>
      <c r="BK571" s="1" t="s">
        <v>74</v>
      </c>
      <c r="BL571" s="1" t="s">
        <v>74</v>
      </c>
      <c r="BM571" s="1" t="s">
        <v>74</v>
      </c>
      <c r="BN571" s="1" t="s">
        <v>74</v>
      </c>
      <c r="BO571" s="1" t="s">
        <v>74</v>
      </c>
      <c r="BP571" s="1" t="s">
        <v>74</v>
      </c>
      <c r="BQ571" s="1" t="s">
        <v>74</v>
      </c>
      <c r="BR571" s="1" t="s">
        <v>74</v>
      </c>
      <c r="BS571" s="1" t="s">
        <v>5883</v>
      </c>
      <c r="BT571" s="1" t="str">
        <f>HYPERLINK("https%3A%2F%2Fwww.webofscience.com%2Fwos%2Fwoscc%2Ffull-record%2FWOS:001296696700001","View Full Record in Web of Science")</f>
        <v>View Full Record in Web of Science</v>
      </c>
    </row>
    <row r="572" ht="12.75" customHeight="1">
      <c r="A572" s="1" t="s">
        <v>72</v>
      </c>
      <c r="B572" s="1" t="s">
        <v>5884</v>
      </c>
      <c r="C572" s="1" t="s">
        <v>74</v>
      </c>
      <c r="D572" s="1" t="s">
        <v>74</v>
      </c>
      <c r="E572" s="1" t="s">
        <v>74</v>
      </c>
      <c r="F572" s="1" t="s">
        <v>5885</v>
      </c>
      <c r="G572" s="1" t="s">
        <v>74</v>
      </c>
      <c r="H572" s="1" t="s">
        <v>74</v>
      </c>
      <c r="I572" s="1" t="s">
        <v>5886</v>
      </c>
      <c r="J572" s="1" t="s">
        <v>5887</v>
      </c>
      <c r="K572" s="1" t="s">
        <v>74</v>
      </c>
      <c r="L572" s="1" t="s">
        <v>74</v>
      </c>
      <c r="M572" s="1" t="s">
        <v>74</v>
      </c>
      <c r="N572" s="1" t="s">
        <v>74</v>
      </c>
      <c r="O572" s="1" t="s">
        <v>74</v>
      </c>
      <c r="P572" s="1" t="s">
        <v>74</v>
      </c>
      <c r="Q572" s="1" t="s">
        <v>74</v>
      </c>
      <c r="R572" s="1" t="s">
        <v>74</v>
      </c>
      <c r="S572" s="1" t="s">
        <v>74</v>
      </c>
      <c r="T572" s="1" t="s">
        <v>74</v>
      </c>
      <c r="U572" s="1" t="s">
        <v>74</v>
      </c>
      <c r="V572" s="1" t="s">
        <v>5888</v>
      </c>
      <c r="W572" s="1" t="s">
        <v>74</v>
      </c>
      <c r="X572" s="1" t="s">
        <v>74</v>
      </c>
      <c r="Y572" s="1" t="s">
        <v>74</v>
      </c>
      <c r="Z572" s="1" t="s">
        <v>74</v>
      </c>
      <c r="AA572" s="1" t="s">
        <v>5889</v>
      </c>
      <c r="AB572" s="1" t="s">
        <v>5890</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5891</v>
      </c>
      <c r="AP572" s="1" t="s">
        <v>5892</v>
      </c>
      <c r="AQ572" s="1" t="s">
        <v>74</v>
      </c>
      <c r="AR572" s="1" t="s">
        <v>74</v>
      </c>
      <c r="AS572" s="1" t="s">
        <v>74</v>
      </c>
      <c r="AT572" s="1" t="s">
        <v>877</v>
      </c>
      <c r="AU572" s="1">
        <v>2024.0</v>
      </c>
      <c r="AV572" s="1">
        <v>25.0</v>
      </c>
      <c r="AW572" s="1">
        <v>8.0</v>
      </c>
      <c r="AX572" s="1" t="s">
        <v>74</v>
      </c>
      <c r="AY572" s="1" t="s">
        <v>74</v>
      </c>
      <c r="AZ572" s="1" t="s">
        <v>74</v>
      </c>
      <c r="BA572" s="1" t="s">
        <v>74</v>
      </c>
      <c r="BB572" s="1" t="s">
        <v>74</v>
      </c>
      <c r="BC572" s="1" t="s">
        <v>74</v>
      </c>
      <c r="BD572" s="1">
        <v>104508.0</v>
      </c>
      <c r="BE572" s="1" t="s">
        <v>5893</v>
      </c>
      <c r="BF572" s="2" t="str">
        <f>HYPERLINK("http://dx.doi.org/10.1016/j.jpain.2024.03.004","http://dx.doi.org/10.1016/j.jpain.2024.03.004")</f>
        <v>http://dx.doi.org/10.1016/j.jpain.2024.03.004</v>
      </c>
      <c r="BG572" s="1" t="s">
        <v>74</v>
      </c>
      <c r="BH572" s="1" t="s">
        <v>4624</v>
      </c>
      <c r="BI572" s="1" t="s">
        <v>74</v>
      </c>
      <c r="BJ572" s="1" t="s">
        <v>74</v>
      </c>
      <c r="BK572" s="1" t="s">
        <v>74</v>
      </c>
      <c r="BL572" s="1" t="s">
        <v>74</v>
      </c>
      <c r="BM572" s="1" t="s">
        <v>74</v>
      </c>
      <c r="BN572" s="1">
        <v>3.8484854E7</v>
      </c>
      <c r="BO572" s="1" t="s">
        <v>74</v>
      </c>
      <c r="BP572" s="1" t="s">
        <v>74</v>
      </c>
      <c r="BQ572" s="1" t="s">
        <v>74</v>
      </c>
      <c r="BR572" s="1" t="s">
        <v>74</v>
      </c>
      <c r="BS572" s="1" t="s">
        <v>5894</v>
      </c>
      <c r="BT572" s="1" t="str">
        <f>HYPERLINK("https%3A%2F%2Fwww.webofscience.com%2Fwos%2Fwoscc%2Ffull-record%2FWOS:001282784400001","View Full Record in Web of Science")</f>
        <v>View Full Record in Web of Science</v>
      </c>
    </row>
    <row r="573" ht="12.75" customHeight="1">
      <c r="A573" s="1" t="s">
        <v>154</v>
      </c>
      <c r="B573" s="1" t="s">
        <v>5895</v>
      </c>
      <c r="C573" s="1" t="s">
        <v>74</v>
      </c>
      <c r="D573" s="1" t="s">
        <v>74</v>
      </c>
      <c r="E573" s="1" t="s">
        <v>323</v>
      </c>
      <c r="F573" s="1" t="s">
        <v>5896</v>
      </c>
      <c r="G573" s="1" t="s">
        <v>74</v>
      </c>
      <c r="H573" s="1" t="s">
        <v>74</v>
      </c>
      <c r="I573" s="1" t="s">
        <v>5897</v>
      </c>
      <c r="J573" s="1" t="s">
        <v>5898</v>
      </c>
      <c r="K573" s="1" t="s">
        <v>5899</v>
      </c>
      <c r="L573" s="1" t="s">
        <v>74</v>
      </c>
      <c r="M573" s="1" t="s">
        <v>74</v>
      </c>
      <c r="N573" s="1" t="s">
        <v>74</v>
      </c>
      <c r="O573" s="1" t="s">
        <v>5900</v>
      </c>
      <c r="P573" s="1" t="s">
        <v>5901</v>
      </c>
      <c r="Q573" s="1" t="s">
        <v>5902</v>
      </c>
      <c r="R573" s="1" t="s">
        <v>5903</v>
      </c>
      <c r="S573" s="1" t="s">
        <v>74</v>
      </c>
      <c r="T573" s="1" t="s">
        <v>74</v>
      </c>
      <c r="U573" s="1" t="s">
        <v>74</v>
      </c>
      <c r="V573" s="1" t="s">
        <v>5904</v>
      </c>
      <c r="W573" s="1" t="s">
        <v>74</v>
      </c>
      <c r="X573" s="1" t="s">
        <v>74</v>
      </c>
      <c r="Y573" s="1" t="s">
        <v>74</v>
      </c>
      <c r="Z573" s="1" t="s">
        <v>74</v>
      </c>
      <c r="AA573" s="1" t="s">
        <v>74</v>
      </c>
      <c r="AB573" s="1" t="s">
        <v>74</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5905</v>
      </c>
      <c r="AP573" s="1" t="s">
        <v>74</v>
      </c>
      <c r="AQ573" s="1" t="s">
        <v>5906</v>
      </c>
      <c r="AR573" s="1" t="s">
        <v>74</v>
      </c>
      <c r="AS573" s="1" t="s">
        <v>74</v>
      </c>
      <c r="AT573" s="1" t="s">
        <v>74</v>
      </c>
      <c r="AU573" s="1">
        <v>2024.0</v>
      </c>
      <c r="AV573" s="1" t="s">
        <v>74</v>
      </c>
      <c r="AW573" s="1" t="s">
        <v>74</v>
      </c>
      <c r="AX573" s="1" t="s">
        <v>74</v>
      </c>
      <c r="AY573" s="1" t="s">
        <v>74</v>
      </c>
      <c r="AZ573" s="1" t="s">
        <v>74</v>
      </c>
      <c r="BA573" s="1" t="s">
        <v>74</v>
      </c>
      <c r="BB573" s="1" t="s">
        <v>74</v>
      </c>
      <c r="BC573" s="1" t="s">
        <v>74</v>
      </c>
      <c r="BD573" s="1" t="s">
        <v>74</v>
      </c>
      <c r="BE573" s="1" t="s">
        <v>74</v>
      </c>
      <c r="BF573" s="1" t="s">
        <v>74</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5907</v>
      </c>
      <c r="BT573" s="1" t="str">
        <f>HYPERLINK("https%3A%2F%2Fwww.webofscience.com%2Fwos%2Fwoscc%2Ffull-record%2FWOS:001423279900095","View Full Record in Web of Science")</f>
        <v>View Full Record in Web of Science</v>
      </c>
    </row>
    <row r="574" ht="12.75" customHeight="1">
      <c r="A574" s="1" t="s">
        <v>72</v>
      </c>
      <c r="B574" s="1" t="s">
        <v>5908</v>
      </c>
      <c r="C574" s="1" t="s">
        <v>74</v>
      </c>
      <c r="D574" s="1" t="s">
        <v>74</v>
      </c>
      <c r="E574" s="1" t="s">
        <v>74</v>
      </c>
      <c r="F574" s="1" t="s">
        <v>5909</v>
      </c>
      <c r="G574" s="1" t="s">
        <v>74</v>
      </c>
      <c r="H574" s="1" t="s">
        <v>74</v>
      </c>
      <c r="I574" s="1" t="s">
        <v>5910</v>
      </c>
      <c r="J574" s="1" t="s">
        <v>1357</v>
      </c>
      <c r="K574" s="1" t="s">
        <v>74</v>
      </c>
      <c r="L574" s="1" t="s">
        <v>74</v>
      </c>
      <c r="M574" s="1" t="s">
        <v>74</v>
      </c>
      <c r="N574" s="1" t="s">
        <v>74</v>
      </c>
      <c r="O574" s="1" t="s">
        <v>74</v>
      </c>
      <c r="P574" s="1" t="s">
        <v>74</v>
      </c>
      <c r="Q574" s="1" t="s">
        <v>74</v>
      </c>
      <c r="R574" s="1" t="s">
        <v>74</v>
      </c>
      <c r="S574" s="1" t="s">
        <v>74</v>
      </c>
      <c r="T574" s="1" t="s">
        <v>74</v>
      </c>
      <c r="U574" s="1" t="s">
        <v>74</v>
      </c>
      <c r="V574" s="1" t="s">
        <v>5911</v>
      </c>
      <c r="W574" s="1" t="s">
        <v>74</v>
      </c>
      <c r="X574" s="1" t="s">
        <v>74</v>
      </c>
      <c r="Y574" s="1" t="s">
        <v>74</v>
      </c>
      <c r="Z574" s="1" t="s">
        <v>74</v>
      </c>
      <c r="AA574" s="1" t="s">
        <v>74</v>
      </c>
      <c r="AB574" s="1" t="s">
        <v>5912</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1361</v>
      </c>
      <c r="AP574" s="1" t="s">
        <v>1362</v>
      </c>
      <c r="AQ574" s="1" t="s">
        <v>74</v>
      </c>
      <c r="AR574" s="1" t="s">
        <v>74</v>
      </c>
      <c r="AS574" s="1" t="s">
        <v>74</v>
      </c>
      <c r="AT574" s="1" t="s">
        <v>4973</v>
      </c>
      <c r="AU574" s="1">
        <v>2023.0</v>
      </c>
      <c r="AV574" s="1">
        <v>38.0</v>
      </c>
      <c r="AW574" s="1" t="s">
        <v>5913</v>
      </c>
      <c r="AX574" s="1" t="s">
        <v>74</v>
      </c>
      <c r="AY574" s="1" t="s">
        <v>74</v>
      </c>
      <c r="AZ574" s="1" t="s">
        <v>74</v>
      </c>
      <c r="BA574" s="1" t="s">
        <v>74</v>
      </c>
      <c r="BB574" s="1" t="s">
        <v>74</v>
      </c>
      <c r="BC574" s="1" t="s">
        <v>74</v>
      </c>
      <c r="BD574" s="1">
        <v>2350161.0</v>
      </c>
      <c r="BE574" s="1" t="s">
        <v>5914</v>
      </c>
      <c r="BF574" s="2" t="str">
        <f>HYPERLINK("http://dx.doi.org/10.1142/S0217732323501614","http://dx.doi.org/10.1142/S0217732323501614")</f>
        <v>http://dx.doi.org/10.1142/S0217732323501614</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5915</v>
      </c>
      <c r="BT574" s="1" t="str">
        <f>HYPERLINK("https%3A%2F%2Fwww.webofscience.com%2Fwos%2Fwoscc%2Ffull-record%2FWOS:001138715700004","View Full Record in Web of Science")</f>
        <v>View Full Record in Web of Science</v>
      </c>
    </row>
    <row r="575" ht="12.75" customHeight="1">
      <c r="A575" s="1" t="s">
        <v>72</v>
      </c>
      <c r="B575" s="1" t="s">
        <v>5916</v>
      </c>
      <c r="C575" s="1" t="s">
        <v>74</v>
      </c>
      <c r="D575" s="1" t="s">
        <v>74</v>
      </c>
      <c r="E575" s="1" t="s">
        <v>74</v>
      </c>
      <c r="F575" s="1" t="s">
        <v>5917</v>
      </c>
      <c r="G575" s="1" t="s">
        <v>74</v>
      </c>
      <c r="H575" s="1" t="s">
        <v>74</v>
      </c>
      <c r="I575" s="1" t="s">
        <v>5918</v>
      </c>
      <c r="J575" s="1" t="s">
        <v>5919</v>
      </c>
      <c r="K575" s="1" t="s">
        <v>74</v>
      </c>
      <c r="L575" s="1" t="s">
        <v>74</v>
      </c>
      <c r="M575" s="1" t="s">
        <v>74</v>
      </c>
      <c r="N575" s="1" t="s">
        <v>74</v>
      </c>
      <c r="O575" s="1" t="s">
        <v>74</v>
      </c>
      <c r="P575" s="1" t="s">
        <v>74</v>
      </c>
      <c r="Q575" s="1" t="s">
        <v>74</v>
      </c>
      <c r="R575" s="1" t="s">
        <v>74</v>
      </c>
      <c r="S575" s="1" t="s">
        <v>74</v>
      </c>
      <c r="T575" s="1" t="s">
        <v>74</v>
      </c>
      <c r="U575" s="1" t="s">
        <v>74</v>
      </c>
      <c r="V575" s="1" t="s">
        <v>5920</v>
      </c>
      <c r="W575" s="1" t="s">
        <v>74</v>
      </c>
      <c r="X575" s="1" t="s">
        <v>74</v>
      </c>
      <c r="Y575" s="1" t="s">
        <v>74</v>
      </c>
      <c r="Z575" s="1" t="s">
        <v>74</v>
      </c>
      <c r="AA575" s="1" t="s">
        <v>5921</v>
      </c>
      <c r="AB575" s="1" t="s">
        <v>5922</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5923</v>
      </c>
      <c r="AP575" s="1" t="s">
        <v>5924</v>
      </c>
      <c r="AQ575" s="1" t="s">
        <v>74</v>
      </c>
      <c r="AR575" s="1" t="s">
        <v>74</v>
      </c>
      <c r="AS575" s="1" t="s">
        <v>74</v>
      </c>
      <c r="AT575" s="1" t="s">
        <v>4904</v>
      </c>
      <c r="AU575" s="1">
        <v>2023.0</v>
      </c>
      <c r="AV575" s="1">
        <v>385.0</v>
      </c>
      <c r="AW575" s="1" t="s">
        <v>74</v>
      </c>
      <c r="AX575" s="1" t="s">
        <v>74</v>
      </c>
      <c r="AY575" s="1" t="s">
        <v>74</v>
      </c>
      <c r="AZ575" s="1" t="s">
        <v>74</v>
      </c>
      <c r="BA575" s="1" t="s">
        <v>74</v>
      </c>
      <c r="BB575" s="1" t="s">
        <v>74</v>
      </c>
      <c r="BC575" s="1" t="s">
        <v>74</v>
      </c>
      <c r="BD575" s="1">
        <v>122415.0</v>
      </c>
      <c r="BE575" s="1" t="s">
        <v>5925</v>
      </c>
      <c r="BF575" s="2" t="str">
        <f>HYPERLINK("http://dx.doi.org/10.1016/j.molliq.2023.122415","http://dx.doi.org/10.1016/j.molliq.2023.122415")</f>
        <v>http://dx.doi.org/10.1016/j.molliq.2023.122415</v>
      </c>
      <c r="BG575" s="1" t="s">
        <v>74</v>
      </c>
      <c r="BH575" s="1" t="s">
        <v>4951</v>
      </c>
      <c r="BI575" s="1" t="s">
        <v>74</v>
      </c>
      <c r="BJ575" s="1" t="s">
        <v>74</v>
      </c>
      <c r="BK575" s="1" t="s">
        <v>74</v>
      </c>
      <c r="BL575" s="1" t="s">
        <v>74</v>
      </c>
      <c r="BM575" s="1" t="s">
        <v>74</v>
      </c>
      <c r="BN575" s="1" t="s">
        <v>74</v>
      </c>
      <c r="BO575" s="1" t="s">
        <v>74</v>
      </c>
      <c r="BP575" s="1" t="s">
        <v>74</v>
      </c>
      <c r="BQ575" s="1" t="s">
        <v>74</v>
      </c>
      <c r="BR575" s="1" t="s">
        <v>74</v>
      </c>
      <c r="BS575" s="1" t="s">
        <v>5926</v>
      </c>
      <c r="BT575" s="1" t="str">
        <f>HYPERLINK("https%3A%2F%2Fwww.webofscience.com%2Fwos%2Fwoscc%2Ffull-record%2FWOS:001056539500001","View Full Record in Web of Science")</f>
        <v>View Full Record in Web of Science</v>
      </c>
    </row>
    <row r="576" ht="12.75" customHeight="1">
      <c r="A576" s="1" t="s">
        <v>72</v>
      </c>
      <c r="B576" s="1" t="s">
        <v>5927</v>
      </c>
      <c r="C576" s="1" t="s">
        <v>74</v>
      </c>
      <c r="D576" s="1" t="s">
        <v>74</v>
      </c>
      <c r="E576" s="1" t="s">
        <v>74</v>
      </c>
      <c r="F576" s="1" t="s">
        <v>5928</v>
      </c>
      <c r="G576" s="1" t="s">
        <v>74</v>
      </c>
      <c r="H576" s="1" t="s">
        <v>74</v>
      </c>
      <c r="I576" s="1" t="s">
        <v>5929</v>
      </c>
      <c r="J576" s="1" t="s">
        <v>5930</v>
      </c>
      <c r="K576" s="1" t="s">
        <v>74</v>
      </c>
      <c r="L576" s="1" t="s">
        <v>74</v>
      </c>
      <c r="M576" s="1" t="s">
        <v>74</v>
      </c>
      <c r="N576" s="1" t="s">
        <v>74</v>
      </c>
      <c r="O576" s="1" t="s">
        <v>74</v>
      </c>
      <c r="P576" s="1" t="s">
        <v>74</v>
      </c>
      <c r="Q576" s="1" t="s">
        <v>74</v>
      </c>
      <c r="R576" s="1" t="s">
        <v>74</v>
      </c>
      <c r="S576" s="1" t="s">
        <v>74</v>
      </c>
      <c r="T576" s="1" t="s">
        <v>74</v>
      </c>
      <c r="U576" s="1" t="s">
        <v>74</v>
      </c>
      <c r="V576" s="1" t="s">
        <v>5931</v>
      </c>
      <c r="W576" s="1" t="s">
        <v>74</v>
      </c>
      <c r="X576" s="1" t="s">
        <v>74</v>
      </c>
      <c r="Y576" s="1" t="s">
        <v>74</v>
      </c>
      <c r="Z576" s="1" t="s">
        <v>74</v>
      </c>
      <c r="AA576" s="1" t="s">
        <v>5932</v>
      </c>
      <c r="AB576" s="1" t="s">
        <v>5933</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5934</v>
      </c>
      <c r="AP576" s="1" t="s">
        <v>74</v>
      </c>
      <c r="AQ576" s="1" t="s">
        <v>74</v>
      </c>
      <c r="AR576" s="1" t="s">
        <v>74</v>
      </c>
      <c r="AS576" s="1" t="s">
        <v>74</v>
      </c>
      <c r="AT576" s="1" t="s">
        <v>385</v>
      </c>
      <c r="AU576" s="1">
        <v>2023.0</v>
      </c>
      <c r="AV576" s="1">
        <v>14.0</v>
      </c>
      <c r="AW576" s="1">
        <v>6.0</v>
      </c>
      <c r="AX576" s="1" t="s">
        <v>74</v>
      </c>
      <c r="AY576" s="1" t="s">
        <v>74</v>
      </c>
      <c r="AZ576" s="1" t="s">
        <v>74</v>
      </c>
      <c r="BA576" s="1" t="s">
        <v>74</v>
      </c>
      <c r="BB576" s="1" t="s">
        <v>74</v>
      </c>
      <c r="BC576" s="1" t="s">
        <v>74</v>
      </c>
      <c r="BD576" s="1">
        <v>138.0</v>
      </c>
      <c r="BE576" s="1" t="s">
        <v>5935</v>
      </c>
      <c r="BF576" s="2" t="str">
        <f>HYPERLINK("http://dx.doi.org/10.3390/wevj14060138","http://dx.doi.org/10.3390/wevj14060138")</f>
        <v>http://dx.doi.org/10.3390/wevj14060138</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5936</v>
      </c>
      <c r="BT576" s="1" t="str">
        <f>HYPERLINK("https%3A%2F%2Fwww.webofscience.com%2Fwos%2Fwoscc%2Ffull-record%2FWOS:001017720600001","View Full Record in Web of Science")</f>
        <v>View Full Record in Web of Science</v>
      </c>
    </row>
    <row r="577" ht="12.75" customHeight="1">
      <c r="A577" s="1" t="s">
        <v>72</v>
      </c>
      <c r="B577" s="1" t="s">
        <v>5937</v>
      </c>
      <c r="C577" s="1" t="s">
        <v>74</v>
      </c>
      <c r="D577" s="1" t="s">
        <v>74</v>
      </c>
      <c r="E577" s="1" t="s">
        <v>74</v>
      </c>
      <c r="F577" s="1" t="s">
        <v>5938</v>
      </c>
      <c r="G577" s="1" t="s">
        <v>74</v>
      </c>
      <c r="H577" s="1" t="s">
        <v>74</v>
      </c>
      <c r="I577" s="1" t="s">
        <v>5939</v>
      </c>
      <c r="J577" s="1" t="s">
        <v>1571</v>
      </c>
      <c r="K577" s="1" t="s">
        <v>74</v>
      </c>
      <c r="L577" s="1" t="s">
        <v>74</v>
      </c>
      <c r="M577" s="1" t="s">
        <v>74</v>
      </c>
      <c r="N577" s="1" t="s">
        <v>74</v>
      </c>
      <c r="O577" s="1" t="s">
        <v>74</v>
      </c>
      <c r="P577" s="1" t="s">
        <v>74</v>
      </c>
      <c r="Q577" s="1" t="s">
        <v>74</v>
      </c>
      <c r="R577" s="1" t="s">
        <v>74</v>
      </c>
      <c r="S577" s="1" t="s">
        <v>74</v>
      </c>
      <c r="T577" s="1" t="s">
        <v>74</v>
      </c>
      <c r="U577" s="1" t="s">
        <v>74</v>
      </c>
      <c r="V577" s="1" t="s">
        <v>5940</v>
      </c>
      <c r="W577" s="1" t="s">
        <v>74</v>
      </c>
      <c r="X577" s="1" t="s">
        <v>74</v>
      </c>
      <c r="Y577" s="1" t="s">
        <v>74</v>
      </c>
      <c r="Z577" s="1" t="s">
        <v>74</v>
      </c>
      <c r="AA577" s="1" t="s">
        <v>5941</v>
      </c>
      <c r="AB577" s="1" t="s">
        <v>5942</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74</v>
      </c>
      <c r="AP577" s="1" t="s">
        <v>1575</v>
      </c>
      <c r="AQ577" s="1" t="s">
        <v>74</v>
      </c>
      <c r="AR577" s="1" t="s">
        <v>74</v>
      </c>
      <c r="AS577" s="1" t="s">
        <v>74</v>
      </c>
      <c r="AT577" s="1" t="s">
        <v>5943</v>
      </c>
      <c r="AU577" s="1">
        <v>2023.0</v>
      </c>
      <c r="AV577" s="1">
        <v>15.0</v>
      </c>
      <c r="AW577" s="1">
        <v>11.0</v>
      </c>
      <c r="AX577" s="1" t="s">
        <v>74</v>
      </c>
      <c r="AY577" s="1" t="s">
        <v>74</v>
      </c>
      <c r="AZ577" s="1" t="s">
        <v>74</v>
      </c>
      <c r="BA577" s="1" t="s">
        <v>74</v>
      </c>
      <c r="BB577" s="1" t="s">
        <v>74</v>
      </c>
      <c r="BC577" s="1" t="s">
        <v>74</v>
      </c>
      <c r="BD577" s="1">
        <v>8477.0</v>
      </c>
      <c r="BE577" s="1" t="s">
        <v>5944</v>
      </c>
      <c r="BF577" s="2" t="str">
        <f>HYPERLINK("http://dx.doi.org/10.3390/su15118477","http://dx.doi.org/10.3390/su15118477")</f>
        <v>http://dx.doi.org/10.3390/su15118477</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5945</v>
      </c>
      <c r="BT577" s="1" t="str">
        <f>HYPERLINK("https%3A%2F%2Fwww.webofscience.com%2Fwos%2Fwoscc%2Ffull-record%2FWOS:001005347000001","View Full Record in Web of Science")</f>
        <v>View Full Record in Web of Science</v>
      </c>
    </row>
    <row r="578" ht="12.75" customHeight="1">
      <c r="A578" s="1" t="s">
        <v>72</v>
      </c>
      <c r="B578" s="1" t="s">
        <v>5946</v>
      </c>
      <c r="C578" s="1" t="s">
        <v>74</v>
      </c>
      <c r="D578" s="1" t="s">
        <v>74</v>
      </c>
      <c r="E578" s="1" t="s">
        <v>74</v>
      </c>
      <c r="F578" s="1" t="s">
        <v>5947</v>
      </c>
      <c r="G578" s="1" t="s">
        <v>74</v>
      </c>
      <c r="H578" s="1" t="s">
        <v>74</v>
      </c>
      <c r="I578" s="1" t="s">
        <v>5948</v>
      </c>
      <c r="J578" s="1" t="s">
        <v>5949</v>
      </c>
      <c r="K578" s="1" t="s">
        <v>74</v>
      </c>
      <c r="L578" s="1" t="s">
        <v>74</v>
      </c>
      <c r="M578" s="1" t="s">
        <v>74</v>
      </c>
      <c r="N578" s="1" t="s">
        <v>74</v>
      </c>
      <c r="O578" s="1" t="s">
        <v>74</v>
      </c>
      <c r="P578" s="1" t="s">
        <v>74</v>
      </c>
      <c r="Q578" s="1" t="s">
        <v>74</v>
      </c>
      <c r="R578" s="1" t="s">
        <v>74</v>
      </c>
      <c r="S578" s="1" t="s">
        <v>74</v>
      </c>
      <c r="T578" s="1" t="s">
        <v>74</v>
      </c>
      <c r="U578" s="1" t="s">
        <v>74</v>
      </c>
      <c r="V578" s="1" t="s">
        <v>5950</v>
      </c>
      <c r="W578" s="1" t="s">
        <v>74</v>
      </c>
      <c r="X578" s="1" t="s">
        <v>74</v>
      </c>
      <c r="Y578" s="1" t="s">
        <v>74</v>
      </c>
      <c r="Z578" s="1" t="s">
        <v>74</v>
      </c>
      <c r="AA578" s="1" t="s">
        <v>5951</v>
      </c>
      <c r="AB578" s="1" t="s">
        <v>74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5952</v>
      </c>
      <c r="AP578" s="1" t="s">
        <v>74</v>
      </c>
      <c r="AQ578" s="1" t="s">
        <v>74</v>
      </c>
      <c r="AR578" s="1" t="s">
        <v>74</v>
      </c>
      <c r="AS578" s="1" t="s">
        <v>74</v>
      </c>
      <c r="AT578" s="1" t="s">
        <v>3190</v>
      </c>
      <c r="AU578" s="1">
        <v>2022.0</v>
      </c>
      <c r="AV578" s="1">
        <v>12.0</v>
      </c>
      <c r="AW578" s="1">
        <v>2.0</v>
      </c>
      <c r="AX578" s="1" t="s">
        <v>74</v>
      </c>
      <c r="AY578" s="1" t="s">
        <v>74</v>
      </c>
      <c r="AZ578" s="1" t="s">
        <v>74</v>
      </c>
      <c r="BA578" s="1" t="s">
        <v>74</v>
      </c>
      <c r="BB578" s="1" t="s">
        <v>74</v>
      </c>
      <c r="BC578" s="1" t="s">
        <v>74</v>
      </c>
      <c r="BD578" s="1" t="s">
        <v>74</v>
      </c>
      <c r="BE578" s="1" t="s">
        <v>5953</v>
      </c>
      <c r="BF578" s="2" t="str">
        <f>HYPERLINK("http://dx.doi.org/10.15517/eci.v12i2.50078","http://dx.doi.org/10.15517/eci.v12i2.50078")</f>
        <v>http://dx.doi.org/10.15517/eci.v12i2.50078</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5954</v>
      </c>
      <c r="BT578" s="1" t="str">
        <f>HYPERLINK("https%3A%2F%2Fwww.webofscience.com%2Fwos%2Fwoscc%2Ffull-record%2FWOS:000822495600008","View Full Record in Web of Science")</f>
        <v>View Full Record in Web of Science</v>
      </c>
    </row>
    <row r="579" ht="12.75" customHeight="1">
      <c r="A579" s="1" t="s">
        <v>72</v>
      </c>
      <c r="B579" s="1" t="s">
        <v>5955</v>
      </c>
      <c r="C579" s="1" t="s">
        <v>74</v>
      </c>
      <c r="D579" s="1" t="s">
        <v>74</v>
      </c>
      <c r="E579" s="1" t="s">
        <v>74</v>
      </c>
      <c r="F579" s="1" t="s">
        <v>5956</v>
      </c>
      <c r="G579" s="1" t="s">
        <v>74</v>
      </c>
      <c r="H579" s="1" t="s">
        <v>74</v>
      </c>
      <c r="I579" s="1" t="s">
        <v>5957</v>
      </c>
      <c r="J579" s="1" t="s">
        <v>5958</v>
      </c>
      <c r="K579" s="1" t="s">
        <v>74</v>
      </c>
      <c r="L579" s="1" t="s">
        <v>74</v>
      </c>
      <c r="M579" s="1" t="s">
        <v>74</v>
      </c>
      <c r="N579" s="1" t="s">
        <v>74</v>
      </c>
      <c r="O579" s="1" t="s">
        <v>74</v>
      </c>
      <c r="P579" s="1" t="s">
        <v>74</v>
      </c>
      <c r="Q579" s="1" t="s">
        <v>74</v>
      </c>
      <c r="R579" s="1" t="s">
        <v>74</v>
      </c>
      <c r="S579" s="1" t="s">
        <v>74</v>
      </c>
      <c r="T579" s="1" t="s">
        <v>74</v>
      </c>
      <c r="U579" s="1" t="s">
        <v>74</v>
      </c>
      <c r="V579" s="1" t="s">
        <v>5959</v>
      </c>
      <c r="W579" s="1" t="s">
        <v>74</v>
      </c>
      <c r="X579" s="1" t="s">
        <v>74</v>
      </c>
      <c r="Y579" s="1" t="s">
        <v>74</v>
      </c>
      <c r="Z579" s="1" t="s">
        <v>74</v>
      </c>
      <c r="AA579" s="1" t="s">
        <v>5960</v>
      </c>
      <c r="AB579" s="1" t="s">
        <v>5961</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5962</v>
      </c>
      <c r="AP579" s="1" t="s">
        <v>5963</v>
      </c>
      <c r="AQ579" s="1" t="s">
        <v>74</v>
      </c>
      <c r="AR579" s="1" t="s">
        <v>74</v>
      </c>
      <c r="AS579" s="1" t="s">
        <v>74</v>
      </c>
      <c r="AT579" s="1" t="s">
        <v>5636</v>
      </c>
      <c r="AU579" s="1">
        <v>2021.0</v>
      </c>
      <c r="AV579" s="1">
        <v>637.0</v>
      </c>
      <c r="AW579" s="1" t="s">
        <v>74</v>
      </c>
      <c r="AX579" s="1" t="s">
        <v>74</v>
      </c>
      <c r="AY579" s="1" t="s">
        <v>74</v>
      </c>
      <c r="AZ579" s="1" t="s">
        <v>74</v>
      </c>
      <c r="BA579" s="1" t="s">
        <v>74</v>
      </c>
      <c r="BB579" s="1" t="s">
        <v>74</v>
      </c>
      <c r="BC579" s="1" t="s">
        <v>74</v>
      </c>
      <c r="BD579" s="1">
        <v>119617.0</v>
      </c>
      <c r="BE579" s="1" t="s">
        <v>5964</v>
      </c>
      <c r="BF579" s="2" t="str">
        <f>HYPERLINK("http://dx.doi.org/10.1016/j.memsci.2021.119617","http://dx.doi.org/10.1016/j.memsci.2021.119617")</f>
        <v>http://dx.doi.org/10.1016/j.memsci.2021.119617</v>
      </c>
      <c r="BG579" s="1" t="s">
        <v>74</v>
      </c>
      <c r="BH579" s="1" t="s">
        <v>3558</v>
      </c>
      <c r="BI579" s="1" t="s">
        <v>74</v>
      </c>
      <c r="BJ579" s="1" t="s">
        <v>74</v>
      </c>
      <c r="BK579" s="1" t="s">
        <v>74</v>
      </c>
      <c r="BL579" s="1" t="s">
        <v>74</v>
      </c>
      <c r="BM579" s="1" t="s">
        <v>74</v>
      </c>
      <c r="BN579" s="1" t="s">
        <v>74</v>
      </c>
      <c r="BO579" s="1" t="s">
        <v>74</v>
      </c>
      <c r="BP579" s="1" t="s">
        <v>74</v>
      </c>
      <c r="BQ579" s="1" t="s">
        <v>74</v>
      </c>
      <c r="BR579" s="1" t="s">
        <v>74</v>
      </c>
      <c r="BS579" s="1" t="s">
        <v>5965</v>
      </c>
      <c r="BT579" s="1" t="str">
        <f>HYPERLINK("https%3A%2F%2Fwww.webofscience.com%2Fwos%2Fwoscc%2Ffull-record%2FWOS:000686040200005","View Full Record in Web of Science")</f>
        <v>View Full Record in Web of Science</v>
      </c>
    </row>
    <row r="580" ht="12.75" customHeight="1">
      <c r="A580" s="1" t="s">
        <v>72</v>
      </c>
      <c r="B580" s="1" t="s">
        <v>5966</v>
      </c>
      <c r="C580" s="1" t="s">
        <v>74</v>
      </c>
      <c r="D580" s="1" t="s">
        <v>74</v>
      </c>
      <c r="E580" s="1" t="s">
        <v>74</v>
      </c>
      <c r="F580" s="1" t="s">
        <v>5967</v>
      </c>
      <c r="G580" s="1" t="s">
        <v>74</v>
      </c>
      <c r="H580" s="1" t="s">
        <v>74</v>
      </c>
      <c r="I580" s="1" t="s">
        <v>5968</v>
      </c>
      <c r="J580" s="1" t="s">
        <v>3271</v>
      </c>
      <c r="K580" s="1" t="s">
        <v>74</v>
      </c>
      <c r="L580" s="1" t="s">
        <v>74</v>
      </c>
      <c r="M580" s="1" t="s">
        <v>74</v>
      </c>
      <c r="N580" s="1" t="s">
        <v>74</v>
      </c>
      <c r="O580" s="1" t="s">
        <v>74</v>
      </c>
      <c r="P580" s="1" t="s">
        <v>74</v>
      </c>
      <c r="Q580" s="1" t="s">
        <v>74</v>
      </c>
      <c r="R580" s="1" t="s">
        <v>74</v>
      </c>
      <c r="S580" s="1" t="s">
        <v>74</v>
      </c>
      <c r="T580" s="1" t="s">
        <v>74</v>
      </c>
      <c r="U580" s="1" t="s">
        <v>74</v>
      </c>
      <c r="V580" s="1" t="s">
        <v>5969</v>
      </c>
      <c r="W580" s="1" t="s">
        <v>74</v>
      </c>
      <c r="X580" s="1" t="s">
        <v>74</v>
      </c>
      <c r="Y580" s="1" t="s">
        <v>74</v>
      </c>
      <c r="Z580" s="1" t="s">
        <v>74</v>
      </c>
      <c r="AA580" s="1" t="s">
        <v>5970</v>
      </c>
      <c r="AB580" s="1" t="s">
        <v>3274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3275</v>
      </c>
      <c r="AP580" s="1" t="s">
        <v>3276</v>
      </c>
      <c r="AQ580" s="1" t="s">
        <v>74</v>
      </c>
      <c r="AR580" s="1" t="s">
        <v>74</v>
      </c>
      <c r="AS580" s="1" t="s">
        <v>74</v>
      </c>
      <c r="AT580" s="1" t="s">
        <v>5971</v>
      </c>
      <c r="AU580" s="1">
        <v>2020.0</v>
      </c>
      <c r="AV580" s="1">
        <v>785.0</v>
      </c>
      <c r="AW580" s="1" t="s">
        <v>74</v>
      </c>
      <c r="AX580" s="1" t="s">
        <v>74</v>
      </c>
      <c r="AY580" s="1" t="s">
        <v>74</v>
      </c>
      <c r="AZ580" s="1" t="s">
        <v>74</v>
      </c>
      <c r="BA580" s="1" t="s">
        <v>74</v>
      </c>
      <c r="BB580" s="1" t="s">
        <v>74</v>
      </c>
      <c r="BC580" s="1" t="s">
        <v>74</v>
      </c>
      <c r="BD580" s="1">
        <v>139331.0</v>
      </c>
      <c r="BE580" s="1" t="s">
        <v>5972</v>
      </c>
      <c r="BF580" s="2" t="str">
        <f>HYPERLINK("http://dx.doi.org/10.1016/j.msea.2020.139331","http://dx.doi.org/10.1016/j.msea.2020.139331")</f>
        <v>http://dx.doi.org/10.1016/j.msea.2020.139331</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5973</v>
      </c>
      <c r="BT580" s="1" t="str">
        <f>HYPERLINK("https%3A%2F%2Fwww.webofscience.com%2Fwos%2Fwoscc%2Ffull-record%2FWOS:000536129700016","View Full Record in Web of Science")</f>
        <v>View Full Record in Web of Science</v>
      </c>
    </row>
    <row r="581" ht="12.75" customHeight="1">
      <c r="A581" s="1" t="s">
        <v>72</v>
      </c>
      <c r="B581" s="1" t="s">
        <v>5974</v>
      </c>
      <c r="C581" s="1" t="s">
        <v>74</v>
      </c>
      <c r="D581" s="1" t="s">
        <v>74</v>
      </c>
      <c r="E581" s="1" t="s">
        <v>74</v>
      </c>
      <c r="F581" s="1" t="s">
        <v>5975</v>
      </c>
      <c r="G581" s="1" t="s">
        <v>74</v>
      </c>
      <c r="H581" s="1" t="s">
        <v>74</v>
      </c>
      <c r="I581" s="1" t="s">
        <v>5976</v>
      </c>
      <c r="J581" s="1" t="s">
        <v>4670</v>
      </c>
      <c r="K581" s="1" t="s">
        <v>74</v>
      </c>
      <c r="L581" s="1" t="s">
        <v>74</v>
      </c>
      <c r="M581" s="1" t="s">
        <v>74</v>
      </c>
      <c r="N581" s="1" t="s">
        <v>74</v>
      </c>
      <c r="O581" s="1" t="s">
        <v>74</v>
      </c>
      <c r="P581" s="1" t="s">
        <v>74</v>
      </c>
      <c r="Q581" s="1" t="s">
        <v>74</v>
      </c>
      <c r="R581" s="1" t="s">
        <v>74</v>
      </c>
      <c r="S581" s="1" t="s">
        <v>74</v>
      </c>
      <c r="T581" s="1" t="s">
        <v>74</v>
      </c>
      <c r="U581" s="1" t="s">
        <v>74</v>
      </c>
      <c r="V581" s="1" t="s">
        <v>5977</v>
      </c>
      <c r="W581" s="1" t="s">
        <v>74</v>
      </c>
      <c r="X581" s="1" t="s">
        <v>74</v>
      </c>
      <c r="Y581" s="1" t="s">
        <v>74</v>
      </c>
      <c r="Z581" s="1" t="s">
        <v>74</v>
      </c>
      <c r="AA581" s="1" t="s">
        <v>5978</v>
      </c>
      <c r="AB581" s="1" t="s">
        <v>74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4673</v>
      </c>
      <c r="AP581" s="1" t="s">
        <v>4674</v>
      </c>
      <c r="AQ581" s="1" t="s">
        <v>74</v>
      </c>
      <c r="AR581" s="1" t="s">
        <v>74</v>
      </c>
      <c r="AS581" s="1" t="s">
        <v>74</v>
      </c>
      <c r="AT581" s="1" t="s">
        <v>600</v>
      </c>
      <c r="AU581" s="1">
        <v>2020.0</v>
      </c>
      <c r="AV581" s="1">
        <v>40.0</v>
      </c>
      <c r="AW581" s="1">
        <v>2.0</v>
      </c>
      <c r="AX581" s="1" t="s">
        <v>74</v>
      </c>
      <c r="AY581" s="1" t="s">
        <v>74</v>
      </c>
      <c r="AZ581" s="1" t="s">
        <v>74</v>
      </c>
      <c r="BA581" s="1" t="s">
        <v>74</v>
      </c>
      <c r="BB581" s="1">
        <v>817.0</v>
      </c>
      <c r="BC581" s="1">
        <v>845.0</v>
      </c>
      <c r="BD581" s="1" t="s">
        <v>74</v>
      </c>
      <c r="BE581" s="1" t="s">
        <v>5979</v>
      </c>
      <c r="BF581" s="2" t="str">
        <f>HYPERLINK("http://dx.doi.org/10.3934/dcds.2020063","http://dx.doi.org/10.3934/dcds.2020063")</f>
        <v>http://dx.doi.org/10.3934/dcds.2020063</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5980</v>
      </c>
      <c r="BT581" s="1" t="str">
        <f>HYPERLINK("https%3A%2F%2Fwww.webofscience.com%2Fwos%2Fwoscc%2Ffull-record%2FWOS:000502707100007","View Full Record in Web of Science")</f>
        <v>View Full Record in Web of Science</v>
      </c>
    </row>
    <row r="582" ht="12.75" customHeight="1">
      <c r="A582" s="1" t="s">
        <v>154</v>
      </c>
      <c r="B582" s="1" t="s">
        <v>5981</v>
      </c>
      <c r="C582" s="1" t="s">
        <v>74</v>
      </c>
      <c r="D582" s="1" t="s">
        <v>74</v>
      </c>
      <c r="E582" s="1" t="s">
        <v>323</v>
      </c>
      <c r="F582" s="1" t="s">
        <v>5982</v>
      </c>
      <c r="G582" s="1" t="s">
        <v>74</v>
      </c>
      <c r="H582" s="1" t="s">
        <v>74</v>
      </c>
      <c r="I582" s="1" t="s">
        <v>5983</v>
      </c>
      <c r="J582" s="1" t="s">
        <v>2516</v>
      </c>
      <c r="K582" s="1" t="s">
        <v>74</v>
      </c>
      <c r="L582" s="1" t="s">
        <v>74</v>
      </c>
      <c r="M582" s="1" t="s">
        <v>74</v>
      </c>
      <c r="N582" s="1" t="s">
        <v>74</v>
      </c>
      <c r="O582" s="1" t="s">
        <v>2517</v>
      </c>
      <c r="P582" s="1" t="s">
        <v>2518</v>
      </c>
      <c r="Q582" s="1" t="s">
        <v>329</v>
      </c>
      <c r="R582" s="1" t="s">
        <v>74</v>
      </c>
      <c r="S582" s="1" t="s">
        <v>74</v>
      </c>
      <c r="T582" s="1" t="s">
        <v>74</v>
      </c>
      <c r="U582" s="1" t="s">
        <v>74</v>
      </c>
      <c r="V582" s="1" t="s">
        <v>5984</v>
      </c>
      <c r="W582" s="1" t="s">
        <v>74</v>
      </c>
      <c r="X582" s="1" t="s">
        <v>74</v>
      </c>
      <c r="Y582" s="1" t="s">
        <v>74</v>
      </c>
      <c r="Z582" s="1" t="s">
        <v>74</v>
      </c>
      <c r="AA582" s="1" t="s">
        <v>5985</v>
      </c>
      <c r="AB582" s="1" t="s">
        <v>74</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74</v>
      </c>
      <c r="AP582" s="1" t="s">
        <v>74</v>
      </c>
      <c r="AQ582" s="1" t="s">
        <v>2521</v>
      </c>
      <c r="AR582" s="1" t="s">
        <v>74</v>
      </c>
      <c r="AS582" s="1" t="s">
        <v>74</v>
      </c>
      <c r="AT582" s="1" t="s">
        <v>74</v>
      </c>
      <c r="AU582" s="1">
        <v>2020.0</v>
      </c>
      <c r="AV582" s="1" t="s">
        <v>74</v>
      </c>
      <c r="AW582" s="1" t="s">
        <v>74</v>
      </c>
      <c r="AX582" s="1" t="s">
        <v>74</v>
      </c>
      <c r="AY582" s="1" t="s">
        <v>74</v>
      </c>
      <c r="AZ582" s="1" t="s">
        <v>74</v>
      </c>
      <c r="BA582" s="1" t="s">
        <v>74</v>
      </c>
      <c r="BB582" s="1" t="s">
        <v>74</v>
      </c>
      <c r="BC582" s="1" t="s">
        <v>74</v>
      </c>
      <c r="BD582" s="1" t="s">
        <v>74</v>
      </c>
      <c r="BE582" s="1" t="s">
        <v>74</v>
      </c>
      <c r="BF582" s="1" t="s">
        <v>74</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5986</v>
      </c>
      <c r="BT582" s="1" t="str">
        <f>HYPERLINK("https%3A%2F%2Fwww.webofscience.com%2Fwos%2Fwoscc%2Ffull-record%2FWOS:001331796100076","View Full Record in Web of Science")</f>
        <v>View Full Record in Web of Science</v>
      </c>
    </row>
    <row r="583" ht="12.75" customHeight="1">
      <c r="A583" s="1" t="s">
        <v>72</v>
      </c>
      <c r="B583" s="1" t="s">
        <v>5987</v>
      </c>
      <c r="C583" s="1" t="s">
        <v>74</v>
      </c>
      <c r="D583" s="1" t="s">
        <v>74</v>
      </c>
      <c r="E583" s="1" t="s">
        <v>74</v>
      </c>
      <c r="F583" s="1" t="s">
        <v>5988</v>
      </c>
      <c r="G583" s="1" t="s">
        <v>74</v>
      </c>
      <c r="H583" s="1" t="s">
        <v>74</v>
      </c>
      <c r="I583" s="1" t="s">
        <v>5989</v>
      </c>
      <c r="J583" s="1" t="s">
        <v>5990</v>
      </c>
      <c r="K583" s="1" t="s">
        <v>74</v>
      </c>
      <c r="L583" s="1" t="s">
        <v>74</v>
      </c>
      <c r="M583" s="1" t="s">
        <v>74</v>
      </c>
      <c r="N583" s="1" t="s">
        <v>74</v>
      </c>
      <c r="O583" s="1" t="s">
        <v>74</v>
      </c>
      <c r="P583" s="1" t="s">
        <v>74</v>
      </c>
      <c r="Q583" s="1" t="s">
        <v>74</v>
      </c>
      <c r="R583" s="1" t="s">
        <v>74</v>
      </c>
      <c r="S583" s="1" t="s">
        <v>74</v>
      </c>
      <c r="T583" s="1" t="s">
        <v>74</v>
      </c>
      <c r="U583" s="1" t="s">
        <v>74</v>
      </c>
      <c r="V583" s="1" t="s">
        <v>5991</v>
      </c>
      <c r="W583" s="1" t="s">
        <v>74</v>
      </c>
      <c r="X583" s="1" t="s">
        <v>74</v>
      </c>
      <c r="Y583" s="1" t="s">
        <v>74</v>
      </c>
      <c r="Z583" s="1" t="s">
        <v>74</v>
      </c>
      <c r="AA583" s="1" t="s">
        <v>5992</v>
      </c>
      <c r="AB583" s="1" t="s">
        <v>5993</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5994</v>
      </c>
      <c r="AP583" s="1" t="s">
        <v>5995</v>
      </c>
      <c r="AQ583" s="1" t="s">
        <v>74</v>
      </c>
      <c r="AR583" s="1" t="s">
        <v>74</v>
      </c>
      <c r="AS583" s="1" t="s">
        <v>74</v>
      </c>
      <c r="AT583" s="1" t="s">
        <v>241</v>
      </c>
      <c r="AU583" s="1">
        <v>2019.0</v>
      </c>
      <c r="AV583" s="1">
        <v>29.0</v>
      </c>
      <c r="AW583" s="1">
        <v>5.0</v>
      </c>
      <c r="AX583" s="1" t="s">
        <v>74</v>
      </c>
      <c r="AY583" s="1" t="s">
        <v>74</v>
      </c>
      <c r="AZ583" s="1" t="s">
        <v>74</v>
      </c>
      <c r="BA583" s="1" t="s">
        <v>74</v>
      </c>
      <c r="BB583" s="1">
        <v>869.0</v>
      </c>
      <c r="BC583" s="1">
        <v>890.0</v>
      </c>
      <c r="BD583" s="1" t="s">
        <v>74</v>
      </c>
      <c r="BE583" s="1" t="s">
        <v>5996</v>
      </c>
      <c r="BF583" s="2" t="str">
        <f>HYPERLINK("http://dx.doi.org/10.1007/s11222-018-9842-2","http://dx.doi.org/10.1007/s11222-018-9842-2")</f>
        <v>http://dx.doi.org/10.1007/s11222-018-9842-2</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5997</v>
      </c>
      <c r="BT583" s="1" t="str">
        <f>HYPERLINK("https%3A%2F%2Fwww.webofscience.com%2Fwos%2Fwoscc%2Ffull-record%2FWOS:000482225200002","View Full Record in Web of Science")</f>
        <v>View Full Record in Web of Science</v>
      </c>
    </row>
    <row r="584" ht="12.75" customHeight="1">
      <c r="A584" s="1" t="s">
        <v>72</v>
      </c>
      <c r="B584" s="1" t="s">
        <v>5998</v>
      </c>
      <c r="C584" s="1" t="s">
        <v>74</v>
      </c>
      <c r="D584" s="1" t="s">
        <v>74</v>
      </c>
      <c r="E584" s="1" t="s">
        <v>74</v>
      </c>
      <c r="F584" s="1" t="s">
        <v>5999</v>
      </c>
      <c r="G584" s="1" t="s">
        <v>74</v>
      </c>
      <c r="H584" s="1" t="s">
        <v>74</v>
      </c>
      <c r="I584" s="1" t="s">
        <v>6000</v>
      </c>
      <c r="J584" s="1" t="s">
        <v>6001</v>
      </c>
      <c r="K584" s="1" t="s">
        <v>74</v>
      </c>
      <c r="L584" s="1" t="s">
        <v>74</v>
      </c>
      <c r="M584" s="1" t="s">
        <v>74</v>
      </c>
      <c r="N584" s="1" t="s">
        <v>74</v>
      </c>
      <c r="O584" s="1" t="s">
        <v>74</v>
      </c>
      <c r="P584" s="1" t="s">
        <v>74</v>
      </c>
      <c r="Q584" s="1" t="s">
        <v>74</v>
      </c>
      <c r="R584" s="1" t="s">
        <v>74</v>
      </c>
      <c r="S584" s="1" t="s">
        <v>74</v>
      </c>
      <c r="T584" s="1" t="s">
        <v>74</v>
      </c>
      <c r="U584" s="1" t="s">
        <v>74</v>
      </c>
      <c r="V584" s="1" t="s">
        <v>6002</v>
      </c>
      <c r="W584" s="1" t="s">
        <v>74</v>
      </c>
      <c r="X584" s="1" t="s">
        <v>74</v>
      </c>
      <c r="Y584" s="1" t="s">
        <v>74</v>
      </c>
      <c r="Z584" s="1" t="s">
        <v>74</v>
      </c>
      <c r="AA584" s="1" t="s">
        <v>6003</v>
      </c>
      <c r="AB584" s="1" t="s">
        <v>6004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6005</v>
      </c>
      <c r="AP584" s="1" t="s">
        <v>74</v>
      </c>
      <c r="AQ584" s="1" t="s">
        <v>74</v>
      </c>
      <c r="AR584" s="1" t="s">
        <v>74</v>
      </c>
      <c r="AS584" s="1" t="s">
        <v>74</v>
      </c>
      <c r="AT584" s="1" t="s">
        <v>6006</v>
      </c>
      <c r="AU584" s="1">
        <v>2019.0</v>
      </c>
      <c r="AV584" s="1">
        <v>10.0</v>
      </c>
      <c r="AW584" s="1" t="s">
        <v>74</v>
      </c>
      <c r="AX584" s="1" t="s">
        <v>74</v>
      </c>
      <c r="AY584" s="1" t="s">
        <v>74</v>
      </c>
      <c r="AZ584" s="1" t="s">
        <v>74</v>
      </c>
      <c r="BA584" s="1" t="s">
        <v>74</v>
      </c>
      <c r="BB584" s="1" t="s">
        <v>74</v>
      </c>
      <c r="BC584" s="1" t="s">
        <v>74</v>
      </c>
      <c r="BD584" s="1">
        <v>434.0</v>
      </c>
      <c r="BE584" s="1" t="s">
        <v>6007</v>
      </c>
      <c r="BF584" s="2" t="str">
        <f>HYPERLINK("http://dx.doi.org/10.3389/fimmu.2019.00434","http://dx.doi.org/10.3389/fimmu.2019.00434")</f>
        <v>http://dx.doi.org/10.3389/fimmu.2019.00434</v>
      </c>
      <c r="BG584" s="1" t="s">
        <v>74</v>
      </c>
      <c r="BH584" s="1" t="s">
        <v>74</v>
      </c>
      <c r="BI584" s="1" t="s">
        <v>74</v>
      </c>
      <c r="BJ584" s="1" t="s">
        <v>74</v>
      </c>
      <c r="BK584" s="1" t="s">
        <v>74</v>
      </c>
      <c r="BL584" s="1" t="s">
        <v>74</v>
      </c>
      <c r="BM584" s="1" t="s">
        <v>74</v>
      </c>
      <c r="BN584" s="1">
        <v>3.0941123E7</v>
      </c>
      <c r="BO584" s="1" t="s">
        <v>74</v>
      </c>
      <c r="BP584" s="1" t="s">
        <v>74</v>
      </c>
      <c r="BQ584" s="1" t="s">
        <v>74</v>
      </c>
      <c r="BR584" s="1" t="s">
        <v>74</v>
      </c>
      <c r="BS584" s="1" t="s">
        <v>6008</v>
      </c>
      <c r="BT584" s="1" t="str">
        <f>HYPERLINK("https%3A%2F%2Fwww.webofscience.com%2Fwos%2Fwoscc%2Ffull-record%2FWOS:000461590500001","View Full Record in Web of Science")</f>
        <v>View Full Record in Web of Science</v>
      </c>
    </row>
    <row r="585" ht="12.75" customHeight="1">
      <c r="A585" s="1" t="s">
        <v>72</v>
      </c>
      <c r="B585" s="1" t="s">
        <v>6009</v>
      </c>
      <c r="C585" s="1" t="s">
        <v>74</v>
      </c>
      <c r="D585" s="1" t="s">
        <v>74</v>
      </c>
      <c r="E585" s="1" t="s">
        <v>74</v>
      </c>
      <c r="F585" s="1" t="s">
        <v>6010</v>
      </c>
      <c r="G585" s="1" t="s">
        <v>74</v>
      </c>
      <c r="H585" s="1" t="s">
        <v>74</v>
      </c>
      <c r="I585" s="1" t="s">
        <v>6011</v>
      </c>
      <c r="J585" s="1" t="s">
        <v>292</v>
      </c>
      <c r="K585" s="1" t="s">
        <v>74</v>
      </c>
      <c r="L585" s="1" t="s">
        <v>74</v>
      </c>
      <c r="M585" s="1" t="s">
        <v>74</v>
      </c>
      <c r="N585" s="1" t="s">
        <v>74</v>
      </c>
      <c r="O585" s="1" t="s">
        <v>74</v>
      </c>
      <c r="P585" s="1" t="s">
        <v>74</v>
      </c>
      <c r="Q585" s="1" t="s">
        <v>74</v>
      </c>
      <c r="R585" s="1" t="s">
        <v>74</v>
      </c>
      <c r="S585" s="1" t="s">
        <v>74</v>
      </c>
      <c r="T585" s="1" t="s">
        <v>74</v>
      </c>
      <c r="U585" s="1" t="s">
        <v>74</v>
      </c>
      <c r="V585" s="1" t="s">
        <v>6012</v>
      </c>
      <c r="W585" s="1" t="s">
        <v>74</v>
      </c>
      <c r="X585" s="1" t="s">
        <v>74</v>
      </c>
      <c r="Y585" s="1" t="s">
        <v>74</v>
      </c>
      <c r="Z585" s="1" t="s">
        <v>74</v>
      </c>
      <c r="AA585" s="1" t="s">
        <v>6013</v>
      </c>
      <c r="AB585" s="1" t="s">
        <v>6014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296</v>
      </c>
      <c r="AP585" s="1" t="s">
        <v>74</v>
      </c>
      <c r="AQ585" s="1" t="s">
        <v>74</v>
      </c>
      <c r="AR585" s="1" t="s">
        <v>74</v>
      </c>
      <c r="AS585" s="1" t="s">
        <v>74</v>
      </c>
      <c r="AT585" s="1" t="s">
        <v>6015</v>
      </c>
      <c r="AU585" s="1">
        <v>2019.0</v>
      </c>
      <c r="AV585" s="1">
        <v>9.0</v>
      </c>
      <c r="AW585" s="1" t="s">
        <v>74</v>
      </c>
      <c r="AX585" s="1" t="s">
        <v>74</v>
      </c>
      <c r="AY585" s="1" t="s">
        <v>74</v>
      </c>
      <c r="AZ585" s="1" t="s">
        <v>74</v>
      </c>
      <c r="BA585" s="1" t="s">
        <v>74</v>
      </c>
      <c r="BB585" s="1" t="s">
        <v>74</v>
      </c>
      <c r="BC585" s="1" t="s">
        <v>74</v>
      </c>
      <c r="BD585" s="1">
        <v>4144.0</v>
      </c>
      <c r="BE585" s="1" t="s">
        <v>6016</v>
      </c>
      <c r="BF585" s="2" t="str">
        <f>HYPERLINK("http://dx.doi.org/10.1038/s41598-019-40705-4","http://dx.doi.org/10.1038/s41598-019-40705-4")</f>
        <v>http://dx.doi.org/10.1038/s41598-019-40705-4</v>
      </c>
      <c r="BG585" s="1" t="s">
        <v>74</v>
      </c>
      <c r="BH585" s="1" t="s">
        <v>74</v>
      </c>
      <c r="BI585" s="1" t="s">
        <v>74</v>
      </c>
      <c r="BJ585" s="1" t="s">
        <v>74</v>
      </c>
      <c r="BK585" s="1" t="s">
        <v>74</v>
      </c>
      <c r="BL585" s="1" t="s">
        <v>74</v>
      </c>
      <c r="BM585" s="1" t="s">
        <v>74</v>
      </c>
      <c r="BN585" s="1">
        <v>3.085845E7</v>
      </c>
      <c r="BO585" s="1" t="s">
        <v>74</v>
      </c>
      <c r="BP585" s="1" t="s">
        <v>74</v>
      </c>
      <c r="BQ585" s="1" t="s">
        <v>74</v>
      </c>
      <c r="BR585" s="1" t="s">
        <v>74</v>
      </c>
      <c r="BS585" s="1" t="s">
        <v>6017</v>
      </c>
      <c r="BT585" s="1" t="str">
        <f>HYPERLINK("https%3A%2F%2Fwww.webofscience.com%2Fwos%2Fwoscc%2Ffull-record%2FWOS:000460754600035","View Full Record in Web of Science")</f>
        <v>View Full Record in Web of Science</v>
      </c>
    </row>
    <row r="586" ht="12.75" customHeight="1">
      <c r="A586" s="1" t="s">
        <v>72</v>
      </c>
      <c r="B586" s="1" t="s">
        <v>6018</v>
      </c>
      <c r="C586" s="1" t="s">
        <v>74</v>
      </c>
      <c r="D586" s="1" t="s">
        <v>74</v>
      </c>
      <c r="E586" s="1" t="s">
        <v>74</v>
      </c>
      <c r="F586" s="1" t="s">
        <v>6019</v>
      </c>
      <c r="G586" s="1" t="s">
        <v>74</v>
      </c>
      <c r="H586" s="1" t="s">
        <v>74</v>
      </c>
      <c r="I586" s="1" t="s">
        <v>6020</v>
      </c>
      <c r="J586" s="1" t="s">
        <v>6021</v>
      </c>
      <c r="K586" s="1" t="s">
        <v>74</v>
      </c>
      <c r="L586" s="1" t="s">
        <v>74</v>
      </c>
      <c r="M586" s="1" t="s">
        <v>74</v>
      </c>
      <c r="N586" s="1" t="s">
        <v>74</v>
      </c>
      <c r="O586" s="1" t="s">
        <v>74</v>
      </c>
      <c r="P586" s="1" t="s">
        <v>74</v>
      </c>
      <c r="Q586" s="1" t="s">
        <v>74</v>
      </c>
      <c r="R586" s="1" t="s">
        <v>74</v>
      </c>
      <c r="S586" s="1" t="s">
        <v>74</v>
      </c>
      <c r="T586" s="1" t="s">
        <v>74</v>
      </c>
      <c r="U586" s="1" t="s">
        <v>74</v>
      </c>
      <c r="V586" s="1" t="s">
        <v>6022</v>
      </c>
      <c r="W586" s="1" t="s">
        <v>74</v>
      </c>
      <c r="X586" s="1" t="s">
        <v>74</v>
      </c>
      <c r="Y586" s="1" t="s">
        <v>74</v>
      </c>
      <c r="Z586" s="1" t="s">
        <v>74</v>
      </c>
      <c r="AA586" s="1" t="s">
        <v>6023</v>
      </c>
      <c r="AB586" s="1" t="s">
        <v>6024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6025</v>
      </c>
      <c r="AP586" s="1" t="s">
        <v>74</v>
      </c>
      <c r="AQ586" s="1" t="s">
        <v>74</v>
      </c>
      <c r="AR586" s="1" t="s">
        <v>74</v>
      </c>
      <c r="AS586" s="1" t="s">
        <v>74</v>
      </c>
      <c r="AT586" s="1" t="s">
        <v>308</v>
      </c>
      <c r="AU586" s="1">
        <v>2017.0</v>
      </c>
      <c r="AV586" s="1">
        <v>6.0</v>
      </c>
      <c r="AW586" s="1">
        <v>2.0</v>
      </c>
      <c r="AX586" s="1" t="s">
        <v>74</v>
      </c>
      <c r="AY586" s="1" t="s">
        <v>74</v>
      </c>
      <c r="AZ586" s="1" t="s">
        <v>74</v>
      </c>
      <c r="BA586" s="1" t="s">
        <v>74</v>
      </c>
      <c r="BB586" s="1">
        <v>247.0</v>
      </c>
      <c r="BC586" s="1">
        <v>253.0</v>
      </c>
      <c r="BD586" s="1" t="s">
        <v>74</v>
      </c>
      <c r="BE586" s="1" t="s">
        <v>6026</v>
      </c>
      <c r="BF586" s="2" t="str">
        <f>HYPERLINK("http://dx.doi.org/10.1002/open.201600152","http://dx.doi.org/10.1002/open.201600152")</f>
        <v>http://dx.doi.org/10.1002/open.201600152</v>
      </c>
      <c r="BG586" s="1" t="s">
        <v>74</v>
      </c>
      <c r="BH586" s="1" t="s">
        <v>74</v>
      </c>
      <c r="BI586" s="1" t="s">
        <v>74</v>
      </c>
      <c r="BJ586" s="1" t="s">
        <v>74</v>
      </c>
      <c r="BK586" s="1" t="s">
        <v>74</v>
      </c>
      <c r="BL586" s="1" t="s">
        <v>74</v>
      </c>
      <c r="BM586" s="1" t="s">
        <v>74</v>
      </c>
      <c r="BN586" s="1">
        <v>2.841376E7</v>
      </c>
      <c r="BO586" s="1" t="s">
        <v>74</v>
      </c>
      <c r="BP586" s="1" t="s">
        <v>74</v>
      </c>
      <c r="BQ586" s="1" t="s">
        <v>74</v>
      </c>
      <c r="BR586" s="1" t="s">
        <v>74</v>
      </c>
      <c r="BS586" s="1" t="s">
        <v>6027</v>
      </c>
      <c r="BT586" s="1" t="str">
        <f>HYPERLINK("https%3A%2F%2Fwww.webofscience.com%2Fwos%2Fwoscc%2Ffull-record%2FWOS:000399452900014","View Full Record in Web of Science")</f>
        <v>View Full Record in Web of Science</v>
      </c>
    </row>
    <row r="587" ht="12.75" customHeight="1">
      <c r="A587" s="1" t="s">
        <v>72</v>
      </c>
      <c r="B587" s="1" t="s">
        <v>6028</v>
      </c>
      <c r="C587" s="1" t="s">
        <v>74</v>
      </c>
      <c r="D587" s="1" t="s">
        <v>74</v>
      </c>
      <c r="E587" s="1" t="s">
        <v>74</v>
      </c>
      <c r="F587" s="1" t="s">
        <v>6029</v>
      </c>
      <c r="G587" s="1" t="s">
        <v>74</v>
      </c>
      <c r="H587" s="1" t="s">
        <v>74</v>
      </c>
      <c r="I587" s="1" t="s">
        <v>6030</v>
      </c>
      <c r="J587" s="1" t="s">
        <v>948</v>
      </c>
      <c r="K587" s="1" t="s">
        <v>74</v>
      </c>
      <c r="L587" s="1" t="s">
        <v>74</v>
      </c>
      <c r="M587" s="1" t="s">
        <v>74</v>
      </c>
      <c r="N587" s="1" t="s">
        <v>74</v>
      </c>
      <c r="O587" s="1" t="s">
        <v>74</v>
      </c>
      <c r="P587" s="1" t="s">
        <v>74</v>
      </c>
      <c r="Q587" s="1" t="s">
        <v>74</v>
      </c>
      <c r="R587" s="1" t="s">
        <v>74</v>
      </c>
      <c r="S587" s="1" t="s">
        <v>74</v>
      </c>
      <c r="T587" s="1" t="s">
        <v>74</v>
      </c>
      <c r="U587" s="1" t="s">
        <v>74</v>
      </c>
      <c r="V587" s="1" t="s">
        <v>6031</v>
      </c>
      <c r="W587" s="1" t="s">
        <v>74</v>
      </c>
      <c r="X587" s="1" t="s">
        <v>74</v>
      </c>
      <c r="Y587" s="1" t="s">
        <v>74</v>
      </c>
      <c r="Z587" s="1" t="s">
        <v>74</v>
      </c>
      <c r="AA587" s="1" t="s">
        <v>6032</v>
      </c>
      <c r="AB587" s="1" t="s">
        <v>6033</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952</v>
      </c>
      <c r="AP587" s="1" t="s">
        <v>74</v>
      </c>
      <c r="AQ587" s="1" t="s">
        <v>74</v>
      </c>
      <c r="AR587" s="1" t="s">
        <v>74</v>
      </c>
      <c r="AS587" s="1" t="s">
        <v>74</v>
      </c>
      <c r="AT587" s="1" t="s">
        <v>176</v>
      </c>
      <c r="AU587" s="1">
        <v>2015.0</v>
      </c>
      <c r="AV587" s="1">
        <v>60.0</v>
      </c>
      <c r="AW587" s="1">
        <v>1.0</v>
      </c>
      <c r="AX587" s="1" t="s">
        <v>74</v>
      </c>
      <c r="AY587" s="1" t="s">
        <v>74</v>
      </c>
      <c r="AZ587" s="1" t="s">
        <v>74</v>
      </c>
      <c r="BA587" s="1" t="s">
        <v>74</v>
      </c>
      <c r="BB587" s="1">
        <v>2817.0</v>
      </c>
      <c r="BC587" s="1">
        <v>2821.0</v>
      </c>
      <c r="BD587" s="1" t="s">
        <v>74</v>
      </c>
      <c r="BE587" s="1" t="s">
        <v>6034</v>
      </c>
      <c r="BF587" s="2" t="str">
        <f>HYPERLINK("http://dx.doi.org/10.4067/S0717-97072015000100009","http://dx.doi.org/10.4067/S0717-97072015000100009")</f>
        <v>http://dx.doi.org/10.4067/S0717-97072015000100009</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6035</v>
      </c>
      <c r="BT587" s="1" t="str">
        <f>HYPERLINK("https%3A%2F%2Fwww.webofscience.com%2Fwos%2Fwoscc%2Ffull-record%2FWOS:000356004100009","View Full Record in Web of Science")</f>
        <v>View Full Record in Web of Science</v>
      </c>
    </row>
    <row r="588" ht="12.75" customHeight="1">
      <c r="A588" s="1" t="s">
        <v>72</v>
      </c>
      <c r="B588" s="1" t="s">
        <v>6036</v>
      </c>
      <c r="C588" s="1" t="s">
        <v>74</v>
      </c>
      <c r="D588" s="1" t="s">
        <v>74</v>
      </c>
      <c r="E588" s="1" t="s">
        <v>74</v>
      </c>
      <c r="F588" s="1" t="s">
        <v>6037</v>
      </c>
      <c r="G588" s="1" t="s">
        <v>74</v>
      </c>
      <c r="H588" s="1" t="s">
        <v>74</v>
      </c>
      <c r="I588" s="1" t="s">
        <v>6038</v>
      </c>
      <c r="J588" s="1" t="s">
        <v>1610</v>
      </c>
      <c r="K588" s="1" t="s">
        <v>74</v>
      </c>
      <c r="L588" s="1" t="s">
        <v>74</v>
      </c>
      <c r="M588" s="1" t="s">
        <v>74</v>
      </c>
      <c r="N588" s="1" t="s">
        <v>74</v>
      </c>
      <c r="O588" s="1" t="s">
        <v>74</v>
      </c>
      <c r="P588" s="1" t="s">
        <v>74</v>
      </c>
      <c r="Q588" s="1" t="s">
        <v>74</v>
      </c>
      <c r="R588" s="1" t="s">
        <v>74</v>
      </c>
      <c r="S588" s="1" t="s">
        <v>74</v>
      </c>
      <c r="T588" s="1" t="s">
        <v>74</v>
      </c>
      <c r="U588" s="1" t="s">
        <v>74</v>
      </c>
      <c r="V588" s="1" t="s">
        <v>6039</v>
      </c>
      <c r="W588" s="1" t="s">
        <v>74</v>
      </c>
      <c r="X588" s="1" t="s">
        <v>74</v>
      </c>
      <c r="Y588" s="1" t="s">
        <v>74</v>
      </c>
      <c r="Z588" s="1" t="s">
        <v>74</v>
      </c>
      <c r="AA588" s="1" t="s">
        <v>6040</v>
      </c>
      <c r="AB588" s="1" t="s">
        <v>6041</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1614</v>
      </c>
      <c r="AP588" s="1" t="s">
        <v>1615</v>
      </c>
      <c r="AQ588" s="1" t="s">
        <v>74</v>
      </c>
      <c r="AR588" s="1" t="s">
        <v>74</v>
      </c>
      <c r="AS588" s="1" t="s">
        <v>74</v>
      </c>
      <c r="AT588" s="1" t="s">
        <v>877</v>
      </c>
      <c r="AU588" s="1">
        <v>2011.0</v>
      </c>
      <c r="AV588" s="1">
        <v>73.0</v>
      </c>
      <c r="AW588" s="1">
        <v>13.0</v>
      </c>
      <c r="AX588" s="1" t="s">
        <v>74</v>
      </c>
      <c r="AY588" s="1" t="s">
        <v>74</v>
      </c>
      <c r="AZ588" s="1" t="s">
        <v>74</v>
      </c>
      <c r="BA588" s="1" t="s">
        <v>74</v>
      </c>
      <c r="BB588" s="1">
        <v>1636.0</v>
      </c>
      <c r="BC588" s="1">
        <v>1642.0</v>
      </c>
      <c r="BD588" s="1" t="s">
        <v>74</v>
      </c>
      <c r="BE588" s="1" t="s">
        <v>6042</v>
      </c>
      <c r="BF588" s="2" t="str">
        <f>HYPERLINK("http://dx.doi.org/10.1016/j.jastp.2011.02.009","http://dx.doi.org/10.1016/j.jastp.2011.02.009")</f>
        <v>http://dx.doi.org/10.1016/j.jastp.2011.02.009</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6043</v>
      </c>
      <c r="BT588" s="1" t="str">
        <f>HYPERLINK("https%3A%2F%2Fwww.webofscience.com%2Fwos%2Fwoscc%2Ffull-record%2FWOS:000294591800004","View Full Record in Web of Science")</f>
        <v>View Full Record in Web of Science</v>
      </c>
    </row>
    <row r="589" ht="12.75" customHeight="1">
      <c r="A589" s="1" t="s">
        <v>72</v>
      </c>
      <c r="B589" s="1" t="s">
        <v>6044</v>
      </c>
      <c r="C589" s="1" t="s">
        <v>74</v>
      </c>
      <c r="D589" s="1" t="s">
        <v>74</v>
      </c>
      <c r="E589" s="1" t="s">
        <v>74</v>
      </c>
      <c r="F589" s="1" t="s">
        <v>6045</v>
      </c>
      <c r="G589" s="1" t="s">
        <v>74</v>
      </c>
      <c r="H589" s="1" t="s">
        <v>74</v>
      </c>
      <c r="I589" s="1" t="s">
        <v>6046</v>
      </c>
      <c r="J589" s="1" t="s">
        <v>6047</v>
      </c>
      <c r="K589" s="1" t="s">
        <v>74</v>
      </c>
      <c r="L589" s="1" t="s">
        <v>74</v>
      </c>
      <c r="M589" s="1" t="s">
        <v>74</v>
      </c>
      <c r="N589" s="1" t="s">
        <v>74</v>
      </c>
      <c r="O589" s="1" t="s">
        <v>74</v>
      </c>
      <c r="P589" s="1" t="s">
        <v>74</v>
      </c>
      <c r="Q589" s="1" t="s">
        <v>74</v>
      </c>
      <c r="R589" s="1" t="s">
        <v>74</v>
      </c>
      <c r="S589" s="1" t="s">
        <v>74</v>
      </c>
      <c r="T589" s="1" t="s">
        <v>74</v>
      </c>
      <c r="U589" s="1" t="s">
        <v>74</v>
      </c>
      <c r="V589" s="1" t="s">
        <v>6048</v>
      </c>
      <c r="W589" s="1" t="s">
        <v>74</v>
      </c>
      <c r="X589" s="1" t="s">
        <v>74</v>
      </c>
      <c r="Y589" s="1" t="s">
        <v>74</v>
      </c>
      <c r="Z589" s="1" t="s">
        <v>74</v>
      </c>
      <c r="AA589" s="1" t="s">
        <v>6049</v>
      </c>
      <c r="AB589" s="1" t="s">
        <v>6050</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6051</v>
      </c>
      <c r="AP589" s="1" t="s">
        <v>74</v>
      </c>
      <c r="AQ589" s="1" t="s">
        <v>74</v>
      </c>
      <c r="AR589" s="1" t="s">
        <v>74</v>
      </c>
      <c r="AS589" s="1" t="s">
        <v>74</v>
      </c>
      <c r="AT589" s="1" t="s">
        <v>3265</v>
      </c>
      <c r="AU589" s="1">
        <v>2009.0</v>
      </c>
      <c r="AV589" s="1">
        <v>29.0</v>
      </c>
      <c r="AW589" s="1">
        <v>39.0</v>
      </c>
      <c r="AX589" s="1" t="s">
        <v>74</v>
      </c>
      <c r="AY589" s="1" t="s">
        <v>74</v>
      </c>
      <c r="AZ589" s="1" t="s">
        <v>74</v>
      </c>
      <c r="BA589" s="1" t="s">
        <v>74</v>
      </c>
      <c r="BB589" s="1">
        <v>12284.0</v>
      </c>
      <c r="BC589" s="1">
        <v>12291.0</v>
      </c>
      <c r="BD589" s="1" t="s">
        <v>74</v>
      </c>
      <c r="BE589" s="1" t="s">
        <v>6052</v>
      </c>
      <c r="BF589" s="2" t="str">
        <f>HYPERLINK("http://dx.doi.org/10.1523/JNEUROSCI.2096-09.2009","http://dx.doi.org/10.1523/JNEUROSCI.2096-09.2009")</f>
        <v>http://dx.doi.org/10.1523/JNEUROSCI.2096-09.2009</v>
      </c>
      <c r="BG589" s="1" t="s">
        <v>74</v>
      </c>
      <c r="BH589" s="1" t="s">
        <v>74</v>
      </c>
      <c r="BI589" s="1" t="s">
        <v>74</v>
      </c>
      <c r="BJ589" s="1" t="s">
        <v>74</v>
      </c>
      <c r="BK589" s="1" t="s">
        <v>74</v>
      </c>
      <c r="BL589" s="1" t="s">
        <v>74</v>
      </c>
      <c r="BM589" s="1" t="s">
        <v>74</v>
      </c>
      <c r="BN589" s="1">
        <v>1.9793987E7</v>
      </c>
      <c r="BO589" s="1" t="s">
        <v>74</v>
      </c>
      <c r="BP589" s="1" t="s">
        <v>74</v>
      </c>
      <c r="BQ589" s="1" t="s">
        <v>74</v>
      </c>
      <c r="BR589" s="1" t="s">
        <v>74</v>
      </c>
      <c r="BS589" s="1" t="s">
        <v>6053</v>
      </c>
      <c r="BT589" s="1" t="str">
        <f>HYPERLINK("https%3A%2F%2Fwww.webofscience.com%2Fwos%2Fwoscc%2Ffull-record%2FWOS:000270363300028","View Full Record in Web of Science")</f>
        <v>View Full Record in Web of Science</v>
      </c>
    </row>
    <row r="590" ht="12.75" customHeight="1">
      <c r="A590" s="1" t="s">
        <v>72</v>
      </c>
      <c r="B590" s="1" t="s">
        <v>6054</v>
      </c>
      <c r="C590" s="1" t="s">
        <v>74</v>
      </c>
      <c r="D590" s="1" t="s">
        <v>74</v>
      </c>
      <c r="E590" s="1" t="s">
        <v>74</v>
      </c>
      <c r="F590" s="1" t="s">
        <v>6055</v>
      </c>
      <c r="G590" s="1" t="s">
        <v>74</v>
      </c>
      <c r="H590" s="1" t="s">
        <v>74</v>
      </c>
      <c r="I590" s="1" t="s">
        <v>6056</v>
      </c>
      <c r="J590" s="1" t="s">
        <v>6057</v>
      </c>
      <c r="K590" s="1" t="s">
        <v>74</v>
      </c>
      <c r="L590" s="1" t="s">
        <v>74</v>
      </c>
      <c r="M590" s="1" t="s">
        <v>74</v>
      </c>
      <c r="N590" s="1" t="s">
        <v>74</v>
      </c>
      <c r="O590" s="1" t="s">
        <v>6058</v>
      </c>
      <c r="P590" s="1" t="s">
        <v>6059</v>
      </c>
      <c r="Q590" s="1" t="s">
        <v>161</v>
      </c>
      <c r="R590" s="1" t="s">
        <v>74</v>
      </c>
      <c r="S590" s="1" t="s">
        <v>74</v>
      </c>
      <c r="T590" s="1" t="s">
        <v>74</v>
      </c>
      <c r="U590" s="1" t="s">
        <v>74</v>
      </c>
      <c r="V590" s="1" t="s">
        <v>6060</v>
      </c>
      <c r="W590" s="1" t="s">
        <v>74</v>
      </c>
      <c r="X590" s="1" t="s">
        <v>74</v>
      </c>
      <c r="Y590" s="1" t="s">
        <v>74</v>
      </c>
      <c r="Z590" s="1" t="s">
        <v>74</v>
      </c>
      <c r="AA590" s="1" t="s">
        <v>6061</v>
      </c>
      <c r="AB590" s="1" t="s">
        <v>6062</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6063</v>
      </c>
      <c r="AP590" s="1" t="s">
        <v>6064</v>
      </c>
      <c r="AQ590" s="1" t="s">
        <v>74</v>
      </c>
      <c r="AR590" s="1" t="s">
        <v>74</v>
      </c>
      <c r="AS590" s="1" t="s">
        <v>74</v>
      </c>
      <c r="AT590" s="1" t="s">
        <v>1082</v>
      </c>
      <c r="AU590" s="1">
        <v>2008.0</v>
      </c>
      <c r="AV590" s="1">
        <v>44.0</v>
      </c>
      <c r="AW590" s="1">
        <v>11.0</v>
      </c>
      <c r="AX590" s="1">
        <v>1.0</v>
      </c>
      <c r="AY590" s="1" t="s">
        <v>74</v>
      </c>
      <c r="AZ590" s="1" t="s">
        <v>74</v>
      </c>
      <c r="BA590" s="1" t="s">
        <v>74</v>
      </c>
      <c r="BB590" s="1">
        <v>2808.0</v>
      </c>
      <c r="BC590" s="1">
        <v>2811.0</v>
      </c>
      <c r="BD590" s="1" t="s">
        <v>74</v>
      </c>
      <c r="BE590" s="1" t="s">
        <v>6065</v>
      </c>
      <c r="BF590" s="2" t="str">
        <f>HYPERLINK("http://dx.doi.org/10.1109/TMAG.2008.2001814","http://dx.doi.org/10.1109/TMAG.2008.2001814")</f>
        <v>http://dx.doi.org/10.1109/TMAG.2008.2001814</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6066</v>
      </c>
      <c r="BT590" s="1" t="str">
        <f>HYPERLINK("https%3A%2F%2Fwww.webofscience.com%2Fwos%2Fwoscc%2Ffull-record%2FWOS:000262221200092","View Full Record in Web of Science")</f>
        <v>View Full Record in Web of Science</v>
      </c>
    </row>
    <row r="591" ht="12.75" customHeight="1">
      <c r="A591" s="1" t="s">
        <v>72</v>
      </c>
      <c r="B591" s="1" t="s">
        <v>6067</v>
      </c>
      <c r="C591" s="1" t="s">
        <v>74</v>
      </c>
      <c r="D591" s="1" t="s">
        <v>74</v>
      </c>
      <c r="E591" s="1" t="s">
        <v>74</v>
      </c>
      <c r="F591" s="1" t="s">
        <v>6067</v>
      </c>
      <c r="G591" s="1" t="s">
        <v>74</v>
      </c>
      <c r="H591" s="1" t="s">
        <v>74</v>
      </c>
      <c r="I591" s="1" t="s">
        <v>6068</v>
      </c>
      <c r="J591" s="1" t="s">
        <v>6069</v>
      </c>
      <c r="K591" s="1" t="s">
        <v>74</v>
      </c>
      <c r="L591" s="1" t="s">
        <v>74</v>
      </c>
      <c r="M591" s="1" t="s">
        <v>74</v>
      </c>
      <c r="N591" s="1" t="s">
        <v>74</v>
      </c>
      <c r="O591" s="1" t="s">
        <v>74</v>
      </c>
      <c r="P591" s="1" t="s">
        <v>74</v>
      </c>
      <c r="Q591" s="1" t="s">
        <v>74</v>
      </c>
      <c r="R591" s="1" t="s">
        <v>74</v>
      </c>
      <c r="S591" s="1" t="s">
        <v>74</v>
      </c>
      <c r="T591" s="1" t="s">
        <v>74</v>
      </c>
      <c r="U591" s="1" t="s">
        <v>74</v>
      </c>
      <c r="V591" s="1" t="s">
        <v>6070</v>
      </c>
      <c r="W591" s="1" t="s">
        <v>74</v>
      </c>
      <c r="X591" s="1" t="s">
        <v>74</v>
      </c>
      <c r="Y591" s="1" t="s">
        <v>74</v>
      </c>
      <c r="Z591" s="1" t="s">
        <v>74</v>
      </c>
      <c r="AA591" s="1" t="s">
        <v>6071</v>
      </c>
      <c r="AB591" s="1" t="s">
        <v>6072</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6073</v>
      </c>
      <c r="AP591" s="1" t="s">
        <v>6074</v>
      </c>
      <c r="AQ591" s="1" t="s">
        <v>74</v>
      </c>
      <c r="AR591" s="1" t="s">
        <v>74</v>
      </c>
      <c r="AS591" s="1" t="s">
        <v>74</v>
      </c>
      <c r="AT591" s="1" t="s">
        <v>6075</v>
      </c>
      <c r="AU591" s="1">
        <v>2002.0</v>
      </c>
      <c r="AV591" s="1">
        <v>28.0</v>
      </c>
      <c r="AW591" s="1">
        <v>2.0</v>
      </c>
      <c r="AX591" s="1" t="s">
        <v>74</v>
      </c>
      <c r="AY591" s="1" t="s">
        <v>74</v>
      </c>
      <c r="AZ591" s="1" t="s">
        <v>74</v>
      </c>
      <c r="BA591" s="1" t="s">
        <v>74</v>
      </c>
      <c r="BB591" s="1">
        <v>223.0</v>
      </c>
      <c r="BC591" s="1">
        <v>234.0</v>
      </c>
      <c r="BD591" s="1" t="s">
        <v>6076</v>
      </c>
      <c r="BE591" s="1" t="s">
        <v>6077</v>
      </c>
      <c r="BF591" s="2" t="str">
        <f>HYPERLINK("http://dx.doi.org/10.1016/S0924-2031(01)00140-0","http://dx.doi.org/10.1016/S0924-2031(01)00140-0")</f>
        <v>http://dx.doi.org/10.1016/S0924-2031(01)00140-0</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6078</v>
      </c>
      <c r="BT591" s="1" t="str">
        <f>HYPERLINK("https%3A%2F%2Fwww.webofscience.com%2Fwos%2Fwoscc%2Ffull-record%2FWOS:000175852000002","View Full Record in Web of Science")</f>
        <v>View Full Record in Web of Science</v>
      </c>
    </row>
    <row r="592" ht="12.75" customHeight="1">
      <c r="A592" s="1" t="s">
        <v>72</v>
      </c>
      <c r="B592" s="1" t="s">
        <v>6079</v>
      </c>
      <c r="C592" s="1" t="s">
        <v>74</v>
      </c>
      <c r="D592" s="1" t="s">
        <v>74</v>
      </c>
      <c r="E592" s="1" t="s">
        <v>74</v>
      </c>
      <c r="F592" s="1" t="s">
        <v>6079</v>
      </c>
      <c r="G592" s="1" t="s">
        <v>74</v>
      </c>
      <c r="H592" s="1" t="s">
        <v>74</v>
      </c>
      <c r="I592" s="1" t="s">
        <v>6080</v>
      </c>
      <c r="J592" s="1" t="s">
        <v>1068</v>
      </c>
      <c r="K592" s="1" t="s">
        <v>74</v>
      </c>
      <c r="L592" s="1" t="s">
        <v>74</v>
      </c>
      <c r="M592" s="1" t="s">
        <v>74</v>
      </c>
      <c r="N592" s="1" t="s">
        <v>74</v>
      </c>
      <c r="O592" s="1" t="s">
        <v>74</v>
      </c>
      <c r="P592" s="1" t="s">
        <v>74</v>
      </c>
      <c r="Q592" s="1" t="s">
        <v>74</v>
      </c>
      <c r="R592" s="1" t="s">
        <v>74</v>
      </c>
      <c r="S592" s="1" t="s">
        <v>74</v>
      </c>
      <c r="T592" s="1" t="s">
        <v>74</v>
      </c>
      <c r="U592" s="1" t="s">
        <v>74</v>
      </c>
      <c r="V592" s="1" t="s">
        <v>6081</v>
      </c>
      <c r="W592" s="1" t="s">
        <v>74</v>
      </c>
      <c r="X592" s="1" t="s">
        <v>74</v>
      </c>
      <c r="Y592" s="1" t="s">
        <v>74</v>
      </c>
      <c r="Z592" s="1" t="s">
        <v>74</v>
      </c>
      <c r="AA592" s="1" t="s">
        <v>6082</v>
      </c>
      <c r="AB592" s="1" t="s">
        <v>6083</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1072</v>
      </c>
      <c r="AP592" s="1" t="s">
        <v>74</v>
      </c>
      <c r="AQ592" s="1" t="s">
        <v>74</v>
      </c>
      <c r="AR592" s="1" t="s">
        <v>74</v>
      </c>
      <c r="AS592" s="1" t="s">
        <v>74</v>
      </c>
      <c r="AT592" s="1" t="s">
        <v>83</v>
      </c>
      <c r="AU592" s="1">
        <v>1998.0</v>
      </c>
      <c r="AV592" s="1">
        <v>43.0</v>
      </c>
      <c r="AW592" s="1">
        <v>4.0</v>
      </c>
      <c r="AX592" s="1" t="s">
        <v>74</v>
      </c>
      <c r="AY592" s="1" t="s">
        <v>74</v>
      </c>
      <c r="AZ592" s="1" t="s">
        <v>74</v>
      </c>
      <c r="BA592" s="1" t="s">
        <v>74</v>
      </c>
      <c r="BB592" s="1">
        <v>485.0</v>
      </c>
      <c r="BC592" s="1">
        <v>492.0</v>
      </c>
      <c r="BD592" s="1" t="s">
        <v>74</v>
      </c>
      <c r="BE592" s="1" t="s">
        <v>74</v>
      </c>
      <c r="BF592" s="1" t="s">
        <v>74</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6084</v>
      </c>
      <c r="BT592" s="1" t="str">
        <f>HYPERLINK("https%3A%2F%2Fwww.webofscience.com%2Fwos%2Fwoscc%2Ffull-record%2FWOS:000078428600013","View Full Record in Web of Science")</f>
        <v>View Full Record in Web of Science</v>
      </c>
    </row>
    <row r="593" ht="12.75" customHeight="1">
      <c r="A593" s="1" t="s">
        <v>72</v>
      </c>
      <c r="B593" s="1" t="s">
        <v>6085</v>
      </c>
      <c r="C593" s="1" t="s">
        <v>74</v>
      </c>
      <c r="D593" s="1" t="s">
        <v>74</v>
      </c>
      <c r="E593" s="1" t="s">
        <v>74</v>
      </c>
      <c r="F593" s="1" t="s">
        <v>6085</v>
      </c>
      <c r="G593" s="1" t="s">
        <v>74</v>
      </c>
      <c r="H593" s="1" t="s">
        <v>74</v>
      </c>
      <c r="I593" s="1" t="s">
        <v>6086</v>
      </c>
      <c r="J593" s="1" t="s">
        <v>1897</v>
      </c>
      <c r="K593" s="1" t="s">
        <v>74</v>
      </c>
      <c r="L593" s="1" t="s">
        <v>74</v>
      </c>
      <c r="M593" s="1" t="s">
        <v>74</v>
      </c>
      <c r="N593" s="1" t="s">
        <v>74</v>
      </c>
      <c r="O593" s="1" t="s">
        <v>74</v>
      </c>
      <c r="P593" s="1" t="s">
        <v>74</v>
      </c>
      <c r="Q593" s="1" t="s">
        <v>74</v>
      </c>
      <c r="R593" s="1" t="s">
        <v>74</v>
      </c>
      <c r="S593" s="1" t="s">
        <v>74</v>
      </c>
      <c r="T593" s="1" t="s">
        <v>74</v>
      </c>
      <c r="U593" s="1" t="s">
        <v>74</v>
      </c>
      <c r="V593" s="1" t="s">
        <v>74</v>
      </c>
      <c r="W593" s="1" t="s">
        <v>74</v>
      </c>
      <c r="X593" s="1" t="s">
        <v>74</v>
      </c>
      <c r="Y593" s="1" t="s">
        <v>74</v>
      </c>
      <c r="Z593" s="1" t="s">
        <v>74</v>
      </c>
      <c r="AA593" s="1" t="s">
        <v>74</v>
      </c>
      <c r="AB593" s="1" t="s">
        <v>74</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1901</v>
      </c>
      <c r="AP593" s="1" t="s">
        <v>74</v>
      </c>
      <c r="AQ593" s="1" t="s">
        <v>74</v>
      </c>
      <c r="AR593" s="1" t="s">
        <v>74</v>
      </c>
      <c r="AS593" s="1" t="s">
        <v>74</v>
      </c>
      <c r="AT593" s="1" t="s">
        <v>83</v>
      </c>
      <c r="AU593" s="1">
        <v>1997.0</v>
      </c>
      <c r="AV593" s="1">
        <v>122.0</v>
      </c>
      <c r="AW593" s="1" t="s">
        <v>74</v>
      </c>
      <c r="AX593" s="1" t="s">
        <v>74</v>
      </c>
      <c r="AY593" s="1" t="s">
        <v>320</v>
      </c>
      <c r="AZ593" s="1" t="s">
        <v>74</v>
      </c>
      <c r="BA593" s="1" t="s">
        <v>6087</v>
      </c>
      <c r="BB593" s="1" t="s">
        <v>6088</v>
      </c>
      <c r="BC593" s="1" t="s">
        <v>6088</v>
      </c>
      <c r="BD593" s="1" t="s">
        <v>74</v>
      </c>
      <c r="BE593" s="1" t="s">
        <v>74</v>
      </c>
      <c r="BF593" s="1" t="s">
        <v>74</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6089</v>
      </c>
      <c r="BT593" s="1" t="str">
        <f>HYPERLINK("https%3A%2F%2Fwww.webofscience.com%2Fwos%2Fwoscc%2Ffull-record%2FWOS:000071204500229","View Full Record in Web of Science")</f>
        <v>View Full Record in Web of Science</v>
      </c>
    </row>
    <row r="594" ht="12.75" customHeight="1">
      <c r="A594" s="1" t="s">
        <v>72</v>
      </c>
      <c r="B594" s="1" t="s">
        <v>6090</v>
      </c>
      <c r="C594" s="1" t="s">
        <v>74</v>
      </c>
      <c r="D594" s="1" t="s">
        <v>74</v>
      </c>
      <c r="E594" s="1" t="s">
        <v>74</v>
      </c>
      <c r="F594" s="1" t="s">
        <v>6091</v>
      </c>
      <c r="G594" s="1" t="s">
        <v>74</v>
      </c>
      <c r="H594" s="1" t="s">
        <v>74</v>
      </c>
      <c r="I594" s="1" t="s">
        <v>6092</v>
      </c>
      <c r="J594" s="1" t="s">
        <v>6093</v>
      </c>
      <c r="K594" s="1" t="s">
        <v>74</v>
      </c>
      <c r="L594" s="1" t="s">
        <v>74</v>
      </c>
      <c r="M594" s="1" t="s">
        <v>74</v>
      </c>
      <c r="N594" s="1" t="s">
        <v>74</v>
      </c>
      <c r="O594" s="1" t="s">
        <v>74</v>
      </c>
      <c r="P594" s="1" t="s">
        <v>74</v>
      </c>
      <c r="Q594" s="1" t="s">
        <v>74</v>
      </c>
      <c r="R594" s="1" t="s">
        <v>74</v>
      </c>
      <c r="S594" s="1" t="s">
        <v>74</v>
      </c>
      <c r="T594" s="1" t="s">
        <v>74</v>
      </c>
      <c r="U594" s="1" t="s">
        <v>74</v>
      </c>
      <c r="V594" s="1" t="s">
        <v>6094</v>
      </c>
      <c r="W594" s="1" t="s">
        <v>74</v>
      </c>
      <c r="X594" s="1" t="s">
        <v>74</v>
      </c>
      <c r="Y594" s="1" t="s">
        <v>74</v>
      </c>
      <c r="Z594" s="1" t="s">
        <v>74</v>
      </c>
      <c r="AA594" s="1" t="s">
        <v>6095</v>
      </c>
      <c r="AB594" s="1" t="s">
        <v>74</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6096</v>
      </c>
      <c r="AP594" s="1" t="s">
        <v>6097</v>
      </c>
      <c r="AQ594" s="1" t="s">
        <v>74</v>
      </c>
      <c r="AR594" s="1" t="s">
        <v>74</v>
      </c>
      <c r="AS594" s="1" t="s">
        <v>74</v>
      </c>
      <c r="AT594" s="1" t="s">
        <v>600</v>
      </c>
      <c r="AU594" s="1">
        <v>2025.0</v>
      </c>
      <c r="AV594" s="1">
        <v>94.0</v>
      </c>
      <c r="AW594" s="1">
        <v>1.0</v>
      </c>
      <c r="AX594" s="1" t="s">
        <v>74</v>
      </c>
      <c r="AY594" s="1" t="s">
        <v>74</v>
      </c>
      <c r="AZ594" s="1" t="s">
        <v>74</v>
      </c>
      <c r="BA594" s="1" t="s">
        <v>74</v>
      </c>
      <c r="BB594" s="1">
        <v>60.0</v>
      </c>
      <c r="BC594" s="1">
        <v>66.0</v>
      </c>
      <c r="BD594" s="1" t="s">
        <v>74</v>
      </c>
      <c r="BE594" s="1" t="s">
        <v>6098</v>
      </c>
      <c r="BF594" s="2" t="str">
        <f>HYPERLINK("http://dx.doi.org/10.1134/S0026261724604962","http://dx.doi.org/10.1134/S0026261724604962")</f>
        <v>http://dx.doi.org/10.1134/S0026261724604962</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6099</v>
      </c>
      <c r="BT594" s="1" t="str">
        <f>HYPERLINK("https%3A%2F%2Fwww.webofscience.com%2Fwos%2Fwoscc%2Ffull-record%2FWOS:001434417300014","View Full Record in Web of Science")</f>
        <v>View Full Record in Web of Science</v>
      </c>
    </row>
    <row r="595" ht="12.75" customHeight="1">
      <c r="A595" s="1" t="s">
        <v>72</v>
      </c>
      <c r="B595" s="1" t="s">
        <v>6100</v>
      </c>
      <c r="C595" s="1" t="s">
        <v>74</v>
      </c>
      <c r="D595" s="1" t="s">
        <v>74</v>
      </c>
      <c r="E595" s="1" t="s">
        <v>74</v>
      </c>
      <c r="F595" s="1" t="s">
        <v>6101</v>
      </c>
      <c r="G595" s="1" t="s">
        <v>74</v>
      </c>
      <c r="H595" s="1" t="s">
        <v>74</v>
      </c>
      <c r="I595" s="1" t="s">
        <v>6102</v>
      </c>
      <c r="J595" s="1" t="s">
        <v>392</v>
      </c>
      <c r="K595" s="1" t="s">
        <v>74</v>
      </c>
      <c r="L595" s="1" t="s">
        <v>74</v>
      </c>
      <c r="M595" s="1" t="s">
        <v>74</v>
      </c>
      <c r="N595" s="1" t="s">
        <v>74</v>
      </c>
      <c r="O595" s="1" t="s">
        <v>74</v>
      </c>
      <c r="P595" s="1" t="s">
        <v>74</v>
      </c>
      <c r="Q595" s="1" t="s">
        <v>74</v>
      </c>
      <c r="R595" s="1" t="s">
        <v>74</v>
      </c>
      <c r="S595" s="1" t="s">
        <v>74</v>
      </c>
      <c r="T595" s="1" t="s">
        <v>74</v>
      </c>
      <c r="U595" s="1" t="s">
        <v>74</v>
      </c>
      <c r="V595" s="1" t="s">
        <v>6103</v>
      </c>
      <c r="W595" s="1" t="s">
        <v>74</v>
      </c>
      <c r="X595" s="1" t="s">
        <v>74</v>
      </c>
      <c r="Y595" s="1" t="s">
        <v>74</v>
      </c>
      <c r="Z595" s="1" t="s">
        <v>74</v>
      </c>
      <c r="AA595" s="1" t="s">
        <v>684</v>
      </c>
      <c r="AB595" s="1" t="s">
        <v>6104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396</v>
      </c>
      <c r="AP595" s="1" t="s">
        <v>397</v>
      </c>
      <c r="AQ595" s="1" t="s">
        <v>74</v>
      </c>
      <c r="AR595" s="1" t="s">
        <v>74</v>
      </c>
      <c r="AS595" s="1" t="s">
        <v>74</v>
      </c>
      <c r="AT595" s="1" t="s">
        <v>6105</v>
      </c>
      <c r="AU595" s="1">
        <v>2023.0</v>
      </c>
      <c r="AV595" s="1">
        <v>108.0</v>
      </c>
      <c r="AW595" s="1">
        <v>9.0</v>
      </c>
      <c r="AX595" s="1" t="s">
        <v>74</v>
      </c>
      <c r="AY595" s="1" t="s">
        <v>74</v>
      </c>
      <c r="AZ595" s="1" t="s">
        <v>74</v>
      </c>
      <c r="BA595" s="1" t="s">
        <v>74</v>
      </c>
      <c r="BB595" s="1" t="s">
        <v>74</v>
      </c>
      <c r="BC595" s="1" t="s">
        <v>74</v>
      </c>
      <c r="BD595" s="1">
        <v>95042.0</v>
      </c>
      <c r="BE595" s="1" t="s">
        <v>6106</v>
      </c>
      <c r="BF595" s="2" t="str">
        <f>HYPERLINK("http://dx.doi.org/10.1103/PhysRevD.108.095042","http://dx.doi.org/10.1103/PhysRevD.108.095042")</f>
        <v>http://dx.doi.org/10.1103/PhysRevD.108.095042</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6107</v>
      </c>
      <c r="BT595" s="1" t="str">
        <f>HYPERLINK("https%3A%2F%2Fwww.webofscience.com%2Fwos%2Fwoscc%2Ffull-record%2FWOS:001119009700009","View Full Record in Web of Science")</f>
        <v>View Full Record in Web of Science</v>
      </c>
    </row>
    <row r="596" ht="12.75" customHeight="1">
      <c r="A596" s="1" t="s">
        <v>72</v>
      </c>
      <c r="B596" s="1" t="s">
        <v>6108</v>
      </c>
      <c r="C596" s="1" t="s">
        <v>74</v>
      </c>
      <c r="D596" s="1" t="s">
        <v>74</v>
      </c>
      <c r="E596" s="1" t="s">
        <v>74</v>
      </c>
      <c r="F596" s="1" t="s">
        <v>6109</v>
      </c>
      <c r="G596" s="1" t="s">
        <v>74</v>
      </c>
      <c r="H596" s="1" t="s">
        <v>74</v>
      </c>
      <c r="I596" s="1" t="s">
        <v>6110</v>
      </c>
      <c r="J596" s="1" t="s">
        <v>6111</v>
      </c>
      <c r="K596" s="1" t="s">
        <v>74</v>
      </c>
      <c r="L596" s="1" t="s">
        <v>74</v>
      </c>
      <c r="M596" s="1" t="s">
        <v>74</v>
      </c>
      <c r="N596" s="1" t="s">
        <v>74</v>
      </c>
      <c r="O596" s="1" t="s">
        <v>74</v>
      </c>
      <c r="P596" s="1" t="s">
        <v>74</v>
      </c>
      <c r="Q596" s="1" t="s">
        <v>74</v>
      </c>
      <c r="R596" s="1" t="s">
        <v>74</v>
      </c>
      <c r="S596" s="1" t="s">
        <v>74</v>
      </c>
      <c r="T596" s="1" t="s">
        <v>74</v>
      </c>
      <c r="U596" s="1" t="s">
        <v>74</v>
      </c>
      <c r="V596" s="1" t="s">
        <v>6112</v>
      </c>
      <c r="W596" s="1" t="s">
        <v>74</v>
      </c>
      <c r="X596" s="1" t="s">
        <v>74</v>
      </c>
      <c r="Y596" s="1" t="s">
        <v>74</v>
      </c>
      <c r="Z596" s="1" t="s">
        <v>74</v>
      </c>
      <c r="AA596" s="1" t="s">
        <v>6113</v>
      </c>
      <c r="AB596" s="1" t="s">
        <v>6114</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74</v>
      </c>
      <c r="AP596" s="1" t="s">
        <v>6115</v>
      </c>
      <c r="AQ596" s="1" t="s">
        <v>74</v>
      </c>
      <c r="AR596" s="1" t="s">
        <v>74</v>
      </c>
      <c r="AS596" s="1" t="s">
        <v>74</v>
      </c>
      <c r="AT596" s="1" t="s">
        <v>6116</v>
      </c>
      <c r="AU596" s="1">
        <v>2023.0</v>
      </c>
      <c r="AV596" s="1">
        <v>23.0</v>
      </c>
      <c r="AW596" s="1">
        <v>1.0</v>
      </c>
      <c r="AX596" s="1" t="s">
        <v>74</v>
      </c>
      <c r="AY596" s="1" t="s">
        <v>74</v>
      </c>
      <c r="AZ596" s="1" t="s">
        <v>74</v>
      </c>
      <c r="BA596" s="1" t="s">
        <v>74</v>
      </c>
      <c r="BB596" s="1" t="s">
        <v>74</v>
      </c>
      <c r="BC596" s="1" t="s">
        <v>74</v>
      </c>
      <c r="BD596" s="1">
        <v>1182.0</v>
      </c>
      <c r="BE596" s="1" t="s">
        <v>6117</v>
      </c>
      <c r="BF596" s="2" t="str">
        <f>HYPERLINK("http://dx.doi.org/10.1186/s12913-023-10169-4","http://dx.doi.org/10.1186/s12913-023-10169-4")</f>
        <v>http://dx.doi.org/10.1186/s12913-023-10169-4</v>
      </c>
      <c r="BG596" s="1" t="s">
        <v>74</v>
      </c>
      <c r="BH596" s="1" t="s">
        <v>74</v>
      </c>
      <c r="BI596" s="1" t="s">
        <v>74</v>
      </c>
      <c r="BJ596" s="1" t="s">
        <v>74</v>
      </c>
      <c r="BK596" s="1" t="s">
        <v>74</v>
      </c>
      <c r="BL596" s="1" t="s">
        <v>74</v>
      </c>
      <c r="BM596" s="1" t="s">
        <v>74</v>
      </c>
      <c r="BN596" s="1">
        <v>3.7904117E7</v>
      </c>
      <c r="BO596" s="1" t="s">
        <v>74</v>
      </c>
      <c r="BP596" s="1" t="s">
        <v>74</v>
      </c>
      <c r="BQ596" s="1" t="s">
        <v>74</v>
      </c>
      <c r="BR596" s="1" t="s">
        <v>74</v>
      </c>
      <c r="BS596" s="1" t="s">
        <v>6118</v>
      </c>
      <c r="BT596" s="1" t="str">
        <f>HYPERLINK("https%3A%2F%2Fwww.webofscience.com%2Fwos%2Fwoscc%2Ffull-record%2FWOS:001089806900001","View Full Record in Web of Science")</f>
        <v>View Full Record in Web of Science</v>
      </c>
    </row>
    <row r="597" ht="12.75" customHeight="1">
      <c r="A597" s="1" t="s">
        <v>72</v>
      </c>
      <c r="B597" s="1" t="s">
        <v>6119</v>
      </c>
      <c r="C597" s="1" t="s">
        <v>74</v>
      </c>
      <c r="D597" s="1" t="s">
        <v>74</v>
      </c>
      <c r="E597" s="1" t="s">
        <v>74</v>
      </c>
      <c r="F597" s="1" t="s">
        <v>6120</v>
      </c>
      <c r="G597" s="1" t="s">
        <v>74</v>
      </c>
      <c r="H597" s="1" t="s">
        <v>74</v>
      </c>
      <c r="I597" s="1" t="s">
        <v>6121</v>
      </c>
      <c r="J597" s="1" t="s">
        <v>6122</v>
      </c>
      <c r="K597" s="1" t="s">
        <v>74</v>
      </c>
      <c r="L597" s="1" t="s">
        <v>74</v>
      </c>
      <c r="M597" s="1" t="s">
        <v>74</v>
      </c>
      <c r="N597" s="1" t="s">
        <v>74</v>
      </c>
      <c r="O597" s="1" t="s">
        <v>74</v>
      </c>
      <c r="P597" s="1" t="s">
        <v>74</v>
      </c>
      <c r="Q597" s="1" t="s">
        <v>74</v>
      </c>
      <c r="R597" s="1" t="s">
        <v>74</v>
      </c>
      <c r="S597" s="1" t="s">
        <v>74</v>
      </c>
      <c r="T597" s="1" t="s">
        <v>74</v>
      </c>
      <c r="U597" s="1" t="s">
        <v>74</v>
      </c>
      <c r="V597" s="1" t="s">
        <v>6123</v>
      </c>
      <c r="W597" s="1" t="s">
        <v>74</v>
      </c>
      <c r="X597" s="1" t="s">
        <v>74</v>
      </c>
      <c r="Y597" s="1" t="s">
        <v>74</v>
      </c>
      <c r="Z597" s="1" t="s">
        <v>74</v>
      </c>
      <c r="AA597" s="1" t="s">
        <v>6124</v>
      </c>
      <c r="AB597" s="1" t="s">
        <v>6125</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6126</v>
      </c>
      <c r="AP597" s="1" t="s">
        <v>6127</v>
      </c>
      <c r="AQ597" s="1" t="s">
        <v>74</v>
      </c>
      <c r="AR597" s="1" t="s">
        <v>74</v>
      </c>
      <c r="AS597" s="1" t="s">
        <v>74</v>
      </c>
      <c r="AT597" s="1" t="s">
        <v>6128</v>
      </c>
      <c r="AU597" s="1">
        <v>2023.0</v>
      </c>
      <c r="AV597" s="1">
        <v>28.0</v>
      </c>
      <c r="AW597" s="1" t="s">
        <v>6129</v>
      </c>
      <c r="AX597" s="1" t="s">
        <v>74</v>
      </c>
      <c r="AY597" s="1" t="s">
        <v>74</v>
      </c>
      <c r="AZ597" s="1" t="s">
        <v>74</v>
      </c>
      <c r="BA597" s="1" t="s">
        <v>74</v>
      </c>
      <c r="BB597" s="1">
        <v>589.0</v>
      </c>
      <c r="BC597" s="1">
        <v>632.0</v>
      </c>
      <c r="BD597" s="1" t="s">
        <v>74</v>
      </c>
      <c r="BE597" s="1" t="s">
        <v>6130</v>
      </c>
      <c r="BF597" s="2" t="str">
        <f>HYPERLINK("http://dx.doi.org/10.1108/CDI-06-2022-0164","http://dx.doi.org/10.1108/CDI-06-2022-0164")</f>
        <v>http://dx.doi.org/10.1108/CDI-06-2022-0164</v>
      </c>
      <c r="BG597" s="1" t="s">
        <v>74</v>
      </c>
      <c r="BH597" s="1" t="s">
        <v>4385</v>
      </c>
      <c r="BI597" s="1" t="s">
        <v>74</v>
      </c>
      <c r="BJ597" s="1" t="s">
        <v>74</v>
      </c>
      <c r="BK597" s="1" t="s">
        <v>74</v>
      </c>
      <c r="BL597" s="1" t="s">
        <v>74</v>
      </c>
      <c r="BM597" s="1" t="s">
        <v>74</v>
      </c>
      <c r="BN597" s="1" t="s">
        <v>74</v>
      </c>
      <c r="BO597" s="1" t="s">
        <v>74</v>
      </c>
      <c r="BP597" s="1" t="s">
        <v>74</v>
      </c>
      <c r="BQ597" s="1" t="s">
        <v>74</v>
      </c>
      <c r="BR597" s="1" t="s">
        <v>74</v>
      </c>
      <c r="BS597" s="1" t="s">
        <v>6131</v>
      </c>
      <c r="BT597" s="1" t="str">
        <f>HYPERLINK("https%3A%2F%2Fwww.webofscience.com%2Fwos%2Fwoscc%2Ffull-record%2FWOS:001052679100001","View Full Record in Web of Science")</f>
        <v>View Full Record in Web of Science</v>
      </c>
    </row>
    <row r="598" ht="12.75" customHeight="1">
      <c r="A598" s="1" t="s">
        <v>72</v>
      </c>
      <c r="B598" s="1" t="s">
        <v>6132</v>
      </c>
      <c r="C598" s="1" t="s">
        <v>74</v>
      </c>
      <c r="D598" s="1" t="s">
        <v>74</v>
      </c>
      <c r="E598" s="1" t="s">
        <v>74</v>
      </c>
      <c r="F598" s="1" t="s">
        <v>6133</v>
      </c>
      <c r="G598" s="1" t="s">
        <v>74</v>
      </c>
      <c r="H598" s="1" t="s">
        <v>74</v>
      </c>
      <c r="I598" s="1" t="s">
        <v>6134</v>
      </c>
      <c r="J598" s="1" t="s">
        <v>6135</v>
      </c>
      <c r="K598" s="1" t="s">
        <v>74</v>
      </c>
      <c r="L598" s="1" t="s">
        <v>74</v>
      </c>
      <c r="M598" s="1" t="s">
        <v>74</v>
      </c>
      <c r="N598" s="1" t="s">
        <v>74</v>
      </c>
      <c r="O598" s="1" t="s">
        <v>74</v>
      </c>
      <c r="P598" s="1" t="s">
        <v>74</v>
      </c>
      <c r="Q598" s="1" t="s">
        <v>74</v>
      </c>
      <c r="R598" s="1" t="s">
        <v>74</v>
      </c>
      <c r="S598" s="1" t="s">
        <v>74</v>
      </c>
      <c r="T598" s="1" t="s">
        <v>74</v>
      </c>
      <c r="U598" s="1" t="s">
        <v>74</v>
      </c>
      <c r="V598" s="1" t="s">
        <v>6136</v>
      </c>
      <c r="W598" s="1" t="s">
        <v>74</v>
      </c>
      <c r="X598" s="1" t="s">
        <v>74</v>
      </c>
      <c r="Y598" s="1" t="s">
        <v>74</v>
      </c>
      <c r="Z598" s="1" t="s">
        <v>74</v>
      </c>
      <c r="AA598" s="1" t="s">
        <v>6137</v>
      </c>
      <c r="AB598" s="1" t="s">
        <v>6138</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74</v>
      </c>
      <c r="AP598" s="1" t="s">
        <v>6139</v>
      </c>
      <c r="AQ598" s="1" t="s">
        <v>74</v>
      </c>
      <c r="AR598" s="1" t="s">
        <v>74</v>
      </c>
      <c r="AS598" s="1" t="s">
        <v>74</v>
      </c>
      <c r="AT598" s="1" t="s">
        <v>83</v>
      </c>
      <c r="AU598" s="1">
        <v>2022.0</v>
      </c>
      <c r="AV598" s="1">
        <v>12.0</v>
      </c>
      <c r="AW598" s="1">
        <v>12.0</v>
      </c>
      <c r="AX598" s="1" t="s">
        <v>74</v>
      </c>
      <c r="AY598" s="1" t="s">
        <v>74</v>
      </c>
      <c r="AZ598" s="1" t="s">
        <v>74</v>
      </c>
      <c r="BA598" s="1" t="s">
        <v>74</v>
      </c>
      <c r="BB598" s="1" t="s">
        <v>74</v>
      </c>
      <c r="BC598" s="1" t="s">
        <v>74</v>
      </c>
      <c r="BD598" s="1">
        <v>1675.0</v>
      </c>
      <c r="BE598" s="1" t="s">
        <v>6140</v>
      </c>
      <c r="BF598" s="2" t="str">
        <f>HYPERLINK("http://dx.doi.org/10.3390/catal12121675","http://dx.doi.org/10.3390/catal12121675")</f>
        <v>http://dx.doi.org/10.3390/catal12121675</v>
      </c>
      <c r="BG598" s="1" t="s">
        <v>74</v>
      </c>
      <c r="BH598" s="1" t="s">
        <v>74</v>
      </c>
      <c r="BI598" s="1" t="s">
        <v>74</v>
      </c>
      <c r="BJ598" s="1" t="s">
        <v>74</v>
      </c>
      <c r="BK598" s="1" t="s">
        <v>74</v>
      </c>
      <c r="BL598" s="1" t="s">
        <v>74</v>
      </c>
      <c r="BM598" s="1" t="s">
        <v>74</v>
      </c>
      <c r="BN598" s="1" t="s">
        <v>74</v>
      </c>
      <c r="BO598" s="1" t="s">
        <v>74</v>
      </c>
      <c r="BP598" s="1" t="s">
        <v>74</v>
      </c>
      <c r="BQ598" s="1" t="s">
        <v>74</v>
      </c>
      <c r="BR598" s="1" t="s">
        <v>74</v>
      </c>
      <c r="BS598" s="1" t="s">
        <v>6141</v>
      </c>
      <c r="BT598" s="1" t="str">
        <f>HYPERLINK("https%3A%2F%2Fwww.webofscience.com%2Fwos%2Fwoscc%2Ffull-record%2FWOS:000902246200001","View Full Record in Web of Science")</f>
        <v>View Full Record in Web of Science</v>
      </c>
    </row>
    <row r="599" ht="12.75" customHeight="1">
      <c r="A599" s="1" t="s">
        <v>72</v>
      </c>
      <c r="B599" s="1" t="s">
        <v>6142</v>
      </c>
      <c r="C599" s="1" t="s">
        <v>74</v>
      </c>
      <c r="D599" s="1" t="s">
        <v>74</v>
      </c>
      <c r="E599" s="1" t="s">
        <v>74</v>
      </c>
      <c r="F599" s="1" t="s">
        <v>6143</v>
      </c>
      <c r="G599" s="1" t="s">
        <v>74</v>
      </c>
      <c r="H599" s="1" t="s">
        <v>74</v>
      </c>
      <c r="I599" s="1" t="s">
        <v>6144</v>
      </c>
      <c r="J599" s="1" t="s">
        <v>6145</v>
      </c>
      <c r="K599" s="1" t="s">
        <v>74</v>
      </c>
      <c r="L599" s="1" t="s">
        <v>74</v>
      </c>
      <c r="M599" s="1" t="s">
        <v>74</v>
      </c>
      <c r="N599" s="1" t="s">
        <v>74</v>
      </c>
      <c r="O599" s="1" t="s">
        <v>74</v>
      </c>
      <c r="P599" s="1" t="s">
        <v>74</v>
      </c>
      <c r="Q599" s="1" t="s">
        <v>74</v>
      </c>
      <c r="R599" s="1" t="s">
        <v>74</v>
      </c>
      <c r="S599" s="1" t="s">
        <v>74</v>
      </c>
      <c r="T599" s="1" t="s">
        <v>74</v>
      </c>
      <c r="U599" s="1" t="s">
        <v>74</v>
      </c>
      <c r="V599" s="1" t="s">
        <v>6146</v>
      </c>
      <c r="W599" s="1" t="s">
        <v>74</v>
      </c>
      <c r="X599" s="1" t="s">
        <v>74</v>
      </c>
      <c r="Y599" s="1" t="s">
        <v>74</v>
      </c>
      <c r="Z599" s="1" t="s">
        <v>74</v>
      </c>
      <c r="AA599" s="1" t="s">
        <v>6147</v>
      </c>
      <c r="AB599" s="1" t="s">
        <v>6148</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74</v>
      </c>
      <c r="AP599" s="1" t="s">
        <v>6149</v>
      </c>
      <c r="AQ599" s="1" t="s">
        <v>74</v>
      </c>
      <c r="AR599" s="1" t="s">
        <v>74</v>
      </c>
      <c r="AS599" s="1" t="s">
        <v>74</v>
      </c>
      <c r="AT599" s="1" t="s">
        <v>385</v>
      </c>
      <c r="AU599" s="1">
        <v>2022.0</v>
      </c>
      <c r="AV599" s="1">
        <v>11.0</v>
      </c>
      <c r="AW599" s="1">
        <v>6.0</v>
      </c>
      <c r="AX599" s="1" t="s">
        <v>74</v>
      </c>
      <c r="AY599" s="1" t="s">
        <v>74</v>
      </c>
      <c r="AZ599" s="1" t="s">
        <v>74</v>
      </c>
      <c r="BA599" s="1" t="s">
        <v>74</v>
      </c>
      <c r="BB599" s="1" t="s">
        <v>74</v>
      </c>
      <c r="BC599" s="1" t="s">
        <v>74</v>
      </c>
      <c r="BD599" s="1">
        <v>816.0</v>
      </c>
      <c r="BE599" s="1" t="s">
        <v>6150</v>
      </c>
      <c r="BF599" s="2" t="str">
        <f>HYPERLINK("http://dx.doi.org/10.3390/biology11060816","http://dx.doi.org/10.3390/biology11060816")</f>
        <v>http://dx.doi.org/10.3390/biology11060816</v>
      </c>
      <c r="BG599" s="1" t="s">
        <v>74</v>
      </c>
      <c r="BH599" s="1" t="s">
        <v>74</v>
      </c>
      <c r="BI599" s="1" t="s">
        <v>74</v>
      </c>
      <c r="BJ599" s="1" t="s">
        <v>74</v>
      </c>
      <c r="BK599" s="1" t="s">
        <v>74</v>
      </c>
      <c r="BL599" s="1" t="s">
        <v>74</v>
      </c>
      <c r="BM599" s="1" t="s">
        <v>74</v>
      </c>
      <c r="BN599" s="1">
        <v>3.5741338E7</v>
      </c>
      <c r="BO599" s="1" t="s">
        <v>74</v>
      </c>
      <c r="BP599" s="1" t="s">
        <v>74</v>
      </c>
      <c r="BQ599" s="1" t="s">
        <v>74</v>
      </c>
      <c r="BR599" s="1" t="s">
        <v>74</v>
      </c>
      <c r="BS599" s="1" t="s">
        <v>6151</v>
      </c>
      <c r="BT599" s="1" t="str">
        <f>HYPERLINK("https%3A%2F%2Fwww.webofscience.com%2Fwos%2Fwoscc%2Ffull-record%2FWOS:000818283500001","View Full Record in Web of Science")</f>
        <v>View Full Record in Web of Science</v>
      </c>
    </row>
    <row r="600" ht="12.75" customHeight="1">
      <c r="A600" s="1" t="s">
        <v>72</v>
      </c>
      <c r="B600" s="1" t="s">
        <v>6152</v>
      </c>
      <c r="C600" s="1" t="s">
        <v>74</v>
      </c>
      <c r="D600" s="1" t="s">
        <v>74</v>
      </c>
      <c r="E600" s="1" t="s">
        <v>74</v>
      </c>
      <c r="F600" s="1" t="s">
        <v>6153</v>
      </c>
      <c r="G600" s="1" t="s">
        <v>74</v>
      </c>
      <c r="H600" s="1" t="s">
        <v>74</v>
      </c>
      <c r="I600" s="1" t="s">
        <v>6154</v>
      </c>
      <c r="J600" s="1" t="s">
        <v>6155</v>
      </c>
      <c r="K600" s="1" t="s">
        <v>74</v>
      </c>
      <c r="L600" s="1" t="s">
        <v>74</v>
      </c>
      <c r="M600" s="1" t="s">
        <v>74</v>
      </c>
      <c r="N600" s="1" t="s">
        <v>74</v>
      </c>
      <c r="O600" s="1" t="s">
        <v>74</v>
      </c>
      <c r="P600" s="1" t="s">
        <v>74</v>
      </c>
      <c r="Q600" s="1" t="s">
        <v>74</v>
      </c>
      <c r="R600" s="1" t="s">
        <v>74</v>
      </c>
      <c r="S600" s="1" t="s">
        <v>74</v>
      </c>
      <c r="T600" s="1" t="s">
        <v>74</v>
      </c>
      <c r="U600" s="1" t="s">
        <v>74</v>
      </c>
      <c r="V600" s="1" t="s">
        <v>6156</v>
      </c>
      <c r="W600" s="1" t="s">
        <v>74</v>
      </c>
      <c r="X600" s="1" t="s">
        <v>74</v>
      </c>
      <c r="Y600" s="1" t="s">
        <v>74</v>
      </c>
      <c r="Z600" s="1" t="s">
        <v>74</v>
      </c>
      <c r="AA600" s="1" t="s">
        <v>6157</v>
      </c>
      <c r="AB600" s="1" t="s">
        <v>6158</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6159</v>
      </c>
      <c r="AP600" s="1" t="s">
        <v>6160</v>
      </c>
      <c r="AQ600" s="1" t="s">
        <v>74</v>
      </c>
      <c r="AR600" s="1" t="s">
        <v>74</v>
      </c>
      <c r="AS600" s="1" t="s">
        <v>74</v>
      </c>
      <c r="AT600" s="1" t="s">
        <v>1082</v>
      </c>
      <c r="AU600" s="1">
        <v>2021.0</v>
      </c>
      <c r="AV600" s="1">
        <v>37.0</v>
      </c>
      <c r="AW600" s="1">
        <v>11.0</v>
      </c>
      <c r="AX600" s="1" t="s">
        <v>74</v>
      </c>
      <c r="AY600" s="1" t="s">
        <v>74</v>
      </c>
      <c r="AZ600" s="1" t="s">
        <v>74</v>
      </c>
      <c r="BA600" s="1" t="s">
        <v>74</v>
      </c>
      <c r="BB600" s="1">
        <v>3521.0</v>
      </c>
      <c r="BC600" s="1">
        <v>3529.0</v>
      </c>
      <c r="BD600" s="1" t="s">
        <v>74</v>
      </c>
      <c r="BE600" s="1" t="s">
        <v>6161</v>
      </c>
      <c r="BF600" s="2" t="str">
        <f>HYPERLINK("http://dx.doi.org/10.1007/s00381-021-05325-2","http://dx.doi.org/10.1007/s00381-021-05325-2")</f>
        <v>http://dx.doi.org/10.1007/s00381-021-05325-2</v>
      </c>
      <c r="BG600" s="1" t="s">
        <v>74</v>
      </c>
      <c r="BH600" s="1" t="s">
        <v>4665</v>
      </c>
      <c r="BI600" s="1" t="s">
        <v>74</v>
      </c>
      <c r="BJ600" s="1" t="s">
        <v>74</v>
      </c>
      <c r="BK600" s="1" t="s">
        <v>74</v>
      </c>
      <c r="BL600" s="1" t="s">
        <v>74</v>
      </c>
      <c r="BM600" s="1" t="s">
        <v>74</v>
      </c>
      <c r="BN600" s="1">
        <v>3.441045E7</v>
      </c>
      <c r="BO600" s="1" t="s">
        <v>74</v>
      </c>
      <c r="BP600" s="1" t="s">
        <v>74</v>
      </c>
      <c r="BQ600" s="1" t="s">
        <v>74</v>
      </c>
      <c r="BR600" s="1" t="s">
        <v>74</v>
      </c>
      <c r="BS600" s="1" t="s">
        <v>6162</v>
      </c>
      <c r="BT600" s="1" t="str">
        <f>HYPERLINK("https%3A%2F%2Fwww.webofscience.com%2Fwos%2Fwoscc%2Ffull-record%2FWOS:000686484900002","View Full Record in Web of Science")</f>
        <v>View Full Record in Web of Science</v>
      </c>
    </row>
    <row r="601" ht="12.75" customHeight="1">
      <c r="A601" s="1" t="s">
        <v>72</v>
      </c>
      <c r="B601" s="1" t="s">
        <v>6163</v>
      </c>
      <c r="C601" s="1" t="s">
        <v>74</v>
      </c>
      <c r="D601" s="1" t="s">
        <v>74</v>
      </c>
      <c r="E601" s="1" t="s">
        <v>74</v>
      </c>
      <c r="F601" s="1" t="s">
        <v>6164</v>
      </c>
      <c r="G601" s="1" t="s">
        <v>74</v>
      </c>
      <c r="H601" s="1" t="s">
        <v>74</v>
      </c>
      <c r="I601" s="1" t="s">
        <v>6165</v>
      </c>
      <c r="J601" s="1" t="s">
        <v>6166</v>
      </c>
      <c r="K601" s="1" t="s">
        <v>74</v>
      </c>
      <c r="L601" s="1" t="s">
        <v>74</v>
      </c>
      <c r="M601" s="1" t="s">
        <v>74</v>
      </c>
      <c r="N601" s="1" t="s">
        <v>74</v>
      </c>
      <c r="O601" s="1" t="s">
        <v>74</v>
      </c>
      <c r="P601" s="1" t="s">
        <v>74</v>
      </c>
      <c r="Q601" s="1" t="s">
        <v>74</v>
      </c>
      <c r="R601" s="1" t="s">
        <v>74</v>
      </c>
      <c r="S601" s="1" t="s">
        <v>74</v>
      </c>
      <c r="T601" s="1" t="s">
        <v>74</v>
      </c>
      <c r="U601" s="1" t="s">
        <v>74</v>
      </c>
      <c r="V601" s="1" t="s">
        <v>6167</v>
      </c>
      <c r="W601" s="1" t="s">
        <v>74</v>
      </c>
      <c r="X601" s="1" t="s">
        <v>74</v>
      </c>
      <c r="Y601" s="1" t="s">
        <v>74</v>
      </c>
      <c r="Z601" s="1" t="s">
        <v>74</v>
      </c>
      <c r="AA601" s="1" t="s">
        <v>6168</v>
      </c>
      <c r="AB601" s="1" t="s">
        <v>6169</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6170</v>
      </c>
      <c r="AP601" s="1" t="s">
        <v>6171</v>
      </c>
      <c r="AQ601" s="1" t="s">
        <v>74</v>
      </c>
      <c r="AR601" s="1" t="s">
        <v>74</v>
      </c>
      <c r="AS601" s="1" t="s">
        <v>74</v>
      </c>
      <c r="AT601" s="1" t="s">
        <v>2649</v>
      </c>
      <c r="AU601" s="1">
        <v>2021.0</v>
      </c>
      <c r="AV601" s="1">
        <v>84.0</v>
      </c>
      <c r="AW601" s="1">
        <v>7.0</v>
      </c>
      <c r="AX601" s="1" t="s">
        <v>74</v>
      </c>
      <c r="AY601" s="1" t="s">
        <v>74</v>
      </c>
      <c r="AZ601" s="1" t="s">
        <v>74</v>
      </c>
      <c r="BA601" s="1" t="s">
        <v>74</v>
      </c>
      <c r="BB601" s="1">
        <v>1985.0</v>
      </c>
      <c r="BC601" s="1">
        <v>1992.0</v>
      </c>
      <c r="BD601" s="1" t="s">
        <v>74</v>
      </c>
      <c r="BE601" s="1" t="s">
        <v>6172</v>
      </c>
      <c r="BF601" s="2" t="str">
        <f>HYPERLINK("http://dx.doi.org/10.1021/acs.jnatprod.1c00275","http://dx.doi.org/10.1021/acs.jnatprod.1c00275")</f>
        <v>http://dx.doi.org/10.1021/acs.jnatprod.1c00275</v>
      </c>
      <c r="BG601" s="1" t="s">
        <v>74</v>
      </c>
      <c r="BH601" s="1" t="s">
        <v>3558</v>
      </c>
      <c r="BI601" s="1" t="s">
        <v>74</v>
      </c>
      <c r="BJ601" s="1" t="s">
        <v>74</v>
      </c>
      <c r="BK601" s="1" t="s">
        <v>74</v>
      </c>
      <c r="BL601" s="1" t="s">
        <v>74</v>
      </c>
      <c r="BM601" s="1" t="s">
        <v>74</v>
      </c>
      <c r="BN601" s="1">
        <v>3.4213336E7</v>
      </c>
      <c r="BO601" s="1" t="s">
        <v>74</v>
      </c>
      <c r="BP601" s="1" t="s">
        <v>74</v>
      </c>
      <c r="BQ601" s="1" t="s">
        <v>74</v>
      </c>
      <c r="BR601" s="1" t="s">
        <v>74</v>
      </c>
      <c r="BS601" s="1" t="s">
        <v>6173</v>
      </c>
      <c r="BT601" s="1" t="str">
        <f>HYPERLINK("https%3A%2F%2Fwww.webofscience.com%2Fwos%2Fwoscc%2Ffull-record%2FWOS:000677582700013","View Full Record in Web of Science")</f>
        <v>View Full Record in Web of Science</v>
      </c>
    </row>
    <row r="602" ht="12.75" customHeight="1">
      <c r="A602" s="1" t="s">
        <v>72</v>
      </c>
      <c r="B602" s="1" t="s">
        <v>6174</v>
      </c>
      <c r="C602" s="1" t="s">
        <v>74</v>
      </c>
      <c r="D602" s="1" t="s">
        <v>74</v>
      </c>
      <c r="E602" s="1" t="s">
        <v>74</v>
      </c>
      <c r="F602" s="1" t="s">
        <v>6175</v>
      </c>
      <c r="G602" s="1" t="s">
        <v>74</v>
      </c>
      <c r="H602" s="1" t="s">
        <v>74</v>
      </c>
      <c r="I602" s="1" t="s">
        <v>6176</v>
      </c>
      <c r="J602" s="1" t="s">
        <v>4819</v>
      </c>
      <c r="K602" s="1" t="s">
        <v>74</v>
      </c>
      <c r="L602" s="1" t="s">
        <v>74</v>
      </c>
      <c r="M602" s="1" t="s">
        <v>74</v>
      </c>
      <c r="N602" s="1" t="s">
        <v>74</v>
      </c>
      <c r="O602" s="1" t="s">
        <v>74</v>
      </c>
      <c r="P602" s="1" t="s">
        <v>74</v>
      </c>
      <c r="Q602" s="1" t="s">
        <v>74</v>
      </c>
      <c r="R602" s="1" t="s">
        <v>74</v>
      </c>
      <c r="S602" s="1" t="s">
        <v>74</v>
      </c>
      <c r="T602" s="1" t="s">
        <v>74</v>
      </c>
      <c r="U602" s="1" t="s">
        <v>74</v>
      </c>
      <c r="V602" s="1" t="s">
        <v>6177</v>
      </c>
      <c r="W602" s="1" t="s">
        <v>74</v>
      </c>
      <c r="X602" s="1" t="s">
        <v>74</v>
      </c>
      <c r="Y602" s="1" t="s">
        <v>74</v>
      </c>
      <c r="Z602" s="1" t="s">
        <v>74</v>
      </c>
      <c r="AA602" s="1" t="s">
        <v>6178</v>
      </c>
      <c r="AB602" s="1" t="s">
        <v>6179</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4823</v>
      </c>
      <c r="AP602" s="1" t="s">
        <v>5005</v>
      </c>
      <c r="AQ602" s="1" t="s">
        <v>74</v>
      </c>
      <c r="AR602" s="1" t="s">
        <v>74</v>
      </c>
      <c r="AS602" s="1" t="s">
        <v>74</v>
      </c>
      <c r="AT602" s="1" t="s">
        <v>822</v>
      </c>
      <c r="AU602" s="1">
        <v>2021.0</v>
      </c>
      <c r="AV602" s="1">
        <v>25.0</v>
      </c>
      <c r="AW602" s="1">
        <v>1.0</v>
      </c>
      <c r="AX602" s="1" t="s">
        <v>74</v>
      </c>
      <c r="AY602" s="1" t="s">
        <v>74</v>
      </c>
      <c r="AZ602" s="1" t="s">
        <v>1350</v>
      </c>
      <c r="BA602" s="1" t="s">
        <v>74</v>
      </c>
      <c r="BB602" s="1">
        <v>117.0</v>
      </c>
      <c r="BC602" s="1">
        <v>131.0</v>
      </c>
      <c r="BD602" s="1" t="s">
        <v>74</v>
      </c>
      <c r="BE602" s="1" t="s">
        <v>6180</v>
      </c>
      <c r="BF602" s="2" t="str">
        <f>HYPERLINK("http://dx.doi.org/10.1007/s10008-020-04590-6","http://dx.doi.org/10.1007/s10008-020-04590-6")</f>
        <v>http://dx.doi.org/10.1007/s10008-020-04590-6</v>
      </c>
      <c r="BG602" s="1" t="s">
        <v>74</v>
      </c>
      <c r="BH602" s="1" t="s">
        <v>2883</v>
      </c>
      <c r="BI602" s="1" t="s">
        <v>74</v>
      </c>
      <c r="BJ602" s="1" t="s">
        <v>74</v>
      </c>
      <c r="BK602" s="1" t="s">
        <v>74</v>
      </c>
      <c r="BL602" s="1" t="s">
        <v>74</v>
      </c>
      <c r="BM602" s="1" t="s">
        <v>74</v>
      </c>
      <c r="BN602" s="1" t="s">
        <v>74</v>
      </c>
      <c r="BO602" s="1" t="s">
        <v>74</v>
      </c>
      <c r="BP602" s="1" t="s">
        <v>74</v>
      </c>
      <c r="BQ602" s="1" t="s">
        <v>74</v>
      </c>
      <c r="BR602" s="1" t="s">
        <v>74</v>
      </c>
      <c r="BS602" s="1" t="s">
        <v>6181</v>
      </c>
      <c r="BT602" s="1" t="str">
        <f>HYPERLINK("https%3A%2F%2Fwww.webofscience.com%2Fwos%2Fwoscc%2Ffull-record%2FWOS:000534870600001","View Full Record in Web of Science")</f>
        <v>View Full Record in Web of Science</v>
      </c>
    </row>
    <row r="603" ht="12.75" customHeight="1">
      <c r="A603" s="1" t="s">
        <v>72</v>
      </c>
      <c r="B603" s="1" t="s">
        <v>6182</v>
      </c>
      <c r="C603" s="1" t="s">
        <v>74</v>
      </c>
      <c r="D603" s="1" t="s">
        <v>74</v>
      </c>
      <c r="E603" s="1" t="s">
        <v>74</v>
      </c>
      <c r="F603" s="1" t="s">
        <v>6183</v>
      </c>
      <c r="G603" s="1" t="s">
        <v>74</v>
      </c>
      <c r="H603" s="1" t="s">
        <v>74</v>
      </c>
      <c r="I603" s="1" t="s">
        <v>6184</v>
      </c>
      <c r="J603" s="1" t="s">
        <v>6185</v>
      </c>
      <c r="K603" s="1" t="s">
        <v>74</v>
      </c>
      <c r="L603" s="1" t="s">
        <v>74</v>
      </c>
      <c r="M603" s="1" t="s">
        <v>74</v>
      </c>
      <c r="N603" s="1" t="s">
        <v>74</v>
      </c>
      <c r="O603" s="1" t="s">
        <v>74</v>
      </c>
      <c r="P603" s="1" t="s">
        <v>74</v>
      </c>
      <c r="Q603" s="1" t="s">
        <v>74</v>
      </c>
      <c r="R603" s="1" t="s">
        <v>74</v>
      </c>
      <c r="S603" s="1" t="s">
        <v>74</v>
      </c>
      <c r="T603" s="1" t="s">
        <v>74</v>
      </c>
      <c r="U603" s="1" t="s">
        <v>74</v>
      </c>
      <c r="V603" s="1" t="s">
        <v>6186</v>
      </c>
      <c r="W603" s="1" t="s">
        <v>74</v>
      </c>
      <c r="X603" s="1" t="s">
        <v>74</v>
      </c>
      <c r="Y603" s="1" t="s">
        <v>74</v>
      </c>
      <c r="Z603" s="1" t="s">
        <v>74</v>
      </c>
      <c r="AA603" s="1" t="s">
        <v>6187</v>
      </c>
      <c r="AB603" s="1" t="s">
        <v>6188</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6189</v>
      </c>
      <c r="AP603" s="1" t="s">
        <v>74</v>
      </c>
      <c r="AQ603" s="1" t="s">
        <v>74</v>
      </c>
      <c r="AR603" s="1" t="s">
        <v>74</v>
      </c>
      <c r="AS603" s="1" t="s">
        <v>74</v>
      </c>
      <c r="AT603" s="1" t="s">
        <v>94</v>
      </c>
      <c r="AU603" s="1">
        <v>2020.0</v>
      </c>
      <c r="AV603" s="1">
        <v>45.0</v>
      </c>
      <c r="AW603" s="1" t="s">
        <v>74</v>
      </c>
      <c r="AX603" s="1" t="s">
        <v>74</v>
      </c>
      <c r="AY603" s="1" t="s">
        <v>74</v>
      </c>
      <c r="AZ603" s="1" t="s">
        <v>74</v>
      </c>
      <c r="BA603" s="1" t="s">
        <v>74</v>
      </c>
      <c r="BB603" s="1" t="s">
        <v>74</v>
      </c>
      <c r="BC603" s="1" t="s">
        <v>74</v>
      </c>
      <c r="BD603" s="1">
        <v>101474.0</v>
      </c>
      <c r="BE603" s="1" t="s">
        <v>6190</v>
      </c>
      <c r="BF603" s="2" t="str">
        <f>HYPERLINK("http://dx.doi.org/10.1016/j.ijdrr.2020.101474","http://dx.doi.org/10.1016/j.ijdrr.2020.101474")</f>
        <v>http://dx.doi.org/10.1016/j.ijdrr.2020.101474</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6191</v>
      </c>
      <c r="BT603" s="1" t="str">
        <f>HYPERLINK("https%3A%2F%2Fwww.webofscience.com%2Fwos%2Fwoscc%2Ffull-record%2FWOS:000546981000019","View Full Record in Web of Science")</f>
        <v>View Full Record in Web of Science</v>
      </c>
    </row>
    <row r="604" ht="12.75" customHeight="1">
      <c r="A604" s="1" t="s">
        <v>72</v>
      </c>
      <c r="B604" s="1" t="s">
        <v>6192</v>
      </c>
      <c r="C604" s="1" t="s">
        <v>74</v>
      </c>
      <c r="D604" s="1" t="s">
        <v>74</v>
      </c>
      <c r="E604" s="1" t="s">
        <v>74</v>
      </c>
      <c r="F604" s="1" t="s">
        <v>6193</v>
      </c>
      <c r="G604" s="1" t="s">
        <v>74</v>
      </c>
      <c r="H604" s="1" t="s">
        <v>74</v>
      </c>
      <c r="I604" s="1" t="s">
        <v>6194</v>
      </c>
      <c r="J604" s="1" t="s">
        <v>5123</v>
      </c>
      <c r="K604" s="1" t="s">
        <v>74</v>
      </c>
      <c r="L604" s="1" t="s">
        <v>74</v>
      </c>
      <c r="M604" s="1" t="s">
        <v>74</v>
      </c>
      <c r="N604" s="1" t="s">
        <v>74</v>
      </c>
      <c r="O604" s="1" t="s">
        <v>74</v>
      </c>
      <c r="P604" s="1" t="s">
        <v>74</v>
      </c>
      <c r="Q604" s="1" t="s">
        <v>74</v>
      </c>
      <c r="R604" s="1" t="s">
        <v>74</v>
      </c>
      <c r="S604" s="1" t="s">
        <v>74</v>
      </c>
      <c r="T604" s="1" t="s">
        <v>74</v>
      </c>
      <c r="U604" s="1" t="s">
        <v>74</v>
      </c>
      <c r="V604" s="1" t="s">
        <v>6195</v>
      </c>
      <c r="W604" s="1" t="s">
        <v>74</v>
      </c>
      <c r="X604" s="1" t="s">
        <v>74</v>
      </c>
      <c r="Y604" s="1" t="s">
        <v>74</v>
      </c>
      <c r="Z604" s="1" t="s">
        <v>74</v>
      </c>
      <c r="AA604" s="1" t="s">
        <v>6196</v>
      </c>
      <c r="AB604" s="1" t="s">
        <v>6197</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5127</v>
      </c>
      <c r="AP604" s="1" t="s">
        <v>5128</v>
      </c>
      <c r="AQ604" s="1" t="s">
        <v>74</v>
      </c>
      <c r="AR604" s="1" t="s">
        <v>74</v>
      </c>
      <c r="AS604" s="1" t="s">
        <v>74</v>
      </c>
      <c r="AT604" s="1" t="s">
        <v>385</v>
      </c>
      <c r="AU604" s="1">
        <v>2019.0</v>
      </c>
      <c r="AV604" s="1">
        <v>486.0</v>
      </c>
      <c r="AW604" s="1">
        <v>1.0</v>
      </c>
      <c r="AX604" s="1" t="s">
        <v>74</v>
      </c>
      <c r="AY604" s="1" t="s">
        <v>74</v>
      </c>
      <c r="AZ604" s="1" t="s">
        <v>74</v>
      </c>
      <c r="BA604" s="1" t="s">
        <v>74</v>
      </c>
      <c r="BB604" s="1" t="s">
        <v>6198</v>
      </c>
      <c r="BC604" s="1" t="s">
        <v>6199</v>
      </c>
      <c r="BD604" s="1" t="s">
        <v>74</v>
      </c>
      <c r="BE604" s="1" t="s">
        <v>6200</v>
      </c>
      <c r="BF604" s="2" t="str">
        <f>HYPERLINK("http://dx.doi.org/10.1093/mnrasl/slz059","http://dx.doi.org/10.1093/mnrasl/slz059")</f>
        <v>http://dx.doi.org/10.1093/mnrasl/slz059</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6201</v>
      </c>
      <c r="BT604" s="1" t="str">
        <f>HYPERLINK("https%3A%2F%2Fwww.webofscience.com%2Fwos%2Fwoscc%2Ffull-record%2FWOS:000482696100015","View Full Record in Web of Science")</f>
        <v>View Full Record in Web of Science</v>
      </c>
    </row>
    <row r="605" ht="12.75" customHeight="1">
      <c r="A605" s="1" t="s">
        <v>72</v>
      </c>
      <c r="B605" s="1" t="s">
        <v>6202</v>
      </c>
      <c r="C605" s="1" t="s">
        <v>74</v>
      </c>
      <c r="D605" s="1" t="s">
        <v>74</v>
      </c>
      <c r="E605" s="1" t="s">
        <v>74</v>
      </c>
      <c r="F605" s="1" t="s">
        <v>6203</v>
      </c>
      <c r="G605" s="1" t="s">
        <v>74</v>
      </c>
      <c r="H605" s="1" t="s">
        <v>74</v>
      </c>
      <c r="I605" s="1" t="s">
        <v>6204</v>
      </c>
      <c r="J605" s="1" t="s">
        <v>6205</v>
      </c>
      <c r="K605" s="1" t="s">
        <v>74</v>
      </c>
      <c r="L605" s="1" t="s">
        <v>74</v>
      </c>
      <c r="M605" s="1" t="s">
        <v>74</v>
      </c>
      <c r="N605" s="1" t="s">
        <v>74</v>
      </c>
      <c r="O605" s="1" t="s">
        <v>74</v>
      </c>
      <c r="P605" s="1" t="s">
        <v>74</v>
      </c>
      <c r="Q605" s="1" t="s">
        <v>74</v>
      </c>
      <c r="R605" s="1" t="s">
        <v>74</v>
      </c>
      <c r="S605" s="1" t="s">
        <v>74</v>
      </c>
      <c r="T605" s="1" t="s">
        <v>74</v>
      </c>
      <c r="U605" s="1" t="s">
        <v>74</v>
      </c>
      <c r="V605" s="1" t="s">
        <v>6206</v>
      </c>
      <c r="W605" s="1" t="s">
        <v>74</v>
      </c>
      <c r="X605" s="1" t="s">
        <v>74</v>
      </c>
      <c r="Y605" s="1" t="s">
        <v>74</v>
      </c>
      <c r="Z605" s="1" t="s">
        <v>74</v>
      </c>
      <c r="AA605" s="1" t="s">
        <v>6207</v>
      </c>
      <c r="AB605" s="1" t="s">
        <v>6208</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6209</v>
      </c>
      <c r="AP605" s="1" t="s">
        <v>6210</v>
      </c>
      <c r="AQ605" s="1" t="s">
        <v>74</v>
      </c>
      <c r="AR605" s="1" t="s">
        <v>74</v>
      </c>
      <c r="AS605" s="1" t="s">
        <v>74</v>
      </c>
      <c r="AT605" s="1" t="s">
        <v>151</v>
      </c>
      <c r="AU605" s="1">
        <v>2017.0</v>
      </c>
      <c r="AV605" s="1">
        <v>71.0</v>
      </c>
      <c r="AW605" s="1">
        <v>10.0</v>
      </c>
      <c r="AX605" s="1" t="s">
        <v>74</v>
      </c>
      <c r="AY605" s="1" t="s">
        <v>74</v>
      </c>
      <c r="AZ605" s="1" t="s">
        <v>74</v>
      </c>
      <c r="BA605" s="1" t="s">
        <v>74</v>
      </c>
      <c r="BB605" s="1">
        <v>2011.0</v>
      </c>
      <c r="BC605" s="1">
        <v>2022.0</v>
      </c>
      <c r="BD605" s="1" t="s">
        <v>74</v>
      </c>
      <c r="BE605" s="1" t="s">
        <v>6211</v>
      </c>
      <c r="BF605" s="2" t="str">
        <f>HYPERLINK("http://dx.doi.org/10.1007/s11696-017-0196-6","http://dx.doi.org/10.1007/s11696-017-0196-6")</f>
        <v>http://dx.doi.org/10.1007/s11696-017-0196-6</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6212</v>
      </c>
      <c r="BT605" s="1" t="str">
        <f>HYPERLINK("https%3A%2F%2Fwww.webofscience.com%2Fwos%2Fwoscc%2Ffull-record%2FWOS:000412975400021","View Full Record in Web of Science")</f>
        <v>View Full Record in Web of Science</v>
      </c>
    </row>
    <row r="606" ht="12.75" customHeight="1">
      <c r="A606" s="1" t="s">
        <v>72</v>
      </c>
      <c r="B606" s="1" t="s">
        <v>6213</v>
      </c>
      <c r="C606" s="1" t="s">
        <v>74</v>
      </c>
      <c r="D606" s="1" t="s">
        <v>74</v>
      </c>
      <c r="E606" s="1" t="s">
        <v>74</v>
      </c>
      <c r="F606" s="1" t="s">
        <v>6214</v>
      </c>
      <c r="G606" s="1" t="s">
        <v>74</v>
      </c>
      <c r="H606" s="1" t="s">
        <v>74</v>
      </c>
      <c r="I606" s="1" t="s">
        <v>6215</v>
      </c>
      <c r="J606" s="1" t="s">
        <v>4472</v>
      </c>
      <c r="K606" s="1" t="s">
        <v>74</v>
      </c>
      <c r="L606" s="1" t="s">
        <v>74</v>
      </c>
      <c r="M606" s="1" t="s">
        <v>74</v>
      </c>
      <c r="N606" s="1" t="s">
        <v>74</v>
      </c>
      <c r="O606" s="1" t="s">
        <v>74</v>
      </c>
      <c r="P606" s="1" t="s">
        <v>74</v>
      </c>
      <c r="Q606" s="1" t="s">
        <v>74</v>
      </c>
      <c r="R606" s="1" t="s">
        <v>74</v>
      </c>
      <c r="S606" s="1" t="s">
        <v>74</v>
      </c>
      <c r="T606" s="1" t="s">
        <v>74</v>
      </c>
      <c r="U606" s="1" t="s">
        <v>74</v>
      </c>
      <c r="V606" s="1" t="s">
        <v>6216</v>
      </c>
      <c r="W606" s="1" t="s">
        <v>74</v>
      </c>
      <c r="X606" s="1" t="s">
        <v>74</v>
      </c>
      <c r="Y606" s="1" t="s">
        <v>74</v>
      </c>
      <c r="Z606" s="1" t="s">
        <v>74</v>
      </c>
      <c r="AA606" s="1" t="s">
        <v>6217</v>
      </c>
      <c r="AB606" s="1" t="s">
        <v>6218</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4476</v>
      </c>
      <c r="AP606" s="1" t="s">
        <v>4477</v>
      </c>
      <c r="AQ606" s="1" t="s">
        <v>74</v>
      </c>
      <c r="AR606" s="1" t="s">
        <v>74</v>
      </c>
      <c r="AS606" s="1" t="s">
        <v>74</v>
      </c>
      <c r="AT606" s="1" t="s">
        <v>877</v>
      </c>
      <c r="AU606" s="1">
        <v>2017.0</v>
      </c>
      <c r="AV606" s="1">
        <v>187.0</v>
      </c>
      <c r="AW606" s="1" t="s">
        <v>74</v>
      </c>
      <c r="AX606" s="1" t="s">
        <v>74</v>
      </c>
      <c r="AY606" s="1" t="s">
        <v>74</v>
      </c>
      <c r="AZ606" s="1" t="s">
        <v>74</v>
      </c>
      <c r="BA606" s="1" t="s">
        <v>74</v>
      </c>
      <c r="BB606" s="1">
        <v>127.0</v>
      </c>
      <c r="BC606" s="1" t="s">
        <v>662</v>
      </c>
      <c r="BD606" s="1" t="s">
        <v>74</v>
      </c>
      <c r="BE606" s="1" t="s">
        <v>6219</v>
      </c>
      <c r="BF606" s="2" t="str">
        <f>HYPERLINK("http://dx.doi.org/10.1016/j.jpeds.2017.04.037","http://dx.doi.org/10.1016/j.jpeds.2017.04.037")</f>
        <v>http://dx.doi.org/10.1016/j.jpeds.2017.04.037</v>
      </c>
      <c r="BG606" s="1" t="s">
        <v>74</v>
      </c>
      <c r="BH606" s="1" t="s">
        <v>74</v>
      </c>
      <c r="BI606" s="1" t="s">
        <v>74</v>
      </c>
      <c r="BJ606" s="1" t="s">
        <v>74</v>
      </c>
      <c r="BK606" s="1" t="s">
        <v>74</v>
      </c>
      <c r="BL606" s="1" t="s">
        <v>74</v>
      </c>
      <c r="BM606" s="1" t="s">
        <v>74</v>
      </c>
      <c r="BN606" s="1">
        <v>2.8526219E7</v>
      </c>
      <c r="BO606" s="1" t="s">
        <v>74</v>
      </c>
      <c r="BP606" s="1" t="s">
        <v>74</v>
      </c>
      <c r="BQ606" s="1" t="s">
        <v>74</v>
      </c>
      <c r="BR606" s="1" t="s">
        <v>74</v>
      </c>
      <c r="BS606" s="1" t="s">
        <v>6220</v>
      </c>
      <c r="BT606" s="1" t="str">
        <f>HYPERLINK("https%3A%2F%2Fwww.webofscience.com%2Fwos%2Fwoscc%2Ffull-record%2FWOS:000408221700025","View Full Record in Web of Science")</f>
        <v>View Full Record in Web of Science</v>
      </c>
    </row>
    <row r="607" ht="12.75" customHeight="1">
      <c r="A607" s="1" t="s">
        <v>72</v>
      </c>
      <c r="B607" s="1" t="s">
        <v>6221</v>
      </c>
      <c r="C607" s="1" t="s">
        <v>74</v>
      </c>
      <c r="D607" s="1" t="s">
        <v>74</v>
      </c>
      <c r="E607" s="1" t="s">
        <v>74</v>
      </c>
      <c r="F607" s="1" t="s">
        <v>6222</v>
      </c>
      <c r="G607" s="1" t="s">
        <v>74</v>
      </c>
      <c r="H607" s="1" t="s">
        <v>74</v>
      </c>
      <c r="I607" s="1" t="s">
        <v>6223</v>
      </c>
      <c r="J607" s="1" t="s">
        <v>6224</v>
      </c>
      <c r="K607" s="1" t="s">
        <v>74</v>
      </c>
      <c r="L607" s="1" t="s">
        <v>74</v>
      </c>
      <c r="M607" s="1" t="s">
        <v>74</v>
      </c>
      <c r="N607" s="1" t="s">
        <v>74</v>
      </c>
      <c r="O607" s="1" t="s">
        <v>74</v>
      </c>
      <c r="P607" s="1" t="s">
        <v>74</v>
      </c>
      <c r="Q607" s="1" t="s">
        <v>74</v>
      </c>
      <c r="R607" s="1" t="s">
        <v>74</v>
      </c>
      <c r="S607" s="1" t="s">
        <v>74</v>
      </c>
      <c r="T607" s="1" t="s">
        <v>74</v>
      </c>
      <c r="U607" s="1" t="s">
        <v>74</v>
      </c>
      <c r="V607" s="1" t="s">
        <v>6225</v>
      </c>
      <c r="W607" s="1" t="s">
        <v>74</v>
      </c>
      <c r="X607" s="1" t="s">
        <v>74</v>
      </c>
      <c r="Y607" s="1" t="s">
        <v>74</v>
      </c>
      <c r="Z607" s="1" t="s">
        <v>74</v>
      </c>
      <c r="AA607" s="1" t="s">
        <v>6226</v>
      </c>
      <c r="AB607" s="1" t="s">
        <v>6227</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6228</v>
      </c>
      <c r="AP607" s="1" t="s">
        <v>6229</v>
      </c>
      <c r="AQ607" s="1" t="s">
        <v>74</v>
      </c>
      <c r="AR607" s="1" t="s">
        <v>74</v>
      </c>
      <c r="AS607" s="1" t="s">
        <v>74</v>
      </c>
      <c r="AT607" s="1" t="s">
        <v>151</v>
      </c>
      <c r="AU607" s="1">
        <v>2016.0</v>
      </c>
      <c r="AV607" s="1">
        <v>62.0</v>
      </c>
      <c r="AW607" s="1">
        <v>10.0</v>
      </c>
      <c r="AX607" s="1" t="s">
        <v>74</v>
      </c>
      <c r="AY607" s="1" t="s">
        <v>74</v>
      </c>
      <c r="AZ607" s="1" t="s">
        <v>74</v>
      </c>
      <c r="BA607" s="1" t="s">
        <v>74</v>
      </c>
      <c r="BB607" s="1">
        <v>1437.0</v>
      </c>
      <c r="BC607" s="1">
        <v>1450.0</v>
      </c>
      <c r="BD607" s="1" t="s">
        <v>74</v>
      </c>
      <c r="BE607" s="1" t="s">
        <v>6230</v>
      </c>
      <c r="BF607" s="2" t="str">
        <f>HYPERLINK("http://dx.doi.org/10.1080/03650340.2016.1145793","http://dx.doi.org/10.1080/03650340.2016.1145793")</f>
        <v>http://dx.doi.org/10.1080/03650340.2016.1145793</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6231</v>
      </c>
      <c r="BT607" s="1" t="str">
        <f>HYPERLINK("https%3A%2F%2Fwww.webofscience.com%2Fwos%2Fwoscc%2Ffull-record%2FWOS:000381016500008","View Full Record in Web of Science")</f>
        <v>View Full Record in Web of Science</v>
      </c>
    </row>
    <row r="608" ht="12.75" customHeight="1">
      <c r="A608" s="1" t="s">
        <v>72</v>
      </c>
      <c r="B608" s="1" t="s">
        <v>6232</v>
      </c>
      <c r="C608" s="1" t="s">
        <v>74</v>
      </c>
      <c r="D608" s="1" t="s">
        <v>74</v>
      </c>
      <c r="E608" s="1" t="s">
        <v>74</v>
      </c>
      <c r="F608" s="1" t="s">
        <v>6233</v>
      </c>
      <c r="G608" s="1" t="s">
        <v>74</v>
      </c>
      <c r="H608" s="1" t="s">
        <v>74</v>
      </c>
      <c r="I608" s="1" t="s">
        <v>6234</v>
      </c>
      <c r="J608" s="1" t="s">
        <v>6235</v>
      </c>
      <c r="K608" s="1" t="s">
        <v>74</v>
      </c>
      <c r="L608" s="1" t="s">
        <v>74</v>
      </c>
      <c r="M608" s="1" t="s">
        <v>74</v>
      </c>
      <c r="N608" s="1" t="s">
        <v>74</v>
      </c>
      <c r="O608" s="1" t="s">
        <v>74</v>
      </c>
      <c r="P608" s="1" t="s">
        <v>74</v>
      </c>
      <c r="Q608" s="1" t="s">
        <v>74</v>
      </c>
      <c r="R608" s="1" t="s">
        <v>74</v>
      </c>
      <c r="S608" s="1" t="s">
        <v>74</v>
      </c>
      <c r="T608" s="1" t="s">
        <v>74</v>
      </c>
      <c r="U608" s="1" t="s">
        <v>74</v>
      </c>
      <c r="V608" s="1" t="s">
        <v>6236</v>
      </c>
      <c r="W608" s="1" t="s">
        <v>74</v>
      </c>
      <c r="X608" s="1" t="s">
        <v>74</v>
      </c>
      <c r="Y608" s="1" t="s">
        <v>74</v>
      </c>
      <c r="Z608" s="1" t="s">
        <v>74</v>
      </c>
      <c r="AA608" s="1" t="s">
        <v>6237</v>
      </c>
      <c r="AB608" s="1" t="s">
        <v>6238</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6239</v>
      </c>
      <c r="AP608" s="1" t="s">
        <v>6240</v>
      </c>
      <c r="AQ608" s="1" t="s">
        <v>74</v>
      </c>
      <c r="AR608" s="1" t="s">
        <v>74</v>
      </c>
      <c r="AS608" s="1" t="s">
        <v>74</v>
      </c>
      <c r="AT608" s="1" t="s">
        <v>83</v>
      </c>
      <c r="AU608" s="1">
        <v>2013.0</v>
      </c>
      <c r="AV608" s="1">
        <v>36.0</v>
      </c>
      <c r="AW608" s="1">
        <v>12.0</v>
      </c>
      <c r="AX608" s="1" t="s">
        <v>74</v>
      </c>
      <c r="AY608" s="1" t="s">
        <v>74</v>
      </c>
      <c r="AZ608" s="1" t="s">
        <v>74</v>
      </c>
      <c r="BA608" s="1" t="s">
        <v>74</v>
      </c>
      <c r="BB608" s="1">
        <v>1947.0</v>
      </c>
      <c r="BC608" s="1">
        <v>1956.0</v>
      </c>
      <c r="BD608" s="1" t="s">
        <v>74</v>
      </c>
      <c r="BE608" s="1" t="s">
        <v>6241</v>
      </c>
      <c r="BF608" s="2" t="str">
        <f>HYPERLINK("http://dx.doi.org/10.1007/s00449-013-0971-x","http://dx.doi.org/10.1007/s00449-013-0971-x")</f>
        <v>http://dx.doi.org/10.1007/s00449-013-0971-x</v>
      </c>
      <c r="BG608" s="1" t="s">
        <v>74</v>
      </c>
      <c r="BH608" s="1" t="s">
        <v>74</v>
      </c>
      <c r="BI608" s="1" t="s">
        <v>74</v>
      </c>
      <c r="BJ608" s="1" t="s">
        <v>74</v>
      </c>
      <c r="BK608" s="1" t="s">
        <v>74</v>
      </c>
      <c r="BL608" s="1" t="s">
        <v>74</v>
      </c>
      <c r="BM608" s="1" t="s">
        <v>74</v>
      </c>
      <c r="BN608" s="1">
        <v>2.3708649E7</v>
      </c>
      <c r="BO608" s="1" t="s">
        <v>74</v>
      </c>
      <c r="BP608" s="1" t="s">
        <v>74</v>
      </c>
      <c r="BQ608" s="1" t="s">
        <v>74</v>
      </c>
      <c r="BR608" s="1" t="s">
        <v>74</v>
      </c>
      <c r="BS608" s="1" t="s">
        <v>6242</v>
      </c>
      <c r="BT608" s="1" t="str">
        <f>HYPERLINK("https%3A%2F%2Fwww.webofscience.com%2Fwos%2Fwoscc%2Ffull-record%2FWOS:000326942400016","View Full Record in Web of Science")</f>
        <v>View Full Record in Web of Science</v>
      </c>
    </row>
    <row r="609" ht="12.75" customHeight="1">
      <c r="A609" s="1" t="s">
        <v>72</v>
      </c>
      <c r="B609" s="1" t="s">
        <v>6243</v>
      </c>
      <c r="C609" s="1" t="s">
        <v>74</v>
      </c>
      <c r="D609" s="1" t="s">
        <v>74</v>
      </c>
      <c r="E609" s="1" t="s">
        <v>74</v>
      </c>
      <c r="F609" s="1" t="s">
        <v>6244</v>
      </c>
      <c r="G609" s="1" t="s">
        <v>74</v>
      </c>
      <c r="H609" s="1" t="s">
        <v>74</v>
      </c>
      <c r="I609" s="1" t="s">
        <v>6245</v>
      </c>
      <c r="J609" s="1" t="s">
        <v>6246</v>
      </c>
      <c r="K609" s="1" t="s">
        <v>74</v>
      </c>
      <c r="L609" s="1" t="s">
        <v>74</v>
      </c>
      <c r="M609" s="1" t="s">
        <v>74</v>
      </c>
      <c r="N609" s="1" t="s">
        <v>74</v>
      </c>
      <c r="O609" s="1" t="s">
        <v>74</v>
      </c>
      <c r="P609" s="1" t="s">
        <v>74</v>
      </c>
      <c r="Q609" s="1" t="s">
        <v>74</v>
      </c>
      <c r="R609" s="1" t="s">
        <v>74</v>
      </c>
      <c r="S609" s="1" t="s">
        <v>74</v>
      </c>
      <c r="T609" s="1" t="s">
        <v>74</v>
      </c>
      <c r="U609" s="1" t="s">
        <v>74</v>
      </c>
      <c r="V609" s="1" t="s">
        <v>6247</v>
      </c>
      <c r="W609" s="1" t="s">
        <v>74</v>
      </c>
      <c r="X609" s="1" t="s">
        <v>74</v>
      </c>
      <c r="Y609" s="1" t="s">
        <v>74</v>
      </c>
      <c r="Z609" s="1" t="s">
        <v>74</v>
      </c>
      <c r="AA609" s="1" t="s">
        <v>6248</v>
      </c>
      <c r="AB609" s="1" t="s">
        <v>6249</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6250</v>
      </c>
      <c r="AP609" s="1" t="s">
        <v>6251</v>
      </c>
      <c r="AQ609" s="1" t="s">
        <v>74</v>
      </c>
      <c r="AR609" s="1" t="s">
        <v>74</v>
      </c>
      <c r="AS609" s="1" t="s">
        <v>74</v>
      </c>
      <c r="AT609" s="1" t="s">
        <v>308</v>
      </c>
      <c r="AU609" s="1">
        <v>2013.0</v>
      </c>
      <c r="AV609" s="1">
        <v>6.0</v>
      </c>
      <c r="AW609" s="1">
        <v>4.0</v>
      </c>
      <c r="AX609" s="1" t="s">
        <v>74</v>
      </c>
      <c r="AY609" s="1" t="s">
        <v>74</v>
      </c>
      <c r="AZ609" s="1" t="s">
        <v>74</v>
      </c>
      <c r="BA609" s="1" t="s">
        <v>74</v>
      </c>
      <c r="BB609" s="1">
        <v>919.0</v>
      </c>
      <c r="BC609" s="1">
        <v>930.0</v>
      </c>
      <c r="BD609" s="1" t="s">
        <v>74</v>
      </c>
      <c r="BE609" s="1" t="s">
        <v>6252</v>
      </c>
      <c r="BF609" s="2" t="str">
        <f>HYPERLINK("http://dx.doi.org/10.1007/s11947-011-0758-5","http://dx.doi.org/10.1007/s11947-011-0758-5")</f>
        <v>http://dx.doi.org/10.1007/s11947-011-0758-5</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6253</v>
      </c>
      <c r="BT609" s="1" t="str">
        <f>HYPERLINK("https%3A%2F%2Fwww.webofscience.com%2Fwos%2Fwoscc%2Ffull-record%2FWOS:000315486400006","View Full Record in Web of Science")</f>
        <v>View Full Record in Web of Science</v>
      </c>
    </row>
    <row r="610" ht="12.75" customHeight="1">
      <c r="A610" s="1" t="s">
        <v>72</v>
      </c>
      <c r="B610" s="1" t="s">
        <v>6254</v>
      </c>
      <c r="C610" s="1" t="s">
        <v>74</v>
      </c>
      <c r="D610" s="1" t="s">
        <v>74</v>
      </c>
      <c r="E610" s="1" t="s">
        <v>74</v>
      </c>
      <c r="F610" s="1" t="s">
        <v>6255</v>
      </c>
      <c r="G610" s="1" t="s">
        <v>74</v>
      </c>
      <c r="H610" s="1" t="s">
        <v>74</v>
      </c>
      <c r="I610" s="1" t="s">
        <v>6256</v>
      </c>
      <c r="J610" s="1" t="s">
        <v>4060</v>
      </c>
      <c r="K610" s="1" t="s">
        <v>74</v>
      </c>
      <c r="L610" s="1" t="s">
        <v>74</v>
      </c>
      <c r="M610" s="1" t="s">
        <v>74</v>
      </c>
      <c r="N610" s="1" t="s">
        <v>74</v>
      </c>
      <c r="O610" s="1" t="s">
        <v>74</v>
      </c>
      <c r="P610" s="1" t="s">
        <v>74</v>
      </c>
      <c r="Q610" s="1" t="s">
        <v>74</v>
      </c>
      <c r="R610" s="1" t="s">
        <v>74</v>
      </c>
      <c r="S610" s="1" t="s">
        <v>74</v>
      </c>
      <c r="T610" s="1" t="s">
        <v>74</v>
      </c>
      <c r="U610" s="1" t="s">
        <v>74</v>
      </c>
      <c r="V610" s="1" t="s">
        <v>6257</v>
      </c>
      <c r="W610" s="1" t="s">
        <v>74</v>
      </c>
      <c r="X610" s="1" t="s">
        <v>74</v>
      </c>
      <c r="Y610" s="1" t="s">
        <v>74</v>
      </c>
      <c r="Z610" s="1" t="s">
        <v>74</v>
      </c>
      <c r="AA610" s="1" t="s">
        <v>6258</v>
      </c>
      <c r="AB610" s="1" t="s">
        <v>6259</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4064</v>
      </c>
      <c r="AP610" s="1" t="s">
        <v>4065</v>
      </c>
      <c r="AQ610" s="1" t="s">
        <v>74</v>
      </c>
      <c r="AR610" s="1" t="s">
        <v>74</v>
      </c>
      <c r="AS610" s="1" t="s">
        <v>74</v>
      </c>
      <c r="AT610" s="1" t="s">
        <v>308</v>
      </c>
      <c r="AU610" s="1">
        <v>2012.0</v>
      </c>
      <c r="AV610" s="1">
        <v>14.0</v>
      </c>
      <c r="AW610" s="1">
        <v>4.0</v>
      </c>
      <c r="AX610" s="1" t="s">
        <v>74</v>
      </c>
      <c r="AY610" s="1" t="s">
        <v>74</v>
      </c>
      <c r="AZ610" s="1" t="s">
        <v>74</v>
      </c>
      <c r="BA610" s="1" t="s">
        <v>74</v>
      </c>
      <c r="BB610" s="1" t="s">
        <v>74</v>
      </c>
      <c r="BC610" s="1" t="s">
        <v>74</v>
      </c>
      <c r="BD610" s="1">
        <v>781.0</v>
      </c>
      <c r="BE610" s="1" t="s">
        <v>6260</v>
      </c>
      <c r="BF610" s="2" t="str">
        <f>HYPERLINK("http://dx.doi.org/10.1007/s11051-012-0781-0","http://dx.doi.org/10.1007/s11051-012-0781-0")</f>
        <v>http://dx.doi.org/10.1007/s11051-012-0781-0</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6261</v>
      </c>
      <c r="BT610" s="1" t="str">
        <f>HYPERLINK("https%3A%2F%2Fwww.webofscience.com%2Fwos%2Fwoscc%2Ffull-record%2FWOS:000302641000023","View Full Record in Web of Science")</f>
        <v>View Full Record in Web of Science</v>
      </c>
    </row>
    <row r="611" ht="12.75" customHeight="1">
      <c r="A611" s="1" t="s">
        <v>72</v>
      </c>
      <c r="B611" s="1" t="s">
        <v>6262</v>
      </c>
      <c r="C611" s="1" t="s">
        <v>74</v>
      </c>
      <c r="D611" s="1" t="s">
        <v>74</v>
      </c>
      <c r="E611" s="1" t="s">
        <v>74</v>
      </c>
      <c r="F611" s="1" t="s">
        <v>6263</v>
      </c>
      <c r="G611" s="1" t="s">
        <v>74</v>
      </c>
      <c r="H611" s="1" t="s">
        <v>74</v>
      </c>
      <c r="I611" s="1" t="s">
        <v>6264</v>
      </c>
      <c r="J611" s="1" t="s">
        <v>6265</v>
      </c>
      <c r="K611" s="1" t="s">
        <v>74</v>
      </c>
      <c r="L611" s="1" t="s">
        <v>74</v>
      </c>
      <c r="M611" s="1" t="s">
        <v>74</v>
      </c>
      <c r="N611" s="1" t="s">
        <v>74</v>
      </c>
      <c r="O611" s="1" t="s">
        <v>74</v>
      </c>
      <c r="P611" s="1" t="s">
        <v>74</v>
      </c>
      <c r="Q611" s="1" t="s">
        <v>74</v>
      </c>
      <c r="R611" s="1" t="s">
        <v>74</v>
      </c>
      <c r="S611" s="1" t="s">
        <v>74</v>
      </c>
      <c r="T611" s="1" t="s">
        <v>74</v>
      </c>
      <c r="U611" s="1" t="s">
        <v>74</v>
      </c>
      <c r="V611" s="1" t="s">
        <v>6266</v>
      </c>
      <c r="W611" s="1" t="s">
        <v>74</v>
      </c>
      <c r="X611" s="1" t="s">
        <v>74</v>
      </c>
      <c r="Y611" s="1" t="s">
        <v>74</v>
      </c>
      <c r="Z611" s="1" t="s">
        <v>74</v>
      </c>
      <c r="AA611" s="1" t="s">
        <v>6267</v>
      </c>
      <c r="AB611" s="1" t="s">
        <v>6268</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6269</v>
      </c>
      <c r="AP611" s="1" t="s">
        <v>6270</v>
      </c>
      <c r="AQ611" s="1" t="s">
        <v>74</v>
      </c>
      <c r="AR611" s="1" t="s">
        <v>74</v>
      </c>
      <c r="AS611" s="1" t="s">
        <v>74</v>
      </c>
      <c r="AT611" s="1" t="s">
        <v>822</v>
      </c>
      <c r="AU611" s="1">
        <v>2011.0</v>
      </c>
      <c r="AV611" s="1">
        <v>105.0</v>
      </c>
      <c r="AW611" s="1">
        <v>1.0</v>
      </c>
      <c r="AX611" s="1" t="s">
        <v>74</v>
      </c>
      <c r="AY611" s="1" t="s">
        <v>74</v>
      </c>
      <c r="AZ611" s="1" t="s">
        <v>74</v>
      </c>
      <c r="BA611" s="1" t="s">
        <v>74</v>
      </c>
      <c r="BB611" s="1">
        <v>366.0</v>
      </c>
      <c r="BC611" s="1">
        <v>379.0</v>
      </c>
      <c r="BD611" s="1" t="s">
        <v>74</v>
      </c>
      <c r="BE611" s="1" t="s">
        <v>6271</v>
      </c>
      <c r="BF611" s="2" t="str">
        <f>HYPERLINK("http://dx.doi.org/10.1152/jn.00165.2010","http://dx.doi.org/10.1152/jn.00165.2010")</f>
        <v>http://dx.doi.org/10.1152/jn.00165.2010</v>
      </c>
      <c r="BG611" s="1" t="s">
        <v>74</v>
      </c>
      <c r="BH611" s="1" t="s">
        <v>74</v>
      </c>
      <c r="BI611" s="1" t="s">
        <v>74</v>
      </c>
      <c r="BJ611" s="1" t="s">
        <v>74</v>
      </c>
      <c r="BK611" s="1" t="s">
        <v>74</v>
      </c>
      <c r="BL611" s="1" t="s">
        <v>74</v>
      </c>
      <c r="BM611" s="1" t="s">
        <v>74</v>
      </c>
      <c r="BN611" s="1">
        <v>2.1068264E7</v>
      </c>
      <c r="BO611" s="1" t="s">
        <v>74</v>
      </c>
      <c r="BP611" s="1" t="s">
        <v>74</v>
      </c>
      <c r="BQ611" s="1" t="s">
        <v>74</v>
      </c>
      <c r="BR611" s="1" t="s">
        <v>74</v>
      </c>
      <c r="BS611" s="1" t="s">
        <v>6272</v>
      </c>
      <c r="BT611" s="1" t="str">
        <f>HYPERLINK("https%3A%2F%2Fwww.webofscience.com%2Fwos%2Fwoscc%2Ffull-record%2FWOS:000286139900031","View Full Record in Web of Science")</f>
        <v>View Full Record in Web of Science</v>
      </c>
    </row>
    <row r="612" ht="12.75" customHeight="1">
      <c r="A612" s="1" t="s">
        <v>72</v>
      </c>
      <c r="B612" s="1" t="s">
        <v>6273</v>
      </c>
      <c r="C612" s="1" t="s">
        <v>74</v>
      </c>
      <c r="D612" s="1" t="s">
        <v>74</v>
      </c>
      <c r="E612" s="1" t="s">
        <v>74</v>
      </c>
      <c r="F612" s="1" t="s">
        <v>6274</v>
      </c>
      <c r="G612" s="1" t="s">
        <v>74</v>
      </c>
      <c r="H612" s="1" t="s">
        <v>74</v>
      </c>
      <c r="I612" s="1" t="s">
        <v>6275</v>
      </c>
      <c r="J612" s="1" t="s">
        <v>6276</v>
      </c>
      <c r="K612" s="1" t="s">
        <v>74</v>
      </c>
      <c r="L612" s="1" t="s">
        <v>74</v>
      </c>
      <c r="M612" s="1" t="s">
        <v>74</v>
      </c>
      <c r="N612" s="1" t="s">
        <v>74</v>
      </c>
      <c r="O612" s="1" t="s">
        <v>74</v>
      </c>
      <c r="P612" s="1" t="s">
        <v>74</v>
      </c>
      <c r="Q612" s="1" t="s">
        <v>74</v>
      </c>
      <c r="R612" s="1" t="s">
        <v>74</v>
      </c>
      <c r="S612" s="1" t="s">
        <v>74</v>
      </c>
      <c r="T612" s="1" t="s">
        <v>74</v>
      </c>
      <c r="U612" s="1" t="s">
        <v>74</v>
      </c>
      <c r="V612" s="1" t="s">
        <v>6277</v>
      </c>
      <c r="W612" s="1" t="s">
        <v>74</v>
      </c>
      <c r="X612" s="1" t="s">
        <v>74</v>
      </c>
      <c r="Y612" s="1" t="s">
        <v>74</v>
      </c>
      <c r="Z612" s="1" t="s">
        <v>74</v>
      </c>
      <c r="AA612" s="1" t="s">
        <v>6278</v>
      </c>
      <c r="AB612" s="1" t="s">
        <v>6279</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6280</v>
      </c>
      <c r="AP612" s="1" t="s">
        <v>6281</v>
      </c>
      <c r="AQ612" s="1" t="s">
        <v>74</v>
      </c>
      <c r="AR612" s="1" t="s">
        <v>74</v>
      </c>
      <c r="AS612" s="1" t="s">
        <v>74</v>
      </c>
      <c r="AT612" s="1" t="s">
        <v>241</v>
      </c>
      <c r="AU612" s="1">
        <v>2008.0</v>
      </c>
      <c r="AV612" s="1">
        <v>46.0</v>
      </c>
      <c r="AW612" s="1">
        <v>3.0</v>
      </c>
      <c r="AX612" s="1" t="s">
        <v>74</v>
      </c>
      <c r="AY612" s="1" t="s">
        <v>74</v>
      </c>
      <c r="AZ612" s="1" t="s">
        <v>74</v>
      </c>
      <c r="BA612" s="1" t="s">
        <v>74</v>
      </c>
      <c r="BB612" s="1">
        <v>321.0</v>
      </c>
      <c r="BC612" s="1">
        <v>326.0</v>
      </c>
      <c r="BD612" s="1" t="s">
        <v>74</v>
      </c>
      <c r="BE612" s="1" t="s">
        <v>6282</v>
      </c>
      <c r="BF612" s="2" t="str">
        <f>HYPERLINK("http://dx.doi.org/10.1080/00288250809509770","http://dx.doi.org/10.1080/00288250809509770")</f>
        <v>http://dx.doi.org/10.1080/00288250809509770</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6283</v>
      </c>
      <c r="BT612" s="1" t="str">
        <f>HYPERLINK("https%3A%2F%2Fwww.webofscience.com%2Fwos%2Fwoscc%2Ffull-record%2FWOS:000261136400004","View Full Record in Web of Science")</f>
        <v>View Full Record in Web of Science</v>
      </c>
    </row>
    <row r="613" ht="12.75" customHeight="1">
      <c r="A613" s="1" t="s">
        <v>72</v>
      </c>
      <c r="B613" s="1" t="s">
        <v>6284</v>
      </c>
      <c r="C613" s="1" t="s">
        <v>74</v>
      </c>
      <c r="D613" s="1" t="s">
        <v>74</v>
      </c>
      <c r="E613" s="1" t="s">
        <v>74</v>
      </c>
      <c r="F613" s="1" t="s">
        <v>6284</v>
      </c>
      <c r="G613" s="1" t="s">
        <v>74</v>
      </c>
      <c r="H613" s="1" t="s">
        <v>74</v>
      </c>
      <c r="I613" s="1" t="s">
        <v>6285</v>
      </c>
      <c r="J613" s="1" t="s">
        <v>1002</v>
      </c>
      <c r="K613" s="1" t="s">
        <v>74</v>
      </c>
      <c r="L613" s="1" t="s">
        <v>74</v>
      </c>
      <c r="M613" s="1" t="s">
        <v>74</v>
      </c>
      <c r="N613" s="1" t="s">
        <v>74</v>
      </c>
      <c r="O613" s="1" t="s">
        <v>74</v>
      </c>
      <c r="P613" s="1" t="s">
        <v>74</v>
      </c>
      <c r="Q613" s="1" t="s">
        <v>74</v>
      </c>
      <c r="R613" s="1" t="s">
        <v>74</v>
      </c>
      <c r="S613" s="1" t="s">
        <v>74</v>
      </c>
      <c r="T613" s="1" t="s">
        <v>74</v>
      </c>
      <c r="U613" s="1" t="s">
        <v>74</v>
      </c>
      <c r="V613" s="1" t="s">
        <v>6286</v>
      </c>
      <c r="W613" s="1" t="s">
        <v>74</v>
      </c>
      <c r="X613" s="1" t="s">
        <v>74</v>
      </c>
      <c r="Y613" s="1" t="s">
        <v>74</v>
      </c>
      <c r="Z613" s="1" t="s">
        <v>74</v>
      </c>
      <c r="AA613" s="1" t="s">
        <v>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1005</v>
      </c>
      <c r="AP613" s="1" t="s">
        <v>1006</v>
      </c>
      <c r="AQ613" s="1" t="s">
        <v>74</v>
      </c>
      <c r="AR613" s="1" t="s">
        <v>74</v>
      </c>
      <c r="AS613" s="1" t="s">
        <v>74</v>
      </c>
      <c r="AT613" s="1" t="s">
        <v>176</v>
      </c>
      <c r="AU613" s="1">
        <v>2003.0</v>
      </c>
      <c r="AV613" s="1">
        <v>76.0</v>
      </c>
      <c r="AW613" s="1">
        <v>1.0</v>
      </c>
      <c r="AX613" s="1" t="s">
        <v>74</v>
      </c>
      <c r="AY613" s="1" t="s">
        <v>74</v>
      </c>
      <c r="AZ613" s="1" t="s">
        <v>74</v>
      </c>
      <c r="BA613" s="1" t="s">
        <v>74</v>
      </c>
      <c r="BB613" s="1">
        <v>57.0</v>
      </c>
      <c r="BC613" s="1">
        <v>64.0</v>
      </c>
      <c r="BD613" s="1" t="s">
        <v>74</v>
      </c>
      <c r="BE613" s="1" t="s">
        <v>74</v>
      </c>
      <c r="BF613" s="1" t="s">
        <v>74</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6287</v>
      </c>
      <c r="BT613" s="1" t="str">
        <f>HYPERLINK("https%3A%2F%2Fwww.webofscience.com%2Fwos%2Fwoscc%2Ffull-record%2FWOS:000182074100006","View Full Record in Web of Science")</f>
        <v>View Full Record in Web of Science</v>
      </c>
    </row>
    <row r="614" ht="12.75" customHeight="1">
      <c r="A614" s="1" t="s">
        <v>72</v>
      </c>
      <c r="B614" s="1" t="s">
        <v>6288</v>
      </c>
      <c r="C614" s="1" t="s">
        <v>74</v>
      </c>
      <c r="D614" s="1" t="s">
        <v>74</v>
      </c>
      <c r="E614" s="1" t="s">
        <v>74</v>
      </c>
      <c r="F614" s="1" t="s">
        <v>6288</v>
      </c>
      <c r="G614" s="1" t="s">
        <v>74</v>
      </c>
      <c r="H614" s="1" t="s">
        <v>74</v>
      </c>
      <c r="I614" s="1" t="s">
        <v>6289</v>
      </c>
      <c r="J614" s="1" t="s">
        <v>6290</v>
      </c>
      <c r="K614" s="1" t="s">
        <v>74</v>
      </c>
      <c r="L614" s="1" t="s">
        <v>74</v>
      </c>
      <c r="M614" s="1" t="s">
        <v>74</v>
      </c>
      <c r="N614" s="1" t="s">
        <v>74</v>
      </c>
      <c r="O614" s="1" t="s">
        <v>74</v>
      </c>
      <c r="P614" s="1" t="s">
        <v>74</v>
      </c>
      <c r="Q614" s="1" t="s">
        <v>74</v>
      </c>
      <c r="R614" s="1" t="s">
        <v>74</v>
      </c>
      <c r="S614" s="1" t="s">
        <v>74</v>
      </c>
      <c r="T614" s="1" t="s">
        <v>74</v>
      </c>
      <c r="U614" s="1" t="s">
        <v>74</v>
      </c>
      <c r="V614" s="1" t="s">
        <v>6291</v>
      </c>
      <c r="W614" s="1" t="s">
        <v>74</v>
      </c>
      <c r="X614" s="1" t="s">
        <v>74</v>
      </c>
      <c r="Y614" s="1" t="s">
        <v>74</v>
      </c>
      <c r="Z614" s="1" t="s">
        <v>74</v>
      </c>
      <c r="AA614" s="1" t="s">
        <v>6071</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6292</v>
      </c>
      <c r="AP614" s="1" t="s">
        <v>74</v>
      </c>
      <c r="AQ614" s="1" t="s">
        <v>74</v>
      </c>
      <c r="AR614" s="1" t="s">
        <v>74</v>
      </c>
      <c r="AS614" s="1" t="s">
        <v>74</v>
      </c>
      <c r="AT614" s="1" t="s">
        <v>822</v>
      </c>
      <c r="AU614" s="1">
        <v>1996.0</v>
      </c>
      <c r="AV614" s="1">
        <v>52.0</v>
      </c>
      <c r="AW614" s="1">
        <v>1.0</v>
      </c>
      <c r="AX614" s="1" t="s">
        <v>74</v>
      </c>
      <c r="AY614" s="1" t="s">
        <v>74</v>
      </c>
      <c r="AZ614" s="1" t="s">
        <v>74</v>
      </c>
      <c r="BA614" s="1" t="s">
        <v>74</v>
      </c>
      <c r="BB614" s="1">
        <v>13.0</v>
      </c>
      <c r="BC614" s="1">
        <v>21.0</v>
      </c>
      <c r="BD614" s="1" t="s">
        <v>74</v>
      </c>
      <c r="BE614" s="1" t="s">
        <v>6293</v>
      </c>
      <c r="BF614" s="2" t="str">
        <f>HYPERLINK("http://dx.doi.org/10.1016/0584-8539(95)01529-9","http://dx.doi.org/10.1016/0584-8539(95)01529-9")</f>
        <v>http://dx.doi.org/10.1016/0584-8539(95)01529-9</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6294</v>
      </c>
      <c r="BT614" s="1" t="str">
        <f>HYPERLINK("https%3A%2F%2Fwww.webofscience.com%2Fwos%2Fwoscc%2Ffull-record%2FWOS:A1996UH49100003","View Full Record in Web of Science")</f>
        <v>View Full Record in Web of Science</v>
      </c>
    </row>
    <row r="615" ht="12.75" customHeight="1">
      <c r="A615" s="1" t="s">
        <v>72</v>
      </c>
      <c r="B615" s="1" t="s">
        <v>6295</v>
      </c>
      <c r="C615" s="1" t="s">
        <v>74</v>
      </c>
      <c r="D615" s="1" t="s">
        <v>74</v>
      </c>
      <c r="E615" s="1" t="s">
        <v>74</v>
      </c>
      <c r="F615" s="1" t="s">
        <v>6296</v>
      </c>
      <c r="G615" s="1" t="s">
        <v>74</v>
      </c>
      <c r="H615" s="1" t="s">
        <v>74</v>
      </c>
      <c r="I615" s="1" t="s">
        <v>6297</v>
      </c>
      <c r="J615" s="1" t="s">
        <v>315</v>
      </c>
      <c r="K615" s="1" t="s">
        <v>74</v>
      </c>
      <c r="L615" s="1" t="s">
        <v>74</v>
      </c>
      <c r="M615" s="1" t="s">
        <v>74</v>
      </c>
      <c r="N615" s="1" t="s">
        <v>74</v>
      </c>
      <c r="O615" s="1" t="s">
        <v>2969</v>
      </c>
      <c r="P615" s="1" t="s">
        <v>6298</v>
      </c>
      <c r="Q615" s="1" t="s">
        <v>4098</v>
      </c>
      <c r="R615" s="1" t="s">
        <v>2972</v>
      </c>
      <c r="S615" s="1" t="s">
        <v>74</v>
      </c>
      <c r="T615" s="1" t="s">
        <v>74</v>
      </c>
      <c r="U615" s="1" t="s">
        <v>74</v>
      </c>
      <c r="V615" s="1" t="s">
        <v>74</v>
      </c>
      <c r="W615" s="1" t="s">
        <v>74</v>
      </c>
      <c r="X615" s="1" t="s">
        <v>74</v>
      </c>
      <c r="Y615" s="1" t="s">
        <v>74</v>
      </c>
      <c r="Z615" s="1" t="s">
        <v>74</v>
      </c>
      <c r="AA615" s="1" t="s">
        <v>6299</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318</v>
      </c>
      <c r="AP615" s="1" t="s">
        <v>319</v>
      </c>
      <c r="AQ615" s="1" t="s">
        <v>74</v>
      </c>
      <c r="AR615" s="1" t="s">
        <v>74</v>
      </c>
      <c r="AS615" s="1" t="s">
        <v>74</v>
      </c>
      <c r="AT615" s="1" t="s">
        <v>151</v>
      </c>
      <c r="AU615" s="1">
        <v>2024.0</v>
      </c>
      <c r="AV615" s="1">
        <v>56.0</v>
      </c>
      <c r="AW615" s="1">
        <v>10.0</v>
      </c>
      <c r="AX615" s="1" t="s">
        <v>74</v>
      </c>
      <c r="AY615" s="1" t="s">
        <v>320</v>
      </c>
      <c r="AZ615" s="1" t="s">
        <v>74</v>
      </c>
      <c r="BA615" s="1">
        <v>3247.0</v>
      </c>
      <c r="BB615" s="1">
        <v>738.0</v>
      </c>
      <c r="BC615" s="1">
        <v>738.0</v>
      </c>
      <c r="BD615" s="1" t="s">
        <v>74</v>
      </c>
      <c r="BE615" s="1" t="s">
        <v>74</v>
      </c>
      <c r="BF615" s="1" t="s">
        <v>74</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6300</v>
      </c>
      <c r="BT615" s="1" t="str">
        <f>HYPERLINK("https%3A%2F%2Fwww.webofscience.com%2Fwos%2Fwoscc%2Ffull-record%2FWOS:001315123203306","View Full Record in Web of Science")</f>
        <v>View Full Record in Web of Science</v>
      </c>
    </row>
    <row r="616" ht="12.75" customHeight="1">
      <c r="A616" s="1" t="s">
        <v>72</v>
      </c>
      <c r="B616" s="1" t="s">
        <v>6301</v>
      </c>
      <c r="C616" s="1" t="s">
        <v>74</v>
      </c>
      <c r="D616" s="1" t="s">
        <v>74</v>
      </c>
      <c r="E616" s="1" t="s">
        <v>74</v>
      </c>
      <c r="F616" s="1" t="s">
        <v>6302</v>
      </c>
      <c r="G616" s="1" t="s">
        <v>74</v>
      </c>
      <c r="H616" s="1" t="s">
        <v>74</v>
      </c>
      <c r="I616" s="1" t="s">
        <v>6303</v>
      </c>
      <c r="J616" s="1" t="s">
        <v>6304</v>
      </c>
      <c r="K616" s="1" t="s">
        <v>74</v>
      </c>
      <c r="L616" s="1" t="s">
        <v>74</v>
      </c>
      <c r="M616" s="1" t="s">
        <v>74</v>
      </c>
      <c r="N616" s="1" t="s">
        <v>74</v>
      </c>
      <c r="O616" s="1" t="s">
        <v>74</v>
      </c>
      <c r="P616" s="1" t="s">
        <v>74</v>
      </c>
      <c r="Q616" s="1" t="s">
        <v>74</v>
      </c>
      <c r="R616" s="1" t="s">
        <v>74</v>
      </c>
      <c r="S616" s="1" t="s">
        <v>74</v>
      </c>
      <c r="T616" s="1" t="s">
        <v>74</v>
      </c>
      <c r="U616" s="1" t="s">
        <v>74</v>
      </c>
      <c r="V616" s="1" t="s">
        <v>6305</v>
      </c>
      <c r="W616" s="1" t="s">
        <v>74</v>
      </c>
      <c r="X616" s="1" t="s">
        <v>74</v>
      </c>
      <c r="Y616" s="1" t="s">
        <v>74</v>
      </c>
      <c r="Z616" s="1" t="s">
        <v>74</v>
      </c>
      <c r="AA616" s="1" t="s">
        <v>6306</v>
      </c>
      <c r="AB616" s="1" t="s">
        <v>6307</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6308</v>
      </c>
      <c r="AP616" s="1" t="s">
        <v>74</v>
      </c>
      <c r="AQ616" s="1" t="s">
        <v>74</v>
      </c>
      <c r="AR616" s="1" t="s">
        <v>74</v>
      </c>
      <c r="AS616" s="1" t="s">
        <v>74</v>
      </c>
      <c r="AT616" s="1" t="s">
        <v>176</v>
      </c>
      <c r="AU616" s="1">
        <v>2024.0</v>
      </c>
      <c r="AV616" s="1" t="s">
        <v>74</v>
      </c>
      <c r="AW616" s="1">
        <v>3.0</v>
      </c>
      <c r="AX616" s="1" t="s">
        <v>74</v>
      </c>
      <c r="AY616" s="1" t="s">
        <v>74</v>
      </c>
      <c r="AZ616" s="1" t="s">
        <v>74</v>
      </c>
      <c r="BA616" s="1" t="s">
        <v>74</v>
      </c>
      <c r="BB616" s="1" t="s">
        <v>74</v>
      </c>
      <c r="BC616" s="1" t="s">
        <v>74</v>
      </c>
      <c r="BD616" s="1">
        <v>10.0</v>
      </c>
      <c r="BE616" s="1" t="s">
        <v>6309</v>
      </c>
      <c r="BF616" s="2" t="str">
        <f>HYPERLINK("http://dx.doi.org/10.1088/1475-7516/2024/03/010","http://dx.doi.org/10.1088/1475-7516/2024/03/010")</f>
        <v>http://dx.doi.org/10.1088/1475-7516/2024/03/010</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6310</v>
      </c>
      <c r="BT616" s="1" t="str">
        <f>HYPERLINK("https%3A%2F%2Fwww.webofscience.com%2Fwos%2Fwoscc%2Ffull-record%2FWOS:001196381300007","View Full Record in Web of Science")</f>
        <v>View Full Record in Web of Science</v>
      </c>
    </row>
    <row r="617" ht="12.75" customHeight="1">
      <c r="A617" s="1" t="s">
        <v>72</v>
      </c>
      <c r="B617" s="1" t="s">
        <v>6311</v>
      </c>
      <c r="C617" s="1" t="s">
        <v>74</v>
      </c>
      <c r="D617" s="1" t="s">
        <v>74</v>
      </c>
      <c r="E617" s="1" t="s">
        <v>74</v>
      </c>
      <c r="F617" s="1" t="s">
        <v>6312</v>
      </c>
      <c r="G617" s="1" t="s">
        <v>74</v>
      </c>
      <c r="H617" s="1" t="s">
        <v>74</v>
      </c>
      <c r="I617" s="1" t="s">
        <v>6313</v>
      </c>
      <c r="J617" s="1" t="s">
        <v>2383</v>
      </c>
      <c r="K617" s="1" t="s">
        <v>74</v>
      </c>
      <c r="L617" s="1" t="s">
        <v>74</v>
      </c>
      <c r="M617" s="1" t="s">
        <v>74</v>
      </c>
      <c r="N617" s="1" t="s">
        <v>74</v>
      </c>
      <c r="O617" s="1" t="s">
        <v>74</v>
      </c>
      <c r="P617" s="1" t="s">
        <v>74</v>
      </c>
      <c r="Q617" s="1" t="s">
        <v>74</v>
      </c>
      <c r="R617" s="1" t="s">
        <v>74</v>
      </c>
      <c r="S617" s="1" t="s">
        <v>74</v>
      </c>
      <c r="T617" s="1" t="s">
        <v>74</v>
      </c>
      <c r="U617" s="1" t="s">
        <v>74</v>
      </c>
      <c r="V617" s="1" t="s">
        <v>6314</v>
      </c>
      <c r="W617" s="1" t="s">
        <v>74</v>
      </c>
      <c r="X617" s="1" t="s">
        <v>74</v>
      </c>
      <c r="Y617" s="1" t="s">
        <v>74</v>
      </c>
      <c r="Z617" s="1" t="s">
        <v>74</v>
      </c>
      <c r="AA617" s="1" t="s">
        <v>6315</v>
      </c>
      <c r="AB617" s="1" t="s">
        <v>6316</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74</v>
      </c>
      <c r="AP617" s="1" t="s">
        <v>2387</v>
      </c>
      <c r="AQ617" s="1" t="s">
        <v>74</v>
      </c>
      <c r="AR617" s="1" t="s">
        <v>74</v>
      </c>
      <c r="AS617" s="1" t="s">
        <v>74</v>
      </c>
      <c r="AT617" s="1" t="s">
        <v>83</v>
      </c>
      <c r="AU617" s="1">
        <v>2023.0</v>
      </c>
      <c r="AV617" s="1">
        <v>16.0</v>
      </c>
      <c r="AW617" s="1">
        <v>24.0</v>
      </c>
      <c r="AX617" s="1" t="s">
        <v>74</v>
      </c>
      <c r="AY617" s="1" t="s">
        <v>74</v>
      </c>
      <c r="AZ617" s="1" t="s">
        <v>74</v>
      </c>
      <c r="BA617" s="1" t="s">
        <v>74</v>
      </c>
      <c r="BB617" s="1" t="s">
        <v>74</v>
      </c>
      <c r="BC617" s="1" t="s">
        <v>74</v>
      </c>
      <c r="BD617" s="1">
        <v>7564.0</v>
      </c>
      <c r="BE617" s="1" t="s">
        <v>6317</v>
      </c>
      <c r="BF617" s="2" t="str">
        <f>HYPERLINK("http://dx.doi.org/10.3390/ma16247564","http://dx.doi.org/10.3390/ma16247564")</f>
        <v>http://dx.doi.org/10.3390/ma16247564</v>
      </c>
      <c r="BG617" s="1" t="s">
        <v>74</v>
      </c>
      <c r="BH617" s="1" t="s">
        <v>74</v>
      </c>
      <c r="BI617" s="1" t="s">
        <v>74</v>
      </c>
      <c r="BJ617" s="1" t="s">
        <v>74</v>
      </c>
      <c r="BK617" s="1" t="s">
        <v>74</v>
      </c>
      <c r="BL617" s="1" t="s">
        <v>74</v>
      </c>
      <c r="BM617" s="1" t="s">
        <v>74</v>
      </c>
      <c r="BN617" s="1">
        <v>3.8138706E7</v>
      </c>
      <c r="BO617" s="1" t="s">
        <v>74</v>
      </c>
      <c r="BP617" s="1" t="s">
        <v>74</v>
      </c>
      <c r="BQ617" s="1" t="s">
        <v>74</v>
      </c>
      <c r="BR617" s="1" t="s">
        <v>74</v>
      </c>
      <c r="BS617" s="1" t="s">
        <v>6318</v>
      </c>
      <c r="BT617" s="1" t="str">
        <f>HYPERLINK("https%3A%2F%2Fwww.webofscience.com%2Fwos%2Fwoscc%2Ffull-record%2FWOS:001132220300001","View Full Record in Web of Science")</f>
        <v>View Full Record in Web of Science</v>
      </c>
    </row>
    <row r="618" ht="12.75" customHeight="1">
      <c r="A618" s="1" t="s">
        <v>72</v>
      </c>
      <c r="B618" s="1" t="s">
        <v>6319</v>
      </c>
      <c r="C618" s="1" t="s">
        <v>74</v>
      </c>
      <c r="D618" s="1" t="s">
        <v>74</v>
      </c>
      <c r="E618" s="1" t="s">
        <v>74</v>
      </c>
      <c r="F618" s="1" t="s">
        <v>6320</v>
      </c>
      <c r="G618" s="1" t="s">
        <v>74</v>
      </c>
      <c r="H618" s="1" t="s">
        <v>74</v>
      </c>
      <c r="I618" s="1" t="s">
        <v>6321</v>
      </c>
      <c r="J618" s="1" t="s">
        <v>6322</v>
      </c>
      <c r="K618" s="1" t="s">
        <v>74</v>
      </c>
      <c r="L618" s="1" t="s">
        <v>74</v>
      </c>
      <c r="M618" s="1" t="s">
        <v>74</v>
      </c>
      <c r="N618" s="1" t="s">
        <v>74</v>
      </c>
      <c r="O618" s="1" t="s">
        <v>74</v>
      </c>
      <c r="P618" s="1" t="s">
        <v>74</v>
      </c>
      <c r="Q618" s="1" t="s">
        <v>74</v>
      </c>
      <c r="R618" s="1" t="s">
        <v>74</v>
      </c>
      <c r="S618" s="1" t="s">
        <v>74</v>
      </c>
      <c r="T618" s="1" t="s">
        <v>74</v>
      </c>
      <c r="U618" s="1" t="s">
        <v>74</v>
      </c>
      <c r="V618" s="1" t="s">
        <v>6323</v>
      </c>
      <c r="W618" s="1" t="s">
        <v>74</v>
      </c>
      <c r="X618" s="1" t="s">
        <v>74</v>
      </c>
      <c r="Y618" s="1" t="s">
        <v>74</v>
      </c>
      <c r="Z618" s="1" t="s">
        <v>74</v>
      </c>
      <c r="AA618" s="1" t="s">
        <v>6324</v>
      </c>
      <c r="AB618" s="1" t="s">
        <v>6325</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6326</v>
      </c>
      <c r="AP618" s="1" t="s">
        <v>6327</v>
      </c>
      <c r="AQ618" s="1" t="s">
        <v>74</v>
      </c>
      <c r="AR618" s="1" t="s">
        <v>74</v>
      </c>
      <c r="AS618" s="1" t="s">
        <v>74</v>
      </c>
      <c r="AT618" s="1" t="s">
        <v>6328</v>
      </c>
      <c r="AU618" s="1">
        <v>2023.0</v>
      </c>
      <c r="AV618" s="1">
        <v>15.0</v>
      </c>
      <c r="AW618" s="1">
        <v>22.0</v>
      </c>
      <c r="AX618" s="1" t="s">
        <v>74</v>
      </c>
      <c r="AY618" s="1" t="s">
        <v>74</v>
      </c>
      <c r="AZ618" s="1" t="s">
        <v>74</v>
      </c>
      <c r="BA618" s="1" t="s">
        <v>74</v>
      </c>
      <c r="BB618" s="1" t="s">
        <v>74</v>
      </c>
      <c r="BC618" s="1" t="s">
        <v>74</v>
      </c>
      <c r="BD618" s="1" t="s">
        <v>74</v>
      </c>
      <c r="BE618" s="1" t="s">
        <v>6329</v>
      </c>
      <c r="BF618" s="2" t="str">
        <f>HYPERLINK("http://dx.doi.org/10.1002/cctc.202300849","http://dx.doi.org/10.1002/cctc.202300849")</f>
        <v>http://dx.doi.org/10.1002/cctc.202300849</v>
      </c>
      <c r="BG618" s="1" t="s">
        <v>74</v>
      </c>
      <c r="BH618" s="1" t="s">
        <v>6330</v>
      </c>
      <c r="BI618" s="1" t="s">
        <v>74</v>
      </c>
      <c r="BJ618" s="1" t="s">
        <v>74</v>
      </c>
      <c r="BK618" s="1" t="s">
        <v>74</v>
      </c>
      <c r="BL618" s="1" t="s">
        <v>74</v>
      </c>
      <c r="BM618" s="1" t="s">
        <v>74</v>
      </c>
      <c r="BN618" s="1" t="s">
        <v>74</v>
      </c>
      <c r="BO618" s="1" t="s">
        <v>74</v>
      </c>
      <c r="BP618" s="1" t="s">
        <v>74</v>
      </c>
      <c r="BQ618" s="1" t="s">
        <v>74</v>
      </c>
      <c r="BR618" s="1" t="s">
        <v>74</v>
      </c>
      <c r="BS618" s="1" t="s">
        <v>6331</v>
      </c>
      <c r="BT618" s="1" t="str">
        <f>HYPERLINK("https%3A%2F%2Fwww.webofscience.com%2Fwos%2Fwoscc%2Ffull-record%2FWOS:001091890600001","View Full Record in Web of Science")</f>
        <v>View Full Record in Web of Science</v>
      </c>
    </row>
    <row r="619" ht="12.75" customHeight="1">
      <c r="A619" s="1" t="s">
        <v>72</v>
      </c>
      <c r="B619" s="1" t="s">
        <v>6332</v>
      </c>
      <c r="C619" s="1" t="s">
        <v>74</v>
      </c>
      <c r="D619" s="1" t="s">
        <v>74</v>
      </c>
      <c r="E619" s="1" t="s">
        <v>74</v>
      </c>
      <c r="F619" s="1" t="s">
        <v>6333</v>
      </c>
      <c r="G619" s="1" t="s">
        <v>74</v>
      </c>
      <c r="H619" s="1" t="s">
        <v>74</v>
      </c>
      <c r="I619" s="1" t="s">
        <v>6334</v>
      </c>
      <c r="J619" s="1" t="s">
        <v>6335</v>
      </c>
      <c r="K619" s="1" t="s">
        <v>74</v>
      </c>
      <c r="L619" s="1" t="s">
        <v>74</v>
      </c>
      <c r="M619" s="1" t="s">
        <v>74</v>
      </c>
      <c r="N619" s="1" t="s">
        <v>74</v>
      </c>
      <c r="O619" s="1" t="s">
        <v>74</v>
      </c>
      <c r="P619" s="1" t="s">
        <v>74</v>
      </c>
      <c r="Q619" s="1" t="s">
        <v>74</v>
      </c>
      <c r="R619" s="1" t="s">
        <v>74</v>
      </c>
      <c r="S619" s="1" t="s">
        <v>74</v>
      </c>
      <c r="T619" s="1" t="s">
        <v>74</v>
      </c>
      <c r="U619" s="1" t="s">
        <v>74</v>
      </c>
      <c r="V619" s="1" t="s">
        <v>6336</v>
      </c>
      <c r="W619" s="1" t="s">
        <v>74</v>
      </c>
      <c r="X619" s="1" t="s">
        <v>74</v>
      </c>
      <c r="Y619" s="1" t="s">
        <v>74</v>
      </c>
      <c r="Z619" s="1" t="s">
        <v>74</v>
      </c>
      <c r="AA619" s="1" t="s">
        <v>6337</v>
      </c>
      <c r="AB619" s="1" t="s">
        <v>6338</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6339</v>
      </c>
      <c r="AP619" s="1" t="s">
        <v>6340</v>
      </c>
      <c r="AQ619" s="1" t="s">
        <v>74</v>
      </c>
      <c r="AR619" s="1" t="s">
        <v>74</v>
      </c>
      <c r="AS619" s="1" t="s">
        <v>74</v>
      </c>
      <c r="AT619" s="1" t="s">
        <v>210</v>
      </c>
      <c r="AU619" s="1">
        <v>2023.0</v>
      </c>
      <c r="AV619" s="1">
        <v>193.0</v>
      </c>
      <c r="AW619" s="1" t="s">
        <v>74</v>
      </c>
      <c r="AX619" s="1" t="s">
        <v>74</v>
      </c>
      <c r="AY619" s="1" t="s">
        <v>74</v>
      </c>
      <c r="AZ619" s="1" t="s">
        <v>74</v>
      </c>
      <c r="BA619" s="1" t="s">
        <v>74</v>
      </c>
      <c r="BB619" s="1" t="s">
        <v>74</v>
      </c>
      <c r="BC619" s="1" t="s">
        <v>74</v>
      </c>
      <c r="BD619" s="1">
        <v>103943.0</v>
      </c>
      <c r="BE619" s="1" t="s">
        <v>6341</v>
      </c>
      <c r="BF619" s="2" t="str">
        <f>HYPERLINK("http://dx.doi.org/10.1016/j.ijengsci.2023.103943","http://dx.doi.org/10.1016/j.ijengsci.2023.103943")</f>
        <v>http://dx.doi.org/10.1016/j.ijengsci.2023.103943</v>
      </c>
      <c r="BG619" s="1" t="s">
        <v>74</v>
      </c>
      <c r="BH619" s="1" t="s">
        <v>4385</v>
      </c>
      <c r="BI619" s="1" t="s">
        <v>74</v>
      </c>
      <c r="BJ619" s="1" t="s">
        <v>74</v>
      </c>
      <c r="BK619" s="1" t="s">
        <v>74</v>
      </c>
      <c r="BL619" s="1" t="s">
        <v>74</v>
      </c>
      <c r="BM619" s="1" t="s">
        <v>74</v>
      </c>
      <c r="BN619" s="1" t="s">
        <v>74</v>
      </c>
      <c r="BO619" s="1" t="s">
        <v>74</v>
      </c>
      <c r="BP619" s="1" t="s">
        <v>74</v>
      </c>
      <c r="BQ619" s="1" t="s">
        <v>74</v>
      </c>
      <c r="BR619" s="1" t="s">
        <v>74</v>
      </c>
      <c r="BS619" s="1" t="s">
        <v>6342</v>
      </c>
      <c r="BT619" s="1" t="str">
        <f>HYPERLINK("https%3A%2F%2Fwww.webofscience.com%2Fwos%2Fwoscc%2Ffull-record%2FWOS:001070449000001","View Full Record in Web of Science")</f>
        <v>View Full Record in Web of Science</v>
      </c>
    </row>
    <row r="620" ht="12.75" customHeight="1">
      <c r="A620" s="1" t="s">
        <v>72</v>
      </c>
      <c r="B620" s="1" t="s">
        <v>6343</v>
      </c>
      <c r="C620" s="1" t="s">
        <v>74</v>
      </c>
      <c r="D620" s="1" t="s">
        <v>74</v>
      </c>
      <c r="E620" s="1" t="s">
        <v>74</v>
      </c>
      <c r="F620" s="1" t="s">
        <v>6344</v>
      </c>
      <c r="G620" s="1" t="s">
        <v>74</v>
      </c>
      <c r="H620" s="1" t="s">
        <v>74</v>
      </c>
      <c r="I620" s="1" t="s">
        <v>6345</v>
      </c>
      <c r="J620" s="1" t="s">
        <v>6346</v>
      </c>
      <c r="K620" s="1" t="s">
        <v>74</v>
      </c>
      <c r="L620" s="1" t="s">
        <v>74</v>
      </c>
      <c r="M620" s="1" t="s">
        <v>74</v>
      </c>
      <c r="N620" s="1" t="s">
        <v>74</v>
      </c>
      <c r="O620" s="1" t="s">
        <v>74</v>
      </c>
      <c r="P620" s="1" t="s">
        <v>74</v>
      </c>
      <c r="Q620" s="1" t="s">
        <v>74</v>
      </c>
      <c r="R620" s="1" t="s">
        <v>74</v>
      </c>
      <c r="S620" s="1" t="s">
        <v>74</v>
      </c>
      <c r="T620" s="1" t="s">
        <v>74</v>
      </c>
      <c r="U620" s="1" t="s">
        <v>74</v>
      </c>
      <c r="V620" s="1" t="s">
        <v>6347</v>
      </c>
      <c r="W620" s="1" t="s">
        <v>74</v>
      </c>
      <c r="X620" s="1" t="s">
        <v>74</v>
      </c>
      <c r="Y620" s="1" t="s">
        <v>74</v>
      </c>
      <c r="Z620" s="1" t="s">
        <v>74</v>
      </c>
      <c r="AA620" s="1" t="s">
        <v>6348</v>
      </c>
      <c r="AB620" s="1" t="s">
        <v>6349</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6350</v>
      </c>
      <c r="AP620" s="1" t="s">
        <v>6351</v>
      </c>
      <c r="AQ620" s="1" t="s">
        <v>74</v>
      </c>
      <c r="AR620" s="1" t="s">
        <v>74</v>
      </c>
      <c r="AS620" s="1" t="s">
        <v>74</v>
      </c>
      <c r="AT620" s="1" t="s">
        <v>308</v>
      </c>
      <c r="AU620" s="1">
        <v>2023.0</v>
      </c>
      <c r="AV620" s="1">
        <v>165.0</v>
      </c>
      <c r="AW620" s="1">
        <v>4.0</v>
      </c>
      <c r="AX620" s="1" t="s">
        <v>74</v>
      </c>
      <c r="AY620" s="1" t="s">
        <v>74</v>
      </c>
      <c r="AZ620" s="1" t="s">
        <v>74</v>
      </c>
      <c r="BA620" s="1" t="s">
        <v>74</v>
      </c>
      <c r="BB620" s="1">
        <v>383.0</v>
      </c>
      <c r="BC620" s="1">
        <v>393.0</v>
      </c>
      <c r="BD620" s="1" t="s">
        <v>74</v>
      </c>
      <c r="BE620" s="1" t="s">
        <v>6352</v>
      </c>
      <c r="BF620" s="2" t="str">
        <f>HYPERLINK("http://dx.doi.org/10.1530/REP-22-0289","http://dx.doi.org/10.1530/REP-22-0289")</f>
        <v>http://dx.doi.org/10.1530/REP-22-0289</v>
      </c>
      <c r="BG620" s="1" t="s">
        <v>74</v>
      </c>
      <c r="BH620" s="1" t="s">
        <v>74</v>
      </c>
      <c r="BI620" s="1" t="s">
        <v>74</v>
      </c>
      <c r="BJ620" s="1" t="s">
        <v>74</v>
      </c>
      <c r="BK620" s="1" t="s">
        <v>74</v>
      </c>
      <c r="BL620" s="1" t="s">
        <v>74</v>
      </c>
      <c r="BM620" s="1" t="s">
        <v>74</v>
      </c>
      <c r="BN620" s="1">
        <v>3.6762768E7</v>
      </c>
      <c r="BO620" s="1" t="s">
        <v>74</v>
      </c>
      <c r="BP620" s="1" t="s">
        <v>74</v>
      </c>
      <c r="BQ620" s="1" t="s">
        <v>74</v>
      </c>
      <c r="BR620" s="1" t="s">
        <v>74</v>
      </c>
      <c r="BS620" s="1" t="s">
        <v>6353</v>
      </c>
      <c r="BT620" s="1" t="str">
        <f>HYPERLINK("https%3A%2F%2Fwww.webofscience.com%2Fwos%2Fwoscc%2Ffull-record%2FWOS:001031619300006","View Full Record in Web of Science")</f>
        <v>View Full Record in Web of Science</v>
      </c>
    </row>
    <row r="621" ht="12.75" customHeight="1">
      <c r="A621" s="1" t="s">
        <v>72</v>
      </c>
      <c r="B621" s="1" t="s">
        <v>6354</v>
      </c>
      <c r="C621" s="1" t="s">
        <v>74</v>
      </c>
      <c r="D621" s="1" t="s">
        <v>74</v>
      </c>
      <c r="E621" s="1" t="s">
        <v>74</v>
      </c>
      <c r="F621" s="1" t="s">
        <v>6355</v>
      </c>
      <c r="G621" s="1" t="s">
        <v>74</v>
      </c>
      <c r="H621" s="1" t="s">
        <v>74</v>
      </c>
      <c r="I621" s="1" t="s">
        <v>6356</v>
      </c>
      <c r="J621" s="1" t="s">
        <v>6357</v>
      </c>
      <c r="K621" s="1" t="s">
        <v>74</v>
      </c>
      <c r="L621" s="1" t="s">
        <v>74</v>
      </c>
      <c r="M621" s="1" t="s">
        <v>74</v>
      </c>
      <c r="N621" s="1" t="s">
        <v>74</v>
      </c>
      <c r="O621" s="1" t="s">
        <v>74</v>
      </c>
      <c r="P621" s="1" t="s">
        <v>74</v>
      </c>
      <c r="Q621" s="1" t="s">
        <v>74</v>
      </c>
      <c r="R621" s="1" t="s">
        <v>74</v>
      </c>
      <c r="S621" s="1" t="s">
        <v>74</v>
      </c>
      <c r="T621" s="1" t="s">
        <v>74</v>
      </c>
      <c r="U621" s="1" t="s">
        <v>74</v>
      </c>
      <c r="V621" s="1" t="s">
        <v>6358</v>
      </c>
      <c r="W621" s="1" t="s">
        <v>74</v>
      </c>
      <c r="X621" s="1" t="s">
        <v>74</v>
      </c>
      <c r="Y621" s="1" t="s">
        <v>74</v>
      </c>
      <c r="Z621" s="1" t="s">
        <v>74</v>
      </c>
      <c r="AA621" s="1" t="s">
        <v>6359</v>
      </c>
      <c r="AB621" s="1" t="s">
        <v>6360</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74</v>
      </c>
      <c r="AP621" s="1" t="s">
        <v>6361</v>
      </c>
      <c r="AQ621" s="1" t="s">
        <v>74</v>
      </c>
      <c r="AR621" s="1" t="s">
        <v>74</v>
      </c>
      <c r="AS621" s="1" t="s">
        <v>74</v>
      </c>
      <c r="AT621" s="1" t="s">
        <v>6362</v>
      </c>
      <c r="AU621" s="1">
        <v>2022.0</v>
      </c>
      <c r="AV621" s="1">
        <v>13.0</v>
      </c>
      <c r="AW621" s="1">
        <v>1.0</v>
      </c>
      <c r="AX621" s="1" t="s">
        <v>74</v>
      </c>
      <c r="AY621" s="1" t="s">
        <v>74</v>
      </c>
      <c r="AZ621" s="1" t="s">
        <v>74</v>
      </c>
      <c r="BA621" s="1" t="s">
        <v>74</v>
      </c>
      <c r="BB621" s="1" t="s">
        <v>74</v>
      </c>
      <c r="BC621" s="1" t="s">
        <v>74</v>
      </c>
      <c r="BD621" s="1">
        <v>1703.0</v>
      </c>
      <c r="BE621" s="1" t="s">
        <v>6363</v>
      </c>
      <c r="BF621" s="2" t="str">
        <f>HYPERLINK("http://dx.doi.org/10.1038/s41467-022-29345-x","http://dx.doi.org/10.1038/s41467-022-29345-x")</f>
        <v>http://dx.doi.org/10.1038/s41467-022-29345-x</v>
      </c>
      <c r="BG621" s="1" t="s">
        <v>74</v>
      </c>
      <c r="BH621" s="1" t="s">
        <v>74</v>
      </c>
      <c r="BI621" s="1" t="s">
        <v>74</v>
      </c>
      <c r="BJ621" s="1" t="s">
        <v>74</v>
      </c>
      <c r="BK621" s="1" t="s">
        <v>74</v>
      </c>
      <c r="BL621" s="1" t="s">
        <v>74</v>
      </c>
      <c r="BM621" s="1" t="s">
        <v>74</v>
      </c>
      <c r="BN621" s="1">
        <v>3.5361765E7</v>
      </c>
      <c r="BO621" s="1" t="s">
        <v>74</v>
      </c>
      <c r="BP621" s="1" t="s">
        <v>74</v>
      </c>
      <c r="BQ621" s="1" t="s">
        <v>74</v>
      </c>
      <c r="BR621" s="1" t="s">
        <v>74</v>
      </c>
      <c r="BS621" s="1" t="s">
        <v>6364</v>
      </c>
      <c r="BT621" s="1" t="str">
        <f>HYPERLINK("https%3A%2F%2Fwww.webofscience.com%2Fwos%2Fwoscc%2Ffull-record%2FWOS:000777008300018","View Full Record in Web of Science")</f>
        <v>View Full Record in Web of Science</v>
      </c>
    </row>
    <row r="622" ht="12.75" customHeight="1">
      <c r="A622" s="1" t="s">
        <v>72</v>
      </c>
      <c r="B622" s="1" t="s">
        <v>6365</v>
      </c>
      <c r="C622" s="1" t="s">
        <v>74</v>
      </c>
      <c r="D622" s="1" t="s">
        <v>74</v>
      </c>
      <c r="E622" s="1" t="s">
        <v>74</v>
      </c>
      <c r="F622" s="1" t="s">
        <v>6366</v>
      </c>
      <c r="G622" s="1" t="s">
        <v>74</v>
      </c>
      <c r="H622" s="1" t="s">
        <v>74</v>
      </c>
      <c r="I622" s="1" t="s">
        <v>6367</v>
      </c>
      <c r="J622" s="1" t="s">
        <v>6368</v>
      </c>
      <c r="K622" s="1" t="s">
        <v>74</v>
      </c>
      <c r="L622" s="1" t="s">
        <v>74</v>
      </c>
      <c r="M622" s="1" t="s">
        <v>74</v>
      </c>
      <c r="N622" s="1" t="s">
        <v>74</v>
      </c>
      <c r="O622" s="1" t="s">
        <v>74</v>
      </c>
      <c r="P622" s="1" t="s">
        <v>74</v>
      </c>
      <c r="Q622" s="1" t="s">
        <v>74</v>
      </c>
      <c r="R622" s="1" t="s">
        <v>74</v>
      </c>
      <c r="S622" s="1" t="s">
        <v>74</v>
      </c>
      <c r="T622" s="1" t="s">
        <v>74</v>
      </c>
      <c r="U622" s="1" t="s">
        <v>74</v>
      </c>
      <c r="V622" s="1" t="s">
        <v>6369</v>
      </c>
      <c r="W622" s="1" t="s">
        <v>74</v>
      </c>
      <c r="X622" s="1" t="s">
        <v>74</v>
      </c>
      <c r="Y622" s="1" t="s">
        <v>74</v>
      </c>
      <c r="Z622" s="1" t="s">
        <v>74</v>
      </c>
      <c r="AA622" s="1" t="s">
        <v>6370</v>
      </c>
      <c r="AB622" s="1" t="s">
        <v>6371</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6372</v>
      </c>
      <c r="AP622" s="1" t="s">
        <v>74</v>
      </c>
      <c r="AQ622" s="1" t="s">
        <v>74</v>
      </c>
      <c r="AR622" s="1" t="s">
        <v>74</v>
      </c>
      <c r="AS622" s="1" t="s">
        <v>74</v>
      </c>
      <c r="AT622" s="1" t="s">
        <v>6373</v>
      </c>
      <c r="AU622" s="1">
        <v>2021.0</v>
      </c>
      <c r="AV622" s="1">
        <v>8.0</v>
      </c>
      <c r="AW622" s="1" t="s">
        <v>74</v>
      </c>
      <c r="AX622" s="1" t="s">
        <v>74</v>
      </c>
      <c r="AY622" s="1" t="s">
        <v>74</v>
      </c>
      <c r="AZ622" s="1" t="s">
        <v>74</v>
      </c>
      <c r="BA622" s="1" t="s">
        <v>74</v>
      </c>
      <c r="BB622" s="1" t="s">
        <v>74</v>
      </c>
      <c r="BC622" s="1" t="s">
        <v>74</v>
      </c>
      <c r="BD622" s="1">
        <v>647121.0</v>
      </c>
      <c r="BE622" s="1" t="s">
        <v>6374</v>
      </c>
      <c r="BF622" s="2" t="str">
        <f>HYPERLINK("http://dx.doi.org/10.3389/fspas.2021.647121","http://dx.doi.org/10.3389/fspas.2021.647121")</f>
        <v>http://dx.doi.org/10.3389/fspas.2021.647121</v>
      </c>
      <c r="BG622" s="1" t="s">
        <v>74</v>
      </c>
      <c r="BH622" s="1" t="s">
        <v>74</v>
      </c>
      <c r="BI622" s="1" t="s">
        <v>74</v>
      </c>
      <c r="BJ622" s="1" t="s">
        <v>74</v>
      </c>
      <c r="BK622" s="1" t="s">
        <v>74</v>
      </c>
      <c r="BL622" s="1" t="s">
        <v>74</v>
      </c>
      <c r="BM622" s="1" t="s">
        <v>74</v>
      </c>
      <c r="BN622" s="1" t="s">
        <v>74</v>
      </c>
      <c r="BO622" s="1" t="s">
        <v>74</v>
      </c>
      <c r="BP622" s="1" t="s">
        <v>74</v>
      </c>
      <c r="BQ622" s="1" t="s">
        <v>74</v>
      </c>
      <c r="BR622" s="1" t="s">
        <v>74</v>
      </c>
      <c r="BS622" s="1" t="s">
        <v>6375</v>
      </c>
      <c r="BT622" s="1" t="str">
        <f>HYPERLINK("https%3A%2F%2Fwww.webofscience.com%2Fwos%2Fwoscc%2Ffull-record%2FWOS:000637000500001","View Full Record in Web of Science")</f>
        <v>View Full Record in Web of Science</v>
      </c>
    </row>
    <row r="623" ht="12.75" customHeight="1">
      <c r="A623" s="1" t="s">
        <v>72</v>
      </c>
      <c r="B623" s="1" t="s">
        <v>6376</v>
      </c>
      <c r="C623" s="1" t="s">
        <v>74</v>
      </c>
      <c r="D623" s="1" t="s">
        <v>74</v>
      </c>
      <c r="E623" s="1" t="s">
        <v>74</v>
      </c>
      <c r="F623" s="1" t="s">
        <v>6377</v>
      </c>
      <c r="G623" s="1" t="s">
        <v>74</v>
      </c>
      <c r="H623" s="1" t="s">
        <v>74</v>
      </c>
      <c r="I623" s="1" t="s">
        <v>6378</v>
      </c>
      <c r="J623" s="1" t="s">
        <v>691</v>
      </c>
      <c r="K623" s="1" t="s">
        <v>74</v>
      </c>
      <c r="L623" s="1" t="s">
        <v>74</v>
      </c>
      <c r="M623" s="1" t="s">
        <v>74</v>
      </c>
      <c r="N623" s="1" t="s">
        <v>74</v>
      </c>
      <c r="O623" s="1" t="s">
        <v>74</v>
      </c>
      <c r="P623" s="1" t="s">
        <v>74</v>
      </c>
      <c r="Q623" s="1" t="s">
        <v>74</v>
      </c>
      <c r="R623" s="1" t="s">
        <v>74</v>
      </c>
      <c r="S623" s="1" t="s">
        <v>74</v>
      </c>
      <c r="T623" s="1" t="s">
        <v>74</v>
      </c>
      <c r="U623" s="1" t="s">
        <v>74</v>
      </c>
      <c r="V623" s="1" t="s">
        <v>6379</v>
      </c>
      <c r="W623" s="1" t="s">
        <v>74</v>
      </c>
      <c r="X623" s="1" t="s">
        <v>74</v>
      </c>
      <c r="Y623" s="1" t="s">
        <v>74</v>
      </c>
      <c r="Z623" s="1" t="s">
        <v>74</v>
      </c>
      <c r="AA623" s="1" t="s">
        <v>6380</v>
      </c>
      <c r="AB623" s="1" t="s">
        <v>6381</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74</v>
      </c>
      <c r="AP623" s="1" t="s">
        <v>694</v>
      </c>
      <c r="AQ623" s="1" t="s">
        <v>74</v>
      </c>
      <c r="AR623" s="1" t="s">
        <v>74</v>
      </c>
      <c r="AS623" s="1" t="s">
        <v>74</v>
      </c>
      <c r="AT623" s="1" t="s">
        <v>151</v>
      </c>
      <c r="AU623" s="1">
        <v>2020.0</v>
      </c>
      <c r="AV623" s="1">
        <v>10.0</v>
      </c>
      <c r="AW623" s="1">
        <v>20.0</v>
      </c>
      <c r="AX623" s="1" t="s">
        <v>74</v>
      </c>
      <c r="AY623" s="1" t="s">
        <v>74</v>
      </c>
      <c r="AZ623" s="1" t="s">
        <v>74</v>
      </c>
      <c r="BA623" s="1" t="s">
        <v>74</v>
      </c>
      <c r="BB623" s="1" t="s">
        <v>74</v>
      </c>
      <c r="BC623" s="1" t="s">
        <v>74</v>
      </c>
      <c r="BD623" s="1">
        <v>7199.0</v>
      </c>
      <c r="BE623" s="1" t="s">
        <v>6382</v>
      </c>
      <c r="BF623" s="2" t="str">
        <f>HYPERLINK("http://dx.doi.org/10.3390/app10207199","http://dx.doi.org/10.3390/app10207199")</f>
        <v>http://dx.doi.org/10.3390/app10207199</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6383</v>
      </c>
      <c r="BT623" s="1" t="str">
        <f>HYPERLINK("https%3A%2F%2Fwww.webofscience.com%2Fwos%2Fwoscc%2Ffull-record%2FWOS:000585361900001","View Full Record in Web of Science")</f>
        <v>View Full Record in Web of Science</v>
      </c>
    </row>
    <row r="624" ht="12.75" customHeight="1">
      <c r="A624" s="1" t="s">
        <v>72</v>
      </c>
      <c r="B624" s="1" t="s">
        <v>6384</v>
      </c>
      <c r="C624" s="1" t="s">
        <v>74</v>
      </c>
      <c r="D624" s="1" t="s">
        <v>74</v>
      </c>
      <c r="E624" s="1" t="s">
        <v>74</v>
      </c>
      <c r="F624" s="1" t="s">
        <v>6385</v>
      </c>
      <c r="G624" s="1" t="s">
        <v>74</v>
      </c>
      <c r="H624" s="1" t="s">
        <v>74</v>
      </c>
      <c r="I624" s="1" t="s">
        <v>6386</v>
      </c>
      <c r="J624" s="1" t="s">
        <v>1622</v>
      </c>
      <c r="K624" s="1" t="s">
        <v>74</v>
      </c>
      <c r="L624" s="1" t="s">
        <v>74</v>
      </c>
      <c r="M624" s="1" t="s">
        <v>74</v>
      </c>
      <c r="N624" s="1" t="s">
        <v>74</v>
      </c>
      <c r="O624" s="1" t="s">
        <v>74</v>
      </c>
      <c r="P624" s="1" t="s">
        <v>74</v>
      </c>
      <c r="Q624" s="1" t="s">
        <v>74</v>
      </c>
      <c r="R624" s="1" t="s">
        <v>74</v>
      </c>
      <c r="S624" s="1" t="s">
        <v>74</v>
      </c>
      <c r="T624" s="1" t="s">
        <v>74</v>
      </c>
      <c r="U624" s="1" t="s">
        <v>74</v>
      </c>
      <c r="V624" s="1" t="s">
        <v>6387</v>
      </c>
      <c r="W624" s="1" t="s">
        <v>74</v>
      </c>
      <c r="X624" s="1" t="s">
        <v>74</v>
      </c>
      <c r="Y624" s="1" t="s">
        <v>74</v>
      </c>
      <c r="Z624" s="1" t="s">
        <v>74</v>
      </c>
      <c r="AA624" s="1" t="s">
        <v>74</v>
      </c>
      <c r="AB624" s="1" t="s">
        <v>6388</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74</v>
      </c>
      <c r="AP624" s="1" t="s">
        <v>1627</v>
      </c>
      <c r="AQ624" s="1" t="s">
        <v>74</v>
      </c>
      <c r="AR624" s="1" t="s">
        <v>74</v>
      </c>
      <c r="AS624" s="1" t="s">
        <v>74</v>
      </c>
      <c r="AT624" s="1" t="s">
        <v>241</v>
      </c>
      <c r="AU624" s="1">
        <v>2020.0</v>
      </c>
      <c r="AV624" s="1">
        <v>21.0</v>
      </c>
      <c r="AW624" s="1">
        <v>18.0</v>
      </c>
      <c r="AX624" s="1" t="s">
        <v>74</v>
      </c>
      <c r="AY624" s="1" t="s">
        <v>74</v>
      </c>
      <c r="AZ624" s="1" t="s">
        <v>74</v>
      </c>
      <c r="BA624" s="1" t="s">
        <v>74</v>
      </c>
      <c r="BB624" s="1" t="s">
        <v>74</v>
      </c>
      <c r="BC624" s="1" t="s">
        <v>74</v>
      </c>
      <c r="BD624" s="1">
        <v>6940.0</v>
      </c>
      <c r="BE624" s="1" t="s">
        <v>6389</v>
      </c>
      <c r="BF624" s="2" t="str">
        <f>HYPERLINK("http://dx.doi.org/10.3390/ijms21186940","http://dx.doi.org/10.3390/ijms21186940")</f>
        <v>http://dx.doi.org/10.3390/ijms21186940</v>
      </c>
      <c r="BG624" s="1" t="s">
        <v>74</v>
      </c>
      <c r="BH624" s="1" t="s">
        <v>74</v>
      </c>
      <c r="BI624" s="1" t="s">
        <v>74</v>
      </c>
      <c r="BJ624" s="1" t="s">
        <v>74</v>
      </c>
      <c r="BK624" s="1" t="s">
        <v>74</v>
      </c>
      <c r="BL624" s="1" t="s">
        <v>74</v>
      </c>
      <c r="BM624" s="1" t="s">
        <v>74</v>
      </c>
      <c r="BN624" s="1">
        <v>3.2971737E7</v>
      </c>
      <c r="BO624" s="1" t="s">
        <v>74</v>
      </c>
      <c r="BP624" s="1" t="s">
        <v>74</v>
      </c>
      <c r="BQ624" s="1" t="s">
        <v>74</v>
      </c>
      <c r="BR624" s="1" t="s">
        <v>74</v>
      </c>
      <c r="BS624" s="1" t="s">
        <v>6390</v>
      </c>
      <c r="BT624" s="1" t="str">
        <f>HYPERLINK("https%3A%2F%2Fwww.webofscience.com%2Fwos%2Fwoscc%2Ffull-record%2FWOS:000580204400001","View Full Record in Web of Science")</f>
        <v>View Full Record in Web of Science</v>
      </c>
    </row>
    <row r="625" ht="12.75" customHeight="1">
      <c r="A625" s="1" t="s">
        <v>72</v>
      </c>
      <c r="B625" s="1" t="s">
        <v>6391</v>
      </c>
      <c r="C625" s="1" t="s">
        <v>74</v>
      </c>
      <c r="D625" s="1" t="s">
        <v>74</v>
      </c>
      <c r="E625" s="1" t="s">
        <v>74</v>
      </c>
      <c r="F625" s="1" t="s">
        <v>6392</v>
      </c>
      <c r="G625" s="1" t="s">
        <v>74</v>
      </c>
      <c r="H625" s="1" t="s">
        <v>74</v>
      </c>
      <c r="I625" s="1" t="s">
        <v>6393</v>
      </c>
      <c r="J625" s="1" t="s">
        <v>6394</v>
      </c>
      <c r="K625" s="1" t="s">
        <v>74</v>
      </c>
      <c r="L625" s="1" t="s">
        <v>74</v>
      </c>
      <c r="M625" s="1" t="s">
        <v>74</v>
      </c>
      <c r="N625" s="1" t="s">
        <v>74</v>
      </c>
      <c r="O625" s="1" t="s">
        <v>74</v>
      </c>
      <c r="P625" s="1" t="s">
        <v>74</v>
      </c>
      <c r="Q625" s="1" t="s">
        <v>74</v>
      </c>
      <c r="R625" s="1" t="s">
        <v>74</v>
      </c>
      <c r="S625" s="1" t="s">
        <v>74</v>
      </c>
      <c r="T625" s="1" t="s">
        <v>74</v>
      </c>
      <c r="U625" s="1" t="s">
        <v>74</v>
      </c>
      <c r="V625" s="1" t="s">
        <v>6395</v>
      </c>
      <c r="W625" s="1" t="s">
        <v>74</v>
      </c>
      <c r="X625" s="1" t="s">
        <v>74</v>
      </c>
      <c r="Y625" s="1" t="s">
        <v>74</v>
      </c>
      <c r="Z625" s="1" t="s">
        <v>74</v>
      </c>
      <c r="AA625" s="1" t="s">
        <v>6396</v>
      </c>
      <c r="AB625" s="1" t="s">
        <v>74</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6397</v>
      </c>
      <c r="AP625" s="1" t="s">
        <v>6398</v>
      </c>
      <c r="AQ625" s="1" t="s">
        <v>74</v>
      </c>
      <c r="AR625" s="1" t="s">
        <v>74</v>
      </c>
      <c r="AS625" s="1" t="s">
        <v>74</v>
      </c>
      <c r="AT625" s="1" t="s">
        <v>74</v>
      </c>
      <c r="AU625" s="1">
        <v>2020.0</v>
      </c>
      <c r="AV625" s="1">
        <v>18.0</v>
      </c>
      <c r="AW625" s="1">
        <v>1.0</v>
      </c>
      <c r="AX625" s="1" t="s">
        <v>74</v>
      </c>
      <c r="AY625" s="1" t="s">
        <v>74</v>
      </c>
      <c r="AZ625" s="1" t="s">
        <v>74</v>
      </c>
      <c r="BA625" s="1" t="s">
        <v>74</v>
      </c>
      <c r="BB625" s="1" t="s">
        <v>74</v>
      </c>
      <c r="BC625" s="1" t="s">
        <v>74</v>
      </c>
      <c r="BD625" s="1" t="s">
        <v>6399</v>
      </c>
      <c r="BE625" s="1" t="s">
        <v>6400</v>
      </c>
      <c r="BF625" s="2" t="str">
        <f>HYPERLINK("http://dx.doi.org/10.15517/pensarmov.v18i1.37753","http://dx.doi.org/10.15517/pensarmov.v18i1.37753")</f>
        <v>http://dx.doi.org/10.15517/pensarmov.v18i1.37753</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6401</v>
      </c>
      <c r="BT625" s="1" t="str">
        <f>HYPERLINK("https%3A%2F%2Fwww.webofscience.com%2Fwos%2Fwoscc%2Ffull-record%2FWOS:000577319700005","View Full Record in Web of Science")</f>
        <v>View Full Record in Web of Science</v>
      </c>
    </row>
    <row r="626" ht="12.75" customHeight="1">
      <c r="A626" s="1" t="s">
        <v>72</v>
      </c>
      <c r="B626" s="1" t="s">
        <v>6402</v>
      </c>
      <c r="C626" s="1" t="s">
        <v>74</v>
      </c>
      <c r="D626" s="1" t="s">
        <v>74</v>
      </c>
      <c r="E626" s="1" t="s">
        <v>74</v>
      </c>
      <c r="F626" s="1" t="s">
        <v>6403</v>
      </c>
      <c r="G626" s="1" t="s">
        <v>74</v>
      </c>
      <c r="H626" s="1" t="s">
        <v>74</v>
      </c>
      <c r="I626" s="1" t="s">
        <v>6404</v>
      </c>
      <c r="J626" s="1" t="s">
        <v>6405</v>
      </c>
      <c r="K626" s="1" t="s">
        <v>74</v>
      </c>
      <c r="L626" s="1" t="s">
        <v>74</v>
      </c>
      <c r="M626" s="1" t="s">
        <v>74</v>
      </c>
      <c r="N626" s="1" t="s">
        <v>74</v>
      </c>
      <c r="O626" s="1" t="s">
        <v>74</v>
      </c>
      <c r="P626" s="1" t="s">
        <v>74</v>
      </c>
      <c r="Q626" s="1" t="s">
        <v>74</v>
      </c>
      <c r="R626" s="1" t="s">
        <v>74</v>
      </c>
      <c r="S626" s="1" t="s">
        <v>74</v>
      </c>
      <c r="T626" s="1" t="s">
        <v>74</v>
      </c>
      <c r="U626" s="1" t="s">
        <v>74</v>
      </c>
      <c r="V626" s="1" t="s">
        <v>6406</v>
      </c>
      <c r="W626" s="1" t="s">
        <v>74</v>
      </c>
      <c r="X626" s="1" t="s">
        <v>74</v>
      </c>
      <c r="Y626" s="1" t="s">
        <v>74</v>
      </c>
      <c r="Z626" s="1" t="s">
        <v>74</v>
      </c>
      <c r="AA626" s="1" t="s">
        <v>6407</v>
      </c>
      <c r="AB626" s="1" t="s">
        <v>6408</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74</v>
      </c>
      <c r="AP626" s="1" t="s">
        <v>6409</v>
      </c>
      <c r="AQ626" s="1" t="s">
        <v>74</v>
      </c>
      <c r="AR626" s="1" t="s">
        <v>74</v>
      </c>
      <c r="AS626" s="1" t="s">
        <v>74</v>
      </c>
      <c r="AT626" s="1" t="s">
        <v>877</v>
      </c>
      <c r="AU626" s="1">
        <v>2019.0</v>
      </c>
      <c r="AV626" s="1">
        <v>2.0</v>
      </c>
      <c r="AW626" s="1" t="s">
        <v>6410</v>
      </c>
      <c r="AX626" s="1" t="s">
        <v>74</v>
      </c>
      <c r="AY626" s="1" t="s">
        <v>74</v>
      </c>
      <c r="AZ626" s="1" t="s">
        <v>1350</v>
      </c>
      <c r="BA626" s="1" t="s">
        <v>74</v>
      </c>
      <c r="BB626" s="1" t="s">
        <v>74</v>
      </c>
      <c r="BC626" s="1" t="s">
        <v>74</v>
      </c>
      <c r="BD626" s="1" t="s">
        <v>6411</v>
      </c>
      <c r="BE626" s="1" t="s">
        <v>6412</v>
      </c>
      <c r="BF626" s="2" t="str">
        <f>HYPERLINK("http://dx.doi.org/10.1002/qute.201800076","http://dx.doi.org/10.1002/qute.201800076")</f>
        <v>http://dx.doi.org/10.1002/qute.201800076</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6413</v>
      </c>
      <c r="BT626" s="1" t="str">
        <f>HYPERLINK("https%3A%2F%2Fwww.webofscience.com%2Fwos%2Fwoscc%2Ffull-record%2FWOS:000548079200003","View Full Record in Web of Science")</f>
        <v>View Full Record in Web of Science</v>
      </c>
    </row>
    <row r="627" ht="12.75" customHeight="1">
      <c r="A627" s="1" t="s">
        <v>72</v>
      </c>
      <c r="B627" s="1" t="s">
        <v>6414</v>
      </c>
      <c r="C627" s="1" t="s">
        <v>74</v>
      </c>
      <c r="D627" s="1" t="s">
        <v>74</v>
      </c>
      <c r="E627" s="1" t="s">
        <v>74</v>
      </c>
      <c r="F627" s="1" t="s">
        <v>6415</v>
      </c>
      <c r="G627" s="1" t="s">
        <v>74</v>
      </c>
      <c r="H627" s="1" t="s">
        <v>74</v>
      </c>
      <c r="I627" s="1" t="s">
        <v>6416</v>
      </c>
      <c r="J627" s="1" t="s">
        <v>6417</v>
      </c>
      <c r="K627" s="1" t="s">
        <v>74</v>
      </c>
      <c r="L627" s="1" t="s">
        <v>74</v>
      </c>
      <c r="M627" s="1" t="s">
        <v>74</v>
      </c>
      <c r="N627" s="1" t="s">
        <v>74</v>
      </c>
      <c r="O627" s="1" t="s">
        <v>74</v>
      </c>
      <c r="P627" s="1" t="s">
        <v>74</v>
      </c>
      <c r="Q627" s="1" t="s">
        <v>74</v>
      </c>
      <c r="R627" s="1" t="s">
        <v>74</v>
      </c>
      <c r="S627" s="1" t="s">
        <v>74</v>
      </c>
      <c r="T627" s="1" t="s">
        <v>74</v>
      </c>
      <c r="U627" s="1" t="s">
        <v>74</v>
      </c>
      <c r="V627" s="1" t="s">
        <v>6418</v>
      </c>
      <c r="W627" s="1" t="s">
        <v>74</v>
      </c>
      <c r="X627" s="1" t="s">
        <v>74</v>
      </c>
      <c r="Y627" s="1" t="s">
        <v>74</v>
      </c>
      <c r="Z627" s="1" t="s">
        <v>74</v>
      </c>
      <c r="AA627" s="1" t="s">
        <v>6419</v>
      </c>
      <c r="AB627" s="1" t="s">
        <v>6420</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6421</v>
      </c>
      <c r="AP627" s="1" t="s">
        <v>6422</v>
      </c>
      <c r="AQ627" s="1" t="s">
        <v>74</v>
      </c>
      <c r="AR627" s="1" t="s">
        <v>74</v>
      </c>
      <c r="AS627" s="1" t="s">
        <v>74</v>
      </c>
      <c r="AT627" s="1" t="s">
        <v>176</v>
      </c>
      <c r="AU627" s="1">
        <v>2017.0</v>
      </c>
      <c r="AV627" s="1">
        <v>102.0</v>
      </c>
      <c r="AW627" s="1" t="s">
        <v>74</v>
      </c>
      <c r="AX627" s="1" t="s">
        <v>74</v>
      </c>
      <c r="AY627" s="1" t="s">
        <v>74</v>
      </c>
      <c r="AZ627" s="1" t="s">
        <v>74</v>
      </c>
      <c r="BA627" s="1" t="s">
        <v>74</v>
      </c>
      <c r="BB627" s="1">
        <v>20.0</v>
      </c>
      <c r="BC627" s="1">
        <v>30.0</v>
      </c>
      <c r="BD627" s="1" t="s">
        <v>74</v>
      </c>
      <c r="BE627" s="1" t="s">
        <v>6423</v>
      </c>
      <c r="BF627" s="2" t="str">
        <f>HYPERLINK("http://dx.doi.org/10.1016/j.fbp.2016.11.005","http://dx.doi.org/10.1016/j.fbp.2016.11.005")</f>
        <v>http://dx.doi.org/10.1016/j.fbp.2016.11.005</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6424</v>
      </c>
      <c r="BT627" s="1" t="str">
        <f>HYPERLINK("https%3A%2F%2Fwww.webofscience.com%2Fwos%2Fwoscc%2Ffull-record%2FWOS:000397371500002","View Full Record in Web of Science")</f>
        <v>View Full Record in Web of Science</v>
      </c>
    </row>
    <row r="628" ht="12.75" customHeight="1">
      <c r="A628" s="1" t="s">
        <v>72</v>
      </c>
      <c r="B628" s="1" t="s">
        <v>6425</v>
      </c>
      <c r="C628" s="1" t="s">
        <v>74</v>
      </c>
      <c r="D628" s="1" t="s">
        <v>74</v>
      </c>
      <c r="E628" s="1" t="s">
        <v>74</v>
      </c>
      <c r="F628" s="1" t="s">
        <v>6426</v>
      </c>
      <c r="G628" s="1" t="s">
        <v>74</v>
      </c>
      <c r="H628" s="1" t="s">
        <v>74</v>
      </c>
      <c r="I628" s="1" t="s">
        <v>6427</v>
      </c>
      <c r="J628" s="1" t="s">
        <v>6428</v>
      </c>
      <c r="K628" s="1" t="s">
        <v>74</v>
      </c>
      <c r="L628" s="1" t="s">
        <v>74</v>
      </c>
      <c r="M628" s="1" t="s">
        <v>74</v>
      </c>
      <c r="N628" s="1" t="s">
        <v>74</v>
      </c>
      <c r="O628" s="1" t="s">
        <v>74</v>
      </c>
      <c r="P628" s="1" t="s">
        <v>74</v>
      </c>
      <c r="Q628" s="1" t="s">
        <v>74</v>
      </c>
      <c r="R628" s="1" t="s">
        <v>74</v>
      </c>
      <c r="S628" s="1" t="s">
        <v>74</v>
      </c>
      <c r="T628" s="1" t="s">
        <v>74</v>
      </c>
      <c r="U628" s="1" t="s">
        <v>74</v>
      </c>
      <c r="V628" s="1" t="s">
        <v>6429</v>
      </c>
      <c r="W628" s="1" t="s">
        <v>74</v>
      </c>
      <c r="X628" s="1" t="s">
        <v>74</v>
      </c>
      <c r="Y628" s="1" t="s">
        <v>74</v>
      </c>
      <c r="Z628" s="1" t="s">
        <v>74</v>
      </c>
      <c r="AA628" s="1" t="s">
        <v>6430</v>
      </c>
      <c r="AB628" s="1" t="s">
        <v>6431</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6432</v>
      </c>
      <c r="AP628" s="1" t="s">
        <v>6433</v>
      </c>
      <c r="AQ628" s="1" t="s">
        <v>74</v>
      </c>
      <c r="AR628" s="1" t="s">
        <v>74</v>
      </c>
      <c r="AS628" s="1" t="s">
        <v>74</v>
      </c>
      <c r="AT628" s="1" t="s">
        <v>6434</v>
      </c>
      <c r="AU628" s="1">
        <v>2016.0</v>
      </c>
      <c r="AV628" s="1">
        <v>315.0</v>
      </c>
      <c r="AW628" s="1" t="s">
        <v>74</v>
      </c>
      <c r="AX628" s="1" t="s">
        <v>74</v>
      </c>
      <c r="AY628" s="1" t="s">
        <v>74</v>
      </c>
      <c r="AZ628" s="1" t="s">
        <v>74</v>
      </c>
      <c r="BA628" s="1" t="s">
        <v>74</v>
      </c>
      <c r="BB628" s="1">
        <v>15.0</v>
      </c>
      <c r="BC628" s="1">
        <v>27.0</v>
      </c>
      <c r="BD628" s="1" t="s">
        <v>74</v>
      </c>
      <c r="BE628" s="1" t="s">
        <v>6435</v>
      </c>
      <c r="BF628" s="2" t="str">
        <f>HYPERLINK("http://dx.doi.org/10.1016/j.jvolgeores.2016.02.006","http://dx.doi.org/10.1016/j.jvolgeores.2016.02.006")</f>
        <v>http://dx.doi.org/10.1016/j.jvolgeores.2016.02.006</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6436</v>
      </c>
      <c r="BT628" s="1" t="str">
        <f>HYPERLINK("https%3A%2F%2Fwww.webofscience.com%2Fwos%2Fwoscc%2Ffull-record%2FWOS:000375813800002","View Full Record in Web of Science")</f>
        <v>View Full Record in Web of Science</v>
      </c>
    </row>
    <row r="629" ht="12.75" customHeight="1">
      <c r="A629" s="1" t="s">
        <v>72</v>
      </c>
      <c r="B629" s="1" t="s">
        <v>6437</v>
      </c>
      <c r="C629" s="1" t="s">
        <v>74</v>
      </c>
      <c r="D629" s="1" t="s">
        <v>74</v>
      </c>
      <c r="E629" s="1" t="s">
        <v>74</v>
      </c>
      <c r="F629" s="1" t="s">
        <v>6438</v>
      </c>
      <c r="G629" s="1" t="s">
        <v>74</v>
      </c>
      <c r="H629" s="1" t="s">
        <v>74</v>
      </c>
      <c r="I629" s="1" t="s">
        <v>6439</v>
      </c>
      <c r="J629" s="1" t="s">
        <v>6440</v>
      </c>
      <c r="K629" s="1" t="s">
        <v>74</v>
      </c>
      <c r="L629" s="1" t="s">
        <v>74</v>
      </c>
      <c r="M629" s="1" t="s">
        <v>74</v>
      </c>
      <c r="N629" s="1" t="s">
        <v>74</v>
      </c>
      <c r="O629" s="1" t="s">
        <v>74</v>
      </c>
      <c r="P629" s="1" t="s">
        <v>74</v>
      </c>
      <c r="Q629" s="1" t="s">
        <v>74</v>
      </c>
      <c r="R629" s="1" t="s">
        <v>74</v>
      </c>
      <c r="S629" s="1" t="s">
        <v>74</v>
      </c>
      <c r="T629" s="1" t="s">
        <v>74</v>
      </c>
      <c r="U629" s="1" t="s">
        <v>74</v>
      </c>
      <c r="V629" s="1" t="s">
        <v>6441</v>
      </c>
      <c r="W629" s="1" t="s">
        <v>74</v>
      </c>
      <c r="X629" s="1" t="s">
        <v>74</v>
      </c>
      <c r="Y629" s="1" t="s">
        <v>74</v>
      </c>
      <c r="Z629" s="1" t="s">
        <v>74</v>
      </c>
      <c r="AA629" s="1" t="s">
        <v>6442</v>
      </c>
      <c r="AB629" s="1" t="s">
        <v>6443</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6444</v>
      </c>
      <c r="AP629" s="1" t="s">
        <v>6445</v>
      </c>
      <c r="AQ629" s="1" t="s">
        <v>74</v>
      </c>
      <c r="AR629" s="1" t="s">
        <v>74</v>
      </c>
      <c r="AS629" s="1" t="s">
        <v>74</v>
      </c>
      <c r="AT629" s="1" t="s">
        <v>5636</v>
      </c>
      <c r="AU629" s="1">
        <v>2012.0</v>
      </c>
      <c r="AV629" s="1">
        <v>162.0</v>
      </c>
      <c r="AW629" s="1" t="s">
        <v>74</v>
      </c>
      <c r="AX629" s="1" t="s">
        <v>74</v>
      </c>
      <c r="AY629" s="1" t="s">
        <v>74</v>
      </c>
      <c r="AZ629" s="1" t="s">
        <v>74</v>
      </c>
      <c r="BA629" s="1" t="s">
        <v>74</v>
      </c>
      <c r="BB629" s="1">
        <v>189.0</v>
      </c>
      <c r="BC629" s="1">
        <v>198.0</v>
      </c>
      <c r="BD629" s="1" t="s">
        <v>74</v>
      </c>
      <c r="BE629" s="1" t="s">
        <v>6446</v>
      </c>
      <c r="BF629" s="2" t="str">
        <f>HYPERLINK("http://dx.doi.org/10.1016/j.micromeso.2012.06.038","http://dx.doi.org/10.1016/j.micromeso.2012.06.038")</f>
        <v>http://dx.doi.org/10.1016/j.micromeso.2012.06.038</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6447</v>
      </c>
      <c r="BT629" s="1" t="str">
        <f>HYPERLINK("https%3A%2F%2Fwww.webofscience.com%2Fwos%2Fwoscc%2Ffull-record%2FWOS:000308284800026","View Full Record in Web of Science")</f>
        <v>View Full Record in Web of Science</v>
      </c>
    </row>
    <row r="630" ht="12.75" customHeight="1">
      <c r="A630" s="1" t="s">
        <v>72</v>
      </c>
      <c r="B630" s="1" t="s">
        <v>6448</v>
      </c>
      <c r="C630" s="1" t="s">
        <v>74</v>
      </c>
      <c r="D630" s="1" t="s">
        <v>74</v>
      </c>
      <c r="E630" s="1" t="s">
        <v>74</v>
      </c>
      <c r="F630" s="1" t="s">
        <v>6449</v>
      </c>
      <c r="G630" s="1" t="s">
        <v>74</v>
      </c>
      <c r="H630" s="1" t="s">
        <v>74</v>
      </c>
      <c r="I630" s="1" t="s">
        <v>6450</v>
      </c>
      <c r="J630" s="1" t="s">
        <v>6246</v>
      </c>
      <c r="K630" s="1" t="s">
        <v>74</v>
      </c>
      <c r="L630" s="1" t="s">
        <v>74</v>
      </c>
      <c r="M630" s="1" t="s">
        <v>74</v>
      </c>
      <c r="N630" s="1" t="s">
        <v>74</v>
      </c>
      <c r="O630" s="1" t="s">
        <v>74</v>
      </c>
      <c r="P630" s="1" t="s">
        <v>74</v>
      </c>
      <c r="Q630" s="1" t="s">
        <v>74</v>
      </c>
      <c r="R630" s="1" t="s">
        <v>74</v>
      </c>
      <c r="S630" s="1" t="s">
        <v>74</v>
      </c>
      <c r="T630" s="1" t="s">
        <v>74</v>
      </c>
      <c r="U630" s="1" t="s">
        <v>74</v>
      </c>
      <c r="V630" s="1" t="s">
        <v>6451</v>
      </c>
      <c r="W630" s="1" t="s">
        <v>74</v>
      </c>
      <c r="X630" s="1" t="s">
        <v>74</v>
      </c>
      <c r="Y630" s="1" t="s">
        <v>74</v>
      </c>
      <c r="Z630" s="1" t="s">
        <v>74</v>
      </c>
      <c r="AA630" s="1" t="s">
        <v>6452</v>
      </c>
      <c r="AB630" s="1" t="s">
        <v>6453</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6250</v>
      </c>
      <c r="AP630" s="1" t="s">
        <v>6251</v>
      </c>
      <c r="AQ630" s="1" t="s">
        <v>74</v>
      </c>
      <c r="AR630" s="1" t="s">
        <v>74</v>
      </c>
      <c r="AS630" s="1" t="s">
        <v>74</v>
      </c>
      <c r="AT630" s="1" t="s">
        <v>151</v>
      </c>
      <c r="AU630" s="1">
        <v>2012.0</v>
      </c>
      <c r="AV630" s="1">
        <v>5.0</v>
      </c>
      <c r="AW630" s="1">
        <v>7.0</v>
      </c>
      <c r="AX630" s="1" t="s">
        <v>74</v>
      </c>
      <c r="AY630" s="1" t="s">
        <v>74</v>
      </c>
      <c r="AZ630" s="1" t="s">
        <v>74</v>
      </c>
      <c r="BA630" s="1" t="s">
        <v>74</v>
      </c>
      <c r="BB630" s="1">
        <v>2797.0</v>
      </c>
      <c r="BC630" s="1">
        <v>2804.0</v>
      </c>
      <c r="BD630" s="1" t="s">
        <v>74</v>
      </c>
      <c r="BE630" s="1" t="s">
        <v>6454</v>
      </c>
      <c r="BF630" s="2" t="str">
        <f>HYPERLINK("http://dx.doi.org/10.1007/s11947-011-0656-x","http://dx.doi.org/10.1007/s11947-011-0656-x")</f>
        <v>http://dx.doi.org/10.1007/s11947-011-0656-x</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6455</v>
      </c>
      <c r="BT630" s="1" t="str">
        <f>HYPERLINK("https%3A%2F%2Fwww.webofscience.com%2Fwos%2Fwoscc%2Ffull-record%2FWOS:000309869900017","View Full Record in Web of Science")</f>
        <v>View Full Record in Web of Science</v>
      </c>
    </row>
    <row r="631" ht="12.75" customHeight="1">
      <c r="A631" s="1" t="s">
        <v>72</v>
      </c>
      <c r="B631" s="1" t="s">
        <v>6456</v>
      </c>
      <c r="C631" s="1" t="s">
        <v>74</v>
      </c>
      <c r="D631" s="1" t="s">
        <v>74</v>
      </c>
      <c r="E631" s="1" t="s">
        <v>74</v>
      </c>
      <c r="F631" s="1" t="s">
        <v>6457</v>
      </c>
      <c r="G631" s="1" t="s">
        <v>74</v>
      </c>
      <c r="H631" s="1" t="s">
        <v>74</v>
      </c>
      <c r="I631" s="1" t="s">
        <v>6458</v>
      </c>
      <c r="J631" s="1" t="s">
        <v>6459</v>
      </c>
      <c r="K631" s="1" t="s">
        <v>74</v>
      </c>
      <c r="L631" s="1" t="s">
        <v>74</v>
      </c>
      <c r="M631" s="1" t="s">
        <v>74</v>
      </c>
      <c r="N631" s="1" t="s">
        <v>74</v>
      </c>
      <c r="O631" s="1" t="s">
        <v>74</v>
      </c>
      <c r="P631" s="1" t="s">
        <v>74</v>
      </c>
      <c r="Q631" s="1" t="s">
        <v>74</v>
      </c>
      <c r="R631" s="1" t="s">
        <v>74</v>
      </c>
      <c r="S631" s="1" t="s">
        <v>74</v>
      </c>
      <c r="T631" s="1" t="s">
        <v>74</v>
      </c>
      <c r="U631" s="1" t="s">
        <v>74</v>
      </c>
      <c r="V631" s="1" t="s">
        <v>6460</v>
      </c>
      <c r="W631" s="1" t="s">
        <v>74</v>
      </c>
      <c r="X631" s="1" t="s">
        <v>74</v>
      </c>
      <c r="Y631" s="1" t="s">
        <v>74</v>
      </c>
      <c r="Z631" s="1" t="s">
        <v>74</v>
      </c>
      <c r="AA631" s="1" t="s">
        <v>6461</v>
      </c>
      <c r="AB631" s="1" t="s">
        <v>5702</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6462</v>
      </c>
      <c r="AP631" s="1" t="s">
        <v>74</v>
      </c>
      <c r="AQ631" s="1" t="s">
        <v>74</v>
      </c>
      <c r="AR631" s="1" t="s">
        <v>74</v>
      </c>
      <c r="AS631" s="1" t="s">
        <v>74</v>
      </c>
      <c r="AT631" s="1" t="s">
        <v>74</v>
      </c>
      <c r="AU631" s="1">
        <v>2010.0</v>
      </c>
      <c r="AV631" s="1">
        <v>60.0</v>
      </c>
      <c r="AW631" s="1">
        <v>3.0</v>
      </c>
      <c r="AX631" s="1" t="s">
        <v>74</v>
      </c>
      <c r="AY631" s="1" t="s">
        <v>74</v>
      </c>
      <c r="AZ631" s="1" t="s">
        <v>74</v>
      </c>
      <c r="BA631" s="1" t="s">
        <v>74</v>
      </c>
      <c r="BB631" s="1">
        <v>233.0</v>
      </c>
      <c r="BC631" s="1">
        <v>242.0</v>
      </c>
      <c r="BD631" s="1" t="s">
        <v>74</v>
      </c>
      <c r="BE631" s="1" t="s">
        <v>74</v>
      </c>
      <c r="BF631" s="1" t="s">
        <v>74</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6463</v>
      </c>
      <c r="BT631" s="1" t="str">
        <f>HYPERLINK("https%3A%2F%2Fwww.webofscience.com%2Fwos%2Fwoscc%2Ffull-record%2FWOS:000286084400007","View Full Record in Web of Science")</f>
        <v>View Full Record in Web of Science</v>
      </c>
    </row>
    <row r="632" ht="12.75" customHeight="1">
      <c r="A632" s="1" t="s">
        <v>72</v>
      </c>
      <c r="B632" s="1" t="s">
        <v>6464</v>
      </c>
      <c r="C632" s="1" t="s">
        <v>74</v>
      </c>
      <c r="D632" s="1" t="s">
        <v>74</v>
      </c>
      <c r="E632" s="1" t="s">
        <v>74</v>
      </c>
      <c r="F632" s="1" t="s">
        <v>6465</v>
      </c>
      <c r="G632" s="1" t="s">
        <v>74</v>
      </c>
      <c r="H632" s="1" t="s">
        <v>74</v>
      </c>
      <c r="I632" s="1" t="s">
        <v>6466</v>
      </c>
      <c r="J632" s="1" t="s">
        <v>6467</v>
      </c>
      <c r="K632" s="1" t="s">
        <v>74</v>
      </c>
      <c r="L632" s="1" t="s">
        <v>74</v>
      </c>
      <c r="M632" s="1" t="s">
        <v>74</v>
      </c>
      <c r="N632" s="1" t="s">
        <v>74</v>
      </c>
      <c r="O632" s="1" t="s">
        <v>74</v>
      </c>
      <c r="P632" s="1" t="s">
        <v>74</v>
      </c>
      <c r="Q632" s="1" t="s">
        <v>74</v>
      </c>
      <c r="R632" s="1" t="s">
        <v>74</v>
      </c>
      <c r="S632" s="1" t="s">
        <v>74</v>
      </c>
      <c r="T632" s="1" t="s">
        <v>74</v>
      </c>
      <c r="U632" s="1" t="s">
        <v>74</v>
      </c>
      <c r="V632" s="1" t="s">
        <v>6468</v>
      </c>
      <c r="W632" s="1" t="s">
        <v>74</v>
      </c>
      <c r="X632" s="1" t="s">
        <v>74</v>
      </c>
      <c r="Y632" s="1" t="s">
        <v>74</v>
      </c>
      <c r="Z632" s="1" t="s">
        <v>74</v>
      </c>
      <c r="AA632" s="1" t="s">
        <v>6469</v>
      </c>
      <c r="AB632" s="1" t="s">
        <v>6470</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6471</v>
      </c>
      <c r="AP632" s="1" t="s">
        <v>6472</v>
      </c>
      <c r="AQ632" s="1" t="s">
        <v>74</v>
      </c>
      <c r="AR632" s="1" t="s">
        <v>74</v>
      </c>
      <c r="AS632" s="1" t="s">
        <v>74</v>
      </c>
      <c r="AT632" s="1" t="s">
        <v>5613</v>
      </c>
      <c r="AU632" s="1">
        <v>2009.0</v>
      </c>
      <c r="AV632" s="1">
        <v>139.0</v>
      </c>
      <c r="AW632" s="1">
        <v>1.0</v>
      </c>
      <c r="AX632" s="1" t="s">
        <v>74</v>
      </c>
      <c r="AY632" s="1" t="s">
        <v>74</v>
      </c>
      <c r="AZ632" s="1" t="s">
        <v>74</v>
      </c>
      <c r="BA632" s="1" t="s">
        <v>74</v>
      </c>
      <c r="BB632" s="1">
        <v>95.0</v>
      </c>
      <c r="BC632" s="1">
        <v>101.0</v>
      </c>
      <c r="BD632" s="1" t="s">
        <v>74</v>
      </c>
      <c r="BE632" s="1" t="s">
        <v>6473</v>
      </c>
      <c r="BF632" s="2" t="str">
        <f>HYPERLINK("http://dx.doi.org/10.1016/j.jbiotec.2008.09.009","http://dx.doi.org/10.1016/j.jbiotec.2008.09.009")</f>
        <v>http://dx.doi.org/10.1016/j.jbiotec.2008.09.009</v>
      </c>
      <c r="BG632" s="1" t="s">
        <v>74</v>
      </c>
      <c r="BH632" s="1" t="s">
        <v>74</v>
      </c>
      <c r="BI632" s="1" t="s">
        <v>74</v>
      </c>
      <c r="BJ632" s="1" t="s">
        <v>74</v>
      </c>
      <c r="BK632" s="1" t="s">
        <v>74</v>
      </c>
      <c r="BL632" s="1" t="s">
        <v>74</v>
      </c>
      <c r="BM632" s="1" t="s">
        <v>74</v>
      </c>
      <c r="BN632" s="1">
        <v>1.898402E7</v>
      </c>
      <c r="BO632" s="1" t="s">
        <v>74</v>
      </c>
      <c r="BP632" s="1" t="s">
        <v>74</v>
      </c>
      <c r="BQ632" s="1" t="s">
        <v>74</v>
      </c>
      <c r="BR632" s="1" t="s">
        <v>74</v>
      </c>
      <c r="BS632" s="1" t="s">
        <v>6474</v>
      </c>
      <c r="BT632" s="1" t="str">
        <f>HYPERLINK("https%3A%2F%2Fwww.webofscience.com%2Fwos%2Fwoscc%2Ffull-record%2FWOS:000262795600015","View Full Record in Web of Science")</f>
        <v>View Full Record in Web of Science</v>
      </c>
    </row>
    <row r="633" ht="12.75" customHeight="1">
      <c r="A633" s="1" t="s">
        <v>72</v>
      </c>
      <c r="B633" s="1" t="s">
        <v>6475</v>
      </c>
      <c r="C633" s="1" t="s">
        <v>74</v>
      </c>
      <c r="D633" s="1" t="s">
        <v>74</v>
      </c>
      <c r="E633" s="1" t="s">
        <v>74</v>
      </c>
      <c r="F633" s="1" t="s">
        <v>6476</v>
      </c>
      <c r="G633" s="1" t="s">
        <v>74</v>
      </c>
      <c r="H633" s="1" t="s">
        <v>74</v>
      </c>
      <c r="I633" s="1" t="s">
        <v>6477</v>
      </c>
      <c r="J633" s="1" t="s">
        <v>4908</v>
      </c>
      <c r="K633" s="1" t="s">
        <v>74</v>
      </c>
      <c r="L633" s="1" t="s">
        <v>74</v>
      </c>
      <c r="M633" s="1" t="s">
        <v>74</v>
      </c>
      <c r="N633" s="1" t="s">
        <v>74</v>
      </c>
      <c r="O633" s="1" t="s">
        <v>74</v>
      </c>
      <c r="P633" s="1" t="s">
        <v>74</v>
      </c>
      <c r="Q633" s="1" t="s">
        <v>74</v>
      </c>
      <c r="R633" s="1" t="s">
        <v>74</v>
      </c>
      <c r="S633" s="1" t="s">
        <v>74</v>
      </c>
      <c r="T633" s="1" t="s">
        <v>74</v>
      </c>
      <c r="U633" s="1" t="s">
        <v>74</v>
      </c>
      <c r="V633" s="1" t="s">
        <v>6478</v>
      </c>
      <c r="W633" s="1" t="s">
        <v>74</v>
      </c>
      <c r="X633" s="1" t="s">
        <v>74</v>
      </c>
      <c r="Y633" s="1" t="s">
        <v>74</v>
      </c>
      <c r="Z633" s="1" t="s">
        <v>74</v>
      </c>
      <c r="AA633" s="1" t="s">
        <v>6479</v>
      </c>
      <c r="AB633" s="1" t="s">
        <v>6480</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6481</v>
      </c>
      <c r="AP633" s="1" t="s">
        <v>6482</v>
      </c>
      <c r="AQ633" s="1" t="s">
        <v>74</v>
      </c>
      <c r="AR633" s="1" t="s">
        <v>74</v>
      </c>
      <c r="AS633" s="1" t="s">
        <v>74</v>
      </c>
      <c r="AT633" s="1" t="s">
        <v>974</v>
      </c>
      <c r="AU633" s="1">
        <v>2007.0</v>
      </c>
      <c r="AV633" s="1">
        <v>57.0</v>
      </c>
      <c r="AW633" s="1">
        <v>7.0</v>
      </c>
      <c r="AX633" s="1" t="s">
        <v>74</v>
      </c>
      <c r="AY633" s="1" t="s">
        <v>74</v>
      </c>
      <c r="AZ633" s="1" t="s">
        <v>74</v>
      </c>
      <c r="BA633" s="1" t="s">
        <v>74</v>
      </c>
      <c r="BB633" s="1">
        <v>845.0</v>
      </c>
      <c r="BC633" s="1">
        <v>855.0</v>
      </c>
      <c r="BD633" s="1" t="s">
        <v>74</v>
      </c>
      <c r="BE633" s="1" t="s">
        <v>6483</v>
      </c>
      <c r="BF633" s="2" t="str">
        <f>HYPERLINK("http://dx.doi.org/10.3155/1047-3289.57.7.845","http://dx.doi.org/10.3155/1047-3289.57.7.845")</f>
        <v>http://dx.doi.org/10.3155/1047-3289.57.7.845</v>
      </c>
      <c r="BG633" s="1" t="s">
        <v>74</v>
      </c>
      <c r="BH633" s="1" t="s">
        <v>74</v>
      </c>
      <c r="BI633" s="1" t="s">
        <v>74</v>
      </c>
      <c r="BJ633" s="1" t="s">
        <v>74</v>
      </c>
      <c r="BK633" s="1" t="s">
        <v>74</v>
      </c>
      <c r="BL633" s="1" t="s">
        <v>74</v>
      </c>
      <c r="BM633" s="1" t="s">
        <v>74</v>
      </c>
      <c r="BN633" s="1">
        <v>1.7688E7</v>
      </c>
      <c r="BO633" s="1" t="s">
        <v>74</v>
      </c>
      <c r="BP633" s="1" t="s">
        <v>74</v>
      </c>
      <c r="BQ633" s="1" t="s">
        <v>74</v>
      </c>
      <c r="BR633" s="1" t="s">
        <v>74</v>
      </c>
      <c r="BS633" s="1" t="s">
        <v>6484</v>
      </c>
      <c r="BT633" s="1" t="str">
        <f>HYPERLINK("https%3A%2F%2Fwww.webofscience.com%2Fwos%2Fwoscc%2Ffull-record%2FWOS:000247766200009","View Full Record in Web of Science")</f>
        <v>View Full Record in Web of Science</v>
      </c>
    </row>
    <row r="634" ht="12.75" customHeight="1">
      <c r="A634" s="1" t="s">
        <v>72</v>
      </c>
      <c r="B634" s="1" t="s">
        <v>6485</v>
      </c>
      <c r="C634" s="1" t="s">
        <v>74</v>
      </c>
      <c r="D634" s="1" t="s">
        <v>74</v>
      </c>
      <c r="E634" s="1" t="s">
        <v>74</v>
      </c>
      <c r="F634" s="1" t="s">
        <v>6486</v>
      </c>
      <c r="G634" s="1" t="s">
        <v>74</v>
      </c>
      <c r="H634" s="1" t="s">
        <v>74</v>
      </c>
      <c r="I634" s="1" t="s">
        <v>6487</v>
      </c>
      <c r="J634" s="1" t="s">
        <v>2172</v>
      </c>
      <c r="K634" s="1" t="s">
        <v>74</v>
      </c>
      <c r="L634" s="1" t="s">
        <v>74</v>
      </c>
      <c r="M634" s="1" t="s">
        <v>74</v>
      </c>
      <c r="N634" s="1" t="s">
        <v>74</v>
      </c>
      <c r="O634" s="1" t="s">
        <v>74</v>
      </c>
      <c r="P634" s="1" t="s">
        <v>74</v>
      </c>
      <c r="Q634" s="1" t="s">
        <v>74</v>
      </c>
      <c r="R634" s="1" t="s">
        <v>74</v>
      </c>
      <c r="S634" s="1" t="s">
        <v>74</v>
      </c>
      <c r="T634" s="1" t="s">
        <v>74</v>
      </c>
      <c r="U634" s="1" t="s">
        <v>74</v>
      </c>
      <c r="V634" s="1" t="s">
        <v>6488</v>
      </c>
      <c r="W634" s="1" t="s">
        <v>74</v>
      </c>
      <c r="X634" s="1" t="s">
        <v>74</v>
      </c>
      <c r="Y634" s="1" t="s">
        <v>74</v>
      </c>
      <c r="Z634" s="1" t="s">
        <v>74</v>
      </c>
      <c r="AA634" s="1" t="s">
        <v>6489</v>
      </c>
      <c r="AB634" s="1" t="s">
        <v>6490</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2176</v>
      </c>
      <c r="AP634" s="1" t="s">
        <v>2177</v>
      </c>
      <c r="AQ634" s="1" t="s">
        <v>74</v>
      </c>
      <c r="AR634" s="1" t="s">
        <v>74</v>
      </c>
      <c r="AS634" s="1" t="s">
        <v>74</v>
      </c>
      <c r="AT634" s="1" t="s">
        <v>308</v>
      </c>
      <c r="AU634" s="1">
        <v>2007.0</v>
      </c>
      <c r="AV634" s="1">
        <v>79.0</v>
      </c>
      <c r="AW634" s="1">
        <v>3.0</v>
      </c>
      <c r="AX634" s="1" t="s">
        <v>74</v>
      </c>
      <c r="AY634" s="1" t="s">
        <v>74</v>
      </c>
      <c r="AZ634" s="1" t="s">
        <v>74</v>
      </c>
      <c r="BA634" s="1" t="s">
        <v>74</v>
      </c>
      <c r="BB634" s="1">
        <v>989.0</v>
      </c>
      <c r="BC634" s="1">
        <v>997.0</v>
      </c>
      <c r="BD634" s="1" t="s">
        <v>74</v>
      </c>
      <c r="BE634" s="1" t="s">
        <v>6491</v>
      </c>
      <c r="BF634" s="2" t="str">
        <f>HYPERLINK("http://dx.doi.org/10.1016/j.jfoodeng.2006.03.020","http://dx.doi.org/10.1016/j.jfoodeng.2006.03.020")</f>
        <v>http://dx.doi.org/10.1016/j.jfoodeng.2006.03.020</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6492</v>
      </c>
      <c r="BT634" s="1" t="str">
        <f>HYPERLINK("https%3A%2F%2Fwww.webofscience.com%2Fwos%2Fwoscc%2Ffull-record%2FWOS:000242281200033","View Full Record in Web of Science")</f>
        <v>View Full Record in Web of Science</v>
      </c>
    </row>
    <row r="635" ht="12.75" customHeight="1">
      <c r="A635" s="1" t="s">
        <v>72</v>
      </c>
      <c r="B635" s="1" t="s">
        <v>6493</v>
      </c>
      <c r="C635" s="1" t="s">
        <v>74</v>
      </c>
      <c r="D635" s="1" t="s">
        <v>74</v>
      </c>
      <c r="E635" s="1" t="s">
        <v>74</v>
      </c>
      <c r="F635" s="1" t="s">
        <v>6494</v>
      </c>
      <c r="G635" s="1" t="s">
        <v>74</v>
      </c>
      <c r="H635" s="1" t="s">
        <v>74</v>
      </c>
      <c r="I635" s="1" t="s">
        <v>6495</v>
      </c>
      <c r="J635" s="1" t="s">
        <v>6496</v>
      </c>
      <c r="K635" s="1" t="s">
        <v>74</v>
      </c>
      <c r="L635" s="1" t="s">
        <v>74</v>
      </c>
      <c r="M635" s="1" t="s">
        <v>74</v>
      </c>
      <c r="N635" s="1" t="s">
        <v>74</v>
      </c>
      <c r="O635" s="1" t="s">
        <v>74</v>
      </c>
      <c r="P635" s="1" t="s">
        <v>74</v>
      </c>
      <c r="Q635" s="1" t="s">
        <v>74</v>
      </c>
      <c r="R635" s="1" t="s">
        <v>74</v>
      </c>
      <c r="S635" s="1" t="s">
        <v>74</v>
      </c>
      <c r="T635" s="1" t="s">
        <v>74</v>
      </c>
      <c r="U635" s="1" t="s">
        <v>74</v>
      </c>
      <c r="V635" s="1" t="s">
        <v>6497</v>
      </c>
      <c r="W635" s="1" t="s">
        <v>74</v>
      </c>
      <c r="X635" s="1" t="s">
        <v>74</v>
      </c>
      <c r="Y635" s="1" t="s">
        <v>74</v>
      </c>
      <c r="Z635" s="1" t="s">
        <v>74</v>
      </c>
      <c r="AA635" s="1" t="s">
        <v>6498</v>
      </c>
      <c r="AB635" s="1" t="s">
        <v>6499</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6500</v>
      </c>
      <c r="AP635" s="1" t="s">
        <v>6501</v>
      </c>
      <c r="AQ635" s="1" t="s">
        <v>74</v>
      </c>
      <c r="AR635" s="1" t="s">
        <v>74</v>
      </c>
      <c r="AS635" s="1" t="s">
        <v>74</v>
      </c>
      <c r="AT635" s="1" t="s">
        <v>176</v>
      </c>
      <c r="AU635" s="1">
        <v>2007.0</v>
      </c>
      <c r="AV635" s="1">
        <v>8.0</v>
      </c>
      <c r="AW635" s="1">
        <v>3.0</v>
      </c>
      <c r="AX635" s="1" t="s">
        <v>74</v>
      </c>
      <c r="AY635" s="1" t="s">
        <v>74</v>
      </c>
      <c r="AZ635" s="1" t="s">
        <v>74</v>
      </c>
      <c r="BA635" s="1" t="s">
        <v>74</v>
      </c>
      <c r="BB635" s="1">
        <v>285.0</v>
      </c>
      <c r="BC635" s="1">
        <v>288.0</v>
      </c>
      <c r="BD635" s="1" t="s">
        <v>74</v>
      </c>
      <c r="BE635" s="1" t="s">
        <v>6502</v>
      </c>
      <c r="BF635" s="2" t="str">
        <f>HYPERLINK("http://dx.doi.org/10.1016/j.catcom.2006.05.053","http://dx.doi.org/10.1016/j.catcom.2006.05.053")</f>
        <v>http://dx.doi.org/10.1016/j.catcom.2006.05.053</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6503</v>
      </c>
      <c r="BT635" s="1" t="str">
        <f>HYPERLINK("https%3A%2F%2Fwww.webofscience.com%2Fwos%2Fwoscc%2Ffull-record%2FWOS:000243163000014","View Full Record in Web of Science")</f>
        <v>View Full Record in Web of Science</v>
      </c>
    </row>
    <row r="636" ht="12.75" customHeight="1">
      <c r="A636" s="1" t="s">
        <v>72</v>
      </c>
      <c r="B636" s="1" t="s">
        <v>6504</v>
      </c>
      <c r="C636" s="1" t="s">
        <v>74</v>
      </c>
      <c r="D636" s="1" t="s">
        <v>74</v>
      </c>
      <c r="E636" s="1" t="s">
        <v>74</v>
      </c>
      <c r="F636" s="1" t="s">
        <v>6504</v>
      </c>
      <c r="G636" s="1" t="s">
        <v>74</v>
      </c>
      <c r="H636" s="1" t="s">
        <v>74</v>
      </c>
      <c r="I636" s="1" t="s">
        <v>6505</v>
      </c>
      <c r="J636" s="1" t="s">
        <v>749</v>
      </c>
      <c r="K636" s="1" t="s">
        <v>74</v>
      </c>
      <c r="L636" s="1" t="s">
        <v>74</v>
      </c>
      <c r="M636" s="1" t="s">
        <v>74</v>
      </c>
      <c r="N636" s="1" t="s">
        <v>74</v>
      </c>
      <c r="O636" s="1" t="s">
        <v>74</v>
      </c>
      <c r="P636" s="1" t="s">
        <v>74</v>
      </c>
      <c r="Q636" s="1" t="s">
        <v>74</v>
      </c>
      <c r="R636" s="1" t="s">
        <v>74</v>
      </c>
      <c r="S636" s="1" t="s">
        <v>74</v>
      </c>
      <c r="T636" s="1" t="s">
        <v>74</v>
      </c>
      <c r="U636" s="1" t="s">
        <v>74</v>
      </c>
      <c r="V636" s="1" t="s">
        <v>6506</v>
      </c>
      <c r="W636" s="1" t="s">
        <v>74</v>
      </c>
      <c r="X636" s="1" t="s">
        <v>74</v>
      </c>
      <c r="Y636" s="1" t="s">
        <v>74</v>
      </c>
      <c r="Z636" s="1" t="s">
        <v>74</v>
      </c>
      <c r="AA636" s="1" t="s">
        <v>5447</v>
      </c>
      <c r="AB636" s="1" t="s">
        <v>74</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753</v>
      </c>
      <c r="AP636" s="1" t="s">
        <v>74</v>
      </c>
      <c r="AQ636" s="1" t="s">
        <v>74</v>
      </c>
      <c r="AR636" s="1" t="s">
        <v>74</v>
      </c>
      <c r="AS636" s="1" t="s">
        <v>74</v>
      </c>
      <c r="AT636" s="1" t="s">
        <v>74</v>
      </c>
      <c r="AU636" s="1">
        <v>2006.0</v>
      </c>
      <c r="AV636" s="1">
        <v>8.0</v>
      </c>
      <c r="AW636" s="1">
        <v>2.0</v>
      </c>
      <c r="AX636" s="1" t="s">
        <v>74</v>
      </c>
      <c r="AY636" s="1" t="s">
        <v>74</v>
      </c>
      <c r="AZ636" s="1" t="s">
        <v>74</v>
      </c>
      <c r="BA636" s="1" t="s">
        <v>74</v>
      </c>
      <c r="BB636" s="1">
        <v>269.0</v>
      </c>
      <c r="BC636" s="1">
        <v>286.0</v>
      </c>
      <c r="BD636" s="1" t="s">
        <v>74</v>
      </c>
      <c r="BE636" s="1" t="s">
        <v>74</v>
      </c>
      <c r="BF636" s="1" t="s">
        <v>74</v>
      </c>
      <c r="BG636" s="1" t="s">
        <v>74</v>
      </c>
      <c r="BH636" s="1" t="s">
        <v>74</v>
      </c>
      <c r="BI636" s="1" t="s">
        <v>74</v>
      </c>
      <c r="BJ636" s="1" t="s">
        <v>74</v>
      </c>
      <c r="BK636" s="1" t="s">
        <v>74</v>
      </c>
      <c r="BL636" s="1" t="s">
        <v>74</v>
      </c>
      <c r="BM636" s="1" t="s">
        <v>74</v>
      </c>
      <c r="BN636" s="1" t="s">
        <v>74</v>
      </c>
      <c r="BO636" s="1" t="s">
        <v>74</v>
      </c>
      <c r="BP636" s="1" t="s">
        <v>74</v>
      </c>
      <c r="BQ636" s="1" t="s">
        <v>74</v>
      </c>
      <c r="BR636" s="1" t="s">
        <v>74</v>
      </c>
      <c r="BS636" s="1" t="s">
        <v>6507</v>
      </c>
      <c r="BT636" s="1" t="str">
        <f>HYPERLINK("https%3A%2F%2Fwww.webofscience.com%2Fwos%2Fwoscc%2Ffull-record%2FWOS:000237434800011","View Full Record in Web of Science")</f>
        <v>View Full Record in Web of Science</v>
      </c>
    </row>
    <row r="637" ht="12.75" customHeight="1">
      <c r="A637" s="1" t="s">
        <v>72</v>
      </c>
      <c r="B637" s="1" t="s">
        <v>6508</v>
      </c>
      <c r="C637" s="1" t="s">
        <v>74</v>
      </c>
      <c r="D637" s="1" t="s">
        <v>74</v>
      </c>
      <c r="E637" s="1" t="s">
        <v>74</v>
      </c>
      <c r="F637" s="1" t="s">
        <v>6508</v>
      </c>
      <c r="G637" s="1" t="s">
        <v>74</v>
      </c>
      <c r="H637" s="1" t="s">
        <v>74</v>
      </c>
      <c r="I637" s="1" t="s">
        <v>6509</v>
      </c>
      <c r="J637" s="1" t="s">
        <v>5688</v>
      </c>
      <c r="K637" s="1" t="s">
        <v>74</v>
      </c>
      <c r="L637" s="1" t="s">
        <v>74</v>
      </c>
      <c r="M637" s="1" t="s">
        <v>74</v>
      </c>
      <c r="N637" s="1" t="s">
        <v>74</v>
      </c>
      <c r="O637" s="1" t="s">
        <v>74</v>
      </c>
      <c r="P637" s="1" t="s">
        <v>74</v>
      </c>
      <c r="Q637" s="1" t="s">
        <v>74</v>
      </c>
      <c r="R637" s="1" t="s">
        <v>74</v>
      </c>
      <c r="S637" s="1" t="s">
        <v>74</v>
      </c>
      <c r="T637" s="1" t="s">
        <v>74</v>
      </c>
      <c r="U637" s="1" t="s">
        <v>74</v>
      </c>
      <c r="V637" s="1" t="s">
        <v>6510</v>
      </c>
      <c r="W637" s="1" t="s">
        <v>74</v>
      </c>
      <c r="X637" s="1" t="s">
        <v>74</v>
      </c>
      <c r="Y637" s="1" t="s">
        <v>74</v>
      </c>
      <c r="Z637" s="1" t="s">
        <v>74</v>
      </c>
      <c r="AA637" s="1" t="s">
        <v>6511</v>
      </c>
      <c r="AB637" s="1" t="s">
        <v>6512</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5692</v>
      </c>
      <c r="AP637" s="1" t="s">
        <v>5693</v>
      </c>
      <c r="AQ637" s="1" t="s">
        <v>74</v>
      </c>
      <c r="AR637" s="1" t="s">
        <v>74</v>
      </c>
      <c r="AS637" s="1" t="s">
        <v>74</v>
      </c>
      <c r="AT637" s="1" t="s">
        <v>94</v>
      </c>
      <c r="AU637" s="1">
        <v>2005.0</v>
      </c>
      <c r="AV637" s="1">
        <v>17.0</v>
      </c>
      <c r="AW637" s="1">
        <v>3.0</v>
      </c>
      <c r="AX637" s="1" t="s">
        <v>74</v>
      </c>
      <c r="AY637" s="1" t="s">
        <v>74</v>
      </c>
      <c r="AZ637" s="1" t="s">
        <v>74</v>
      </c>
      <c r="BA637" s="1" t="s">
        <v>74</v>
      </c>
      <c r="BB637" s="1">
        <v>245.0</v>
      </c>
      <c r="BC637" s="1">
        <v>253.0</v>
      </c>
      <c r="BD637" s="1" t="s">
        <v>74</v>
      </c>
      <c r="BE637" s="1" t="s">
        <v>6513</v>
      </c>
      <c r="BF637" s="2" t="str">
        <f>HYPERLINK("http://dx.doi.org/10.1007/s10811-005-3750-5","http://dx.doi.org/10.1007/s10811-005-3750-5")</f>
        <v>http://dx.doi.org/10.1007/s10811-005-3750-5</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6514</v>
      </c>
      <c r="BT637" s="1" t="str">
        <f>HYPERLINK("https%3A%2F%2Fwww.webofscience.com%2Fwos%2Fwoscc%2Ffull-record%2FWOS:000230355600007","View Full Record in Web of Science")</f>
        <v>View Full Record in Web of Science</v>
      </c>
    </row>
    <row r="638" ht="12.75" customHeight="1">
      <c r="A638" s="1" t="s">
        <v>72</v>
      </c>
      <c r="B638" s="1" t="s">
        <v>6515</v>
      </c>
      <c r="C638" s="1" t="s">
        <v>74</v>
      </c>
      <c r="D638" s="1" t="s">
        <v>74</v>
      </c>
      <c r="E638" s="1" t="s">
        <v>74</v>
      </c>
      <c r="F638" s="1" t="s">
        <v>6515</v>
      </c>
      <c r="G638" s="1" t="s">
        <v>74</v>
      </c>
      <c r="H638" s="1" t="s">
        <v>74</v>
      </c>
      <c r="I638" s="1" t="s">
        <v>6516</v>
      </c>
      <c r="J638" s="1" t="s">
        <v>6517</v>
      </c>
      <c r="K638" s="1" t="s">
        <v>74</v>
      </c>
      <c r="L638" s="1" t="s">
        <v>74</v>
      </c>
      <c r="M638" s="1" t="s">
        <v>74</v>
      </c>
      <c r="N638" s="1" t="s">
        <v>74</v>
      </c>
      <c r="O638" s="1" t="s">
        <v>74</v>
      </c>
      <c r="P638" s="1" t="s">
        <v>74</v>
      </c>
      <c r="Q638" s="1" t="s">
        <v>74</v>
      </c>
      <c r="R638" s="1" t="s">
        <v>74</v>
      </c>
      <c r="S638" s="1" t="s">
        <v>74</v>
      </c>
      <c r="T638" s="1" t="s">
        <v>74</v>
      </c>
      <c r="U638" s="1" t="s">
        <v>74</v>
      </c>
      <c r="V638" s="1" t="s">
        <v>6518</v>
      </c>
      <c r="W638" s="1" t="s">
        <v>74</v>
      </c>
      <c r="X638" s="1" t="s">
        <v>74</v>
      </c>
      <c r="Y638" s="1" t="s">
        <v>74</v>
      </c>
      <c r="Z638" s="1" t="s">
        <v>74</v>
      </c>
      <c r="AA638" s="1" t="s">
        <v>6519</v>
      </c>
      <c r="AB638" s="1" t="s">
        <v>74</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6520</v>
      </c>
      <c r="AP638" s="1" t="s">
        <v>74</v>
      </c>
      <c r="AQ638" s="1" t="s">
        <v>74</v>
      </c>
      <c r="AR638" s="1" t="s">
        <v>74</v>
      </c>
      <c r="AS638" s="1" t="s">
        <v>74</v>
      </c>
      <c r="AT638" s="1" t="s">
        <v>877</v>
      </c>
      <c r="AU638" s="1">
        <v>2002.0</v>
      </c>
      <c r="AV638" s="1">
        <v>21.0</v>
      </c>
      <c r="AW638" s="1">
        <v>6.0</v>
      </c>
      <c r="AX638" s="1" t="s">
        <v>74</v>
      </c>
      <c r="AY638" s="1" t="s">
        <v>74</v>
      </c>
      <c r="AZ638" s="1" t="s">
        <v>74</v>
      </c>
      <c r="BA638" s="1" t="s">
        <v>74</v>
      </c>
      <c r="BB638" s="1">
        <v>401.0</v>
      </c>
      <c r="BC638" s="1">
        <v>405.0</v>
      </c>
      <c r="BD638" s="1" t="s">
        <v>74</v>
      </c>
      <c r="BE638" s="1" t="s">
        <v>6521</v>
      </c>
      <c r="BF638" s="2" t="str">
        <f>HYPERLINK("http://dx.doi.org/10.1023/A:1021130516229","http://dx.doi.org/10.1023/A:1021130516229")</f>
        <v>http://dx.doi.org/10.1023/A:1021130516229</v>
      </c>
      <c r="BG638" s="1" t="s">
        <v>74</v>
      </c>
      <c r="BH638" s="1" t="s">
        <v>74</v>
      </c>
      <c r="BI638" s="1" t="s">
        <v>74</v>
      </c>
      <c r="BJ638" s="1" t="s">
        <v>74</v>
      </c>
      <c r="BK638" s="1" t="s">
        <v>74</v>
      </c>
      <c r="BL638" s="1" t="s">
        <v>74</v>
      </c>
      <c r="BM638" s="1" t="s">
        <v>74</v>
      </c>
      <c r="BN638" s="1">
        <v>1.249215E7</v>
      </c>
      <c r="BO638" s="1" t="s">
        <v>74</v>
      </c>
      <c r="BP638" s="1" t="s">
        <v>74</v>
      </c>
      <c r="BQ638" s="1" t="s">
        <v>74</v>
      </c>
      <c r="BR638" s="1" t="s">
        <v>74</v>
      </c>
      <c r="BS638" s="1" t="s">
        <v>6522</v>
      </c>
      <c r="BT638" s="1" t="str">
        <f>HYPERLINK("https%3A%2F%2Fwww.webofscience.com%2Fwos%2Fwoscc%2Ffull-record%2FWOS:000179359800004","View Full Record in Web of Science")</f>
        <v>View Full Record in Web of Science</v>
      </c>
    </row>
    <row r="639" ht="12.75" customHeight="1">
      <c r="A639" s="1" t="s">
        <v>72</v>
      </c>
      <c r="B639" s="1" t="s">
        <v>6523</v>
      </c>
      <c r="C639" s="1" t="s">
        <v>74</v>
      </c>
      <c r="D639" s="1" t="s">
        <v>74</v>
      </c>
      <c r="E639" s="1" t="s">
        <v>74</v>
      </c>
      <c r="F639" s="1" t="s">
        <v>6523</v>
      </c>
      <c r="G639" s="1" t="s">
        <v>74</v>
      </c>
      <c r="H639" s="1" t="s">
        <v>74</v>
      </c>
      <c r="I639" s="1" t="s">
        <v>6524</v>
      </c>
      <c r="J639" s="1" t="s">
        <v>6166</v>
      </c>
      <c r="K639" s="1" t="s">
        <v>74</v>
      </c>
      <c r="L639" s="1" t="s">
        <v>74</v>
      </c>
      <c r="M639" s="1" t="s">
        <v>74</v>
      </c>
      <c r="N639" s="1" t="s">
        <v>74</v>
      </c>
      <c r="O639" s="1" t="s">
        <v>74</v>
      </c>
      <c r="P639" s="1" t="s">
        <v>74</v>
      </c>
      <c r="Q639" s="1" t="s">
        <v>74</v>
      </c>
      <c r="R639" s="1" t="s">
        <v>74</v>
      </c>
      <c r="S639" s="1" t="s">
        <v>74</v>
      </c>
      <c r="T639" s="1" t="s">
        <v>74</v>
      </c>
      <c r="U639" s="1" t="s">
        <v>74</v>
      </c>
      <c r="V639" s="1" t="s">
        <v>6525</v>
      </c>
      <c r="W639" s="1" t="s">
        <v>74</v>
      </c>
      <c r="X639" s="1" t="s">
        <v>74</v>
      </c>
      <c r="Y639" s="1" t="s">
        <v>74</v>
      </c>
      <c r="Z639" s="1" t="s">
        <v>74</v>
      </c>
      <c r="AA639" s="1" t="s">
        <v>2671</v>
      </c>
      <c r="AB639" s="1" t="s">
        <v>6526</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6170</v>
      </c>
      <c r="AP639" s="1" t="s">
        <v>6171</v>
      </c>
      <c r="AQ639" s="1" t="s">
        <v>74</v>
      </c>
      <c r="AR639" s="1" t="s">
        <v>74</v>
      </c>
      <c r="AS639" s="1" t="s">
        <v>74</v>
      </c>
      <c r="AT639" s="1" t="s">
        <v>241</v>
      </c>
      <c r="AU639" s="1">
        <v>2001.0</v>
      </c>
      <c r="AV639" s="1">
        <v>64.0</v>
      </c>
      <c r="AW639" s="1">
        <v>9.0</v>
      </c>
      <c r="AX639" s="1" t="s">
        <v>74</v>
      </c>
      <c r="AY639" s="1" t="s">
        <v>74</v>
      </c>
      <c r="AZ639" s="1" t="s">
        <v>74</v>
      </c>
      <c r="BA639" s="1" t="s">
        <v>74</v>
      </c>
      <c r="BB639" s="1">
        <v>1123.0</v>
      </c>
      <c r="BC639" s="1">
        <v>1126.0</v>
      </c>
      <c r="BD639" s="1" t="s">
        <v>74</v>
      </c>
      <c r="BE639" s="1" t="s">
        <v>6527</v>
      </c>
      <c r="BF639" s="2" t="str">
        <f>HYPERLINK("http://dx.doi.org/10.1021/np000608l","http://dx.doi.org/10.1021/np000608l")</f>
        <v>http://dx.doi.org/10.1021/np000608l</v>
      </c>
      <c r="BG639" s="1" t="s">
        <v>74</v>
      </c>
      <c r="BH639" s="1" t="s">
        <v>74</v>
      </c>
      <c r="BI639" s="1" t="s">
        <v>74</v>
      </c>
      <c r="BJ639" s="1" t="s">
        <v>74</v>
      </c>
      <c r="BK639" s="1" t="s">
        <v>74</v>
      </c>
      <c r="BL639" s="1" t="s">
        <v>74</v>
      </c>
      <c r="BM639" s="1" t="s">
        <v>74</v>
      </c>
      <c r="BN639" s="1">
        <v>1.1575941E7</v>
      </c>
      <c r="BO639" s="1" t="s">
        <v>74</v>
      </c>
      <c r="BP639" s="1" t="s">
        <v>74</v>
      </c>
      <c r="BQ639" s="1" t="s">
        <v>74</v>
      </c>
      <c r="BR639" s="1" t="s">
        <v>74</v>
      </c>
      <c r="BS639" s="1" t="s">
        <v>6528</v>
      </c>
      <c r="BT639" s="1" t="str">
        <f>HYPERLINK("https%3A%2F%2Fwww.webofscience.com%2Fwos%2Fwoscc%2Ffull-record%2FWOS:000171427100001","View Full Record in Web of Science")</f>
        <v>View Full Record in Web of Science</v>
      </c>
    </row>
    <row r="640" ht="12.75" customHeight="1">
      <c r="A640" s="1" t="s">
        <v>72</v>
      </c>
      <c r="B640" s="1" t="s">
        <v>6529</v>
      </c>
      <c r="C640" s="1" t="s">
        <v>74</v>
      </c>
      <c r="D640" s="1" t="s">
        <v>74</v>
      </c>
      <c r="E640" s="1" t="s">
        <v>74</v>
      </c>
      <c r="F640" s="1" t="s">
        <v>6529</v>
      </c>
      <c r="G640" s="1" t="s">
        <v>74</v>
      </c>
      <c r="H640" s="1" t="s">
        <v>74</v>
      </c>
      <c r="I640" s="1" t="s">
        <v>6530</v>
      </c>
      <c r="J640" s="1" t="s">
        <v>6531</v>
      </c>
      <c r="K640" s="1" t="s">
        <v>74</v>
      </c>
      <c r="L640" s="1" t="s">
        <v>74</v>
      </c>
      <c r="M640" s="1" t="s">
        <v>74</v>
      </c>
      <c r="N640" s="1" t="s">
        <v>74</v>
      </c>
      <c r="O640" s="1" t="s">
        <v>74</v>
      </c>
      <c r="P640" s="1" t="s">
        <v>74</v>
      </c>
      <c r="Q640" s="1" t="s">
        <v>74</v>
      </c>
      <c r="R640" s="1" t="s">
        <v>74</v>
      </c>
      <c r="S640" s="1" t="s">
        <v>74</v>
      </c>
      <c r="T640" s="1" t="s">
        <v>74</v>
      </c>
      <c r="U640" s="1" t="s">
        <v>74</v>
      </c>
      <c r="V640" s="1" t="s">
        <v>6532</v>
      </c>
      <c r="W640" s="1" t="s">
        <v>74</v>
      </c>
      <c r="X640" s="1" t="s">
        <v>74</v>
      </c>
      <c r="Y640" s="1" t="s">
        <v>74</v>
      </c>
      <c r="Z640" s="1" t="s">
        <v>74</v>
      </c>
      <c r="AA640" s="1" t="s">
        <v>74</v>
      </c>
      <c r="AB640" s="1" t="s">
        <v>74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6533</v>
      </c>
      <c r="AP640" s="1" t="s">
        <v>74</v>
      </c>
      <c r="AQ640" s="1" t="s">
        <v>74</v>
      </c>
      <c r="AR640" s="1" t="s">
        <v>74</v>
      </c>
      <c r="AS640" s="1" t="s">
        <v>74</v>
      </c>
      <c r="AT640" s="1" t="s">
        <v>74</v>
      </c>
      <c r="AU640" s="1">
        <v>2000.0</v>
      </c>
      <c r="AV640" s="1">
        <v>215.0</v>
      </c>
      <c r="AW640" s="1">
        <v>3.0</v>
      </c>
      <c r="AX640" s="1" t="s">
        <v>74</v>
      </c>
      <c r="AY640" s="1" t="s">
        <v>74</v>
      </c>
      <c r="AZ640" s="1" t="s">
        <v>74</v>
      </c>
      <c r="BA640" s="1" t="s">
        <v>74</v>
      </c>
      <c r="BB640" s="1">
        <v>409.0</v>
      </c>
      <c r="BC640" s="1">
        <v>410.0</v>
      </c>
      <c r="BD640" s="1" t="s">
        <v>74</v>
      </c>
      <c r="BE640" s="1" t="s">
        <v>74</v>
      </c>
      <c r="BF640" s="1" t="s">
        <v>74</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6534</v>
      </c>
      <c r="BT640" s="1" t="str">
        <f>HYPERLINK("https%3A%2F%2Fwww.webofscience.com%2Fwos%2Fwoscc%2Ffull-record%2FWOS:000088244800050","View Full Record in Web of Science")</f>
        <v>View Full Record in Web of Science</v>
      </c>
    </row>
    <row r="641" ht="12.75" customHeight="1">
      <c r="A641" s="1" t="s">
        <v>72</v>
      </c>
      <c r="B641" s="1" t="s">
        <v>6535</v>
      </c>
      <c r="C641" s="1" t="s">
        <v>74</v>
      </c>
      <c r="D641" s="1" t="s">
        <v>74</v>
      </c>
      <c r="E641" s="1" t="s">
        <v>74</v>
      </c>
      <c r="F641" s="1" t="s">
        <v>6536</v>
      </c>
      <c r="G641" s="1" t="s">
        <v>74</v>
      </c>
      <c r="H641" s="1" t="s">
        <v>74</v>
      </c>
      <c r="I641" s="1" t="s">
        <v>6537</v>
      </c>
      <c r="J641" s="1" t="s">
        <v>6538</v>
      </c>
      <c r="K641" s="1" t="s">
        <v>74</v>
      </c>
      <c r="L641" s="1" t="s">
        <v>74</v>
      </c>
      <c r="M641" s="1" t="s">
        <v>74</v>
      </c>
      <c r="N641" s="1" t="s">
        <v>74</v>
      </c>
      <c r="O641" s="1" t="s">
        <v>74</v>
      </c>
      <c r="P641" s="1" t="s">
        <v>74</v>
      </c>
      <c r="Q641" s="1" t="s">
        <v>74</v>
      </c>
      <c r="R641" s="1" t="s">
        <v>74</v>
      </c>
      <c r="S641" s="1" t="s">
        <v>74</v>
      </c>
      <c r="T641" s="1" t="s">
        <v>74</v>
      </c>
      <c r="U641" s="1" t="s">
        <v>74</v>
      </c>
      <c r="V641" s="1" t="s">
        <v>6539</v>
      </c>
      <c r="W641" s="1" t="s">
        <v>74</v>
      </c>
      <c r="X641" s="1" t="s">
        <v>74</v>
      </c>
      <c r="Y641" s="1" t="s">
        <v>74</v>
      </c>
      <c r="Z641" s="1" t="s">
        <v>74</v>
      </c>
      <c r="AA641" s="1" t="s">
        <v>6540</v>
      </c>
      <c r="AB641" s="1" t="s">
        <v>6541</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74</v>
      </c>
      <c r="AP641" s="1" t="s">
        <v>6542</v>
      </c>
      <c r="AQ641" s="1" t="s">
        <v>74</v>
      </c>
      <c r="AR641" s="1" t="s">
        <v>74</v>
      </c>
      <c r="AS641" s="1" t="s">
        <v>74</v>
      </c>
      <c r="AT641" s="1" t="s">
        <v>275</v>
      </c>
      <c r="AU641" s="1">
        <v>2025.0</v>
      </c>
      <c r="AV641" s="1">
        <v>15.0</v>
      </c>
      <c r="AW641" s="1">
        <v>6.0</v>
      </c>
      <c r="AX641" s="1" t="s">
        <v>74</v>
      </c>
      <c r="AY641" s="1" t="s">
        <v>74</v>
      </c>
      <c r="AZ641" s="1" t="s">
        <v>74</v>
      </c>
      <c r="BA641" s="1" t="s">
        <v>74</v>
      </c>
      <c r="BB641" s="1">
        <v>4079.0</v>
      </c>
      <c r="BC641" s="1">
        <v>4085.0</v>
      </c>
      <c r="BD641" s="1" t="s">
        <v>74</v>
      </c>
      <c r="BE641" s="1" t="s">
        <v>6543</v>
      </c>
      <c r="BF641" s="2" t="str">
        <f>HYPERLINK("http://dx.doi.org/10.1039/d4ra06781a","http://dx.doi.org/10.1039/d4ra06781a")</f>
        <v>http://dx.doi.org/10.1039/d4ra06781a</v>
      </c>
      <c r="BG641" s="1" t="s">
        <v>74</v>
      </c>
      <c r="BH641" s="1" t="s">
        <v>74</v>
      </c>
      <c r="BI641" s="1" t="s">
        <v>74</v>
      </c>
      <c r="BJ641" s="1" t="s">
        <v>74</v>
      </c>
      <c r="BK641" s="1" t="s">
        <v>74</v>
      </c>
      <c r="BL641" s="1" t="s">
        <v>74</v>
      </c>
      <c r="BM641" s="1" t="s">
        <v>74</v>
      </c>
      <c r="BN641" s="1">
        <v>3.9926245E7</v>
      </c>
      <c r="BO641" s="1" t="s">
        <v>74</v>
      </c>
      <c r="BP641" s="1" t="s">
        <v>74</v>
      </c>
      <c r="BQ641" s="1" t="s">
        <v>74</v>
      </c>
      <c r="BR641" s="1" t="s">
        <v>74</v>
      </c>
      <c r="BS641" s="1" t="s">
        <v>6544</v>
      </c>
      <c r="BT641" s="1" t="str">
        <f>HYPERLINK("https%3A%2F%2Fwww.webofscience.com%2Fwos%2Fwoscc%2Ffull-record%2FWOS:001414104300001","View Full Record in Web of Science")</f>
        <v>View Full Record in Web of Science</v>
      </c>
    </row>
    <row r="642" ht="12.75" customHeight="1">
      <c r="A642" s="1" t="s">
        <v>72</v>
      </c>
      <c r="B642" s="1" t="s">
        <v>6545</v>
      </c>
      <c r="C642" s="1" t="s">
        <v>74</v>
      </c>
      <c r="D642" s="1" t="s">
        <v>74</v>
      </c>
      <c r="E642" s="1" t="s">
        <v>74</v>
      </c>
      <c r="F642" s="1" t="s">
        <v>6546</v>
      </c>
      <c r="G642" s="1" t="s">
        <v>74</v>
      </c>
      <c r="H642" s="1" t="s">
        <v>74</v>
      </c>
      <c r="I642" s="1" t="s">
        <v>6547</v>
      </c>
      <c r="J642" s="1" t="s">
        <v>6548</v>
      </c>
      <c r="K642" s="1" t="s">
        <v>74</v>
      </c>
      <c r="L642" s="1" t="s">
        <v>74</v>
      </c>
      <c r="M642" s="1" t="s">
        <v>74</v>
      </c>
      <c r="N642" s="1" t="s">
        <v>74</v>
      </c>
      <c r="O642" s="1" t="s">
        <v>74</v>
      </c>
      <c r="P642" s="1" t="s">
        <v>74</v>
      </c>
      <c r="Q642" s="1" t="s">
        <v>74</v>
      </c>
      <c r="R642" s="1" t="s">
        <v>74</v>
      </c>
      <c r="S642" s="1" t="s">
        <v>74</v>
      </c>
      <c r="T642" s="1" t="s">
        <v>74</v>
      </c>
      <c r="U642" s="1" t="s">
        <v>74</v>
      </c>
      <c r="V642" s="1" t="s">
        <v>6549</v>
      </c>
      <c r="W642" s="1" t="s">
        <v>74</v>
      </c>
      <c r="X642" s="1" t="s">
        <v>74</v>
      </c>
      <c r="Y642" s="1" t="s">
        <v>74</v>
      </c>
      <c r="Z642" s="1" t="s">
        <v>74</v>
      </c>
      <c r="AA642" s="1" t="s">
        <v>6550</v>
      </c>
      <c r="AB642" s="1" t="s">
        <v>6551</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74</v>
      </c>
      <c r="AP642" s="1" t="s">
        <v>6552</v>
      </c>
      <c r="AQ642" s="1" t="s">
        <v>74</v>
      </c>
      <c r="AR642" s="1" t="s">
        <v>74</v>
      </c>
      <c r="AS642" s="1" t="s">
        <v>74</v>
      </c>
      <c r="AT642" s="1" t="s">
        <v>6553</v>
      </c>
      <c r="AU642" s="1">
        <v>2024.0</v>
      </c>
      <c r="AV642" s="1">
        <v>9.0</v>
      </c>
      <c r="AW642" s="1">
        <v>12.0</v>
      </c>
      <c r="AX642" s="1" t="s">
        <v>74</v>
      </c>
      <c r="AY642" s="1" t="s">
        <v>74</v>
      </c>
      <c r="AZ642" s="1" t="s">
        <v>74</v>
      </c>
      <c r="BA642" s="1" t="s">
        <v>74</v>
      </c>
      <c r="BB642" s="1" t="s">
        <v>74</v>
      </c>
      <c r="BC642" s="1" t="s">
        <v>74</v>
      </c>
      <c r="BD642" s="1" t="s">
        <v>74</v>
      </c>
      <c r="BE642" s="1" t="s">
        <v>6554</v>
      </c>
      <c r="BF642" s="2" t="str">
        <f>HYPERLINK("http://dx.doi.org/10.1128/msystems.00762-24","http://dx.doi.org/10.1128/msystems.00762-24")</f>
        <v>http://dx.doi.org/10.1128/msystems.00762-24</v>
      </c>
      <c r="BG642" s="1" t="s">
        <v>74</v>
      </c>
      <c r="BH642" s="1" t="s">
        <v>2725</v>
      </c>
      <c r="BI642" s="1" t="s">
        <v>74</v>
      </c>
      <c r="BJ642" s="1" t="s">
        <v>74</v>
      </c>
      <c r="BK642" s="1" t="s">
        <v>74</v>
      </c>
      <c r="BL642" s="1" t="s">
        <v>74</v>
      </c>
      <c r="BM642" s="1" t="s">
        <v>74</v>
      </c>
      <c r="BN642" s="1">
        <v>3.9530669E7</v>
      </c>
      <c r="BO642" s="1" t="s">
        <v>74</v>
      </c>
      <c r="BP642" s="1" t="s">
        <v>74</v>
      </c>
      <c r="BQ642" s="1" t="s">
        <v>74</v>
      </c>
      <c r="BR642" s="1" t="s">
        <v>74</v>
      </c>
      <c r="BS642" s="1" t="s">
        <v>6555</v>
      </c>
      <c r="BT642" s="1" t="str">
        <f>HYPERLINK("https%3A%2F%2Fwww.webofscience.com%2Fwos%2Fwoscc%2Ffull-record%2FWOS:001353229400001","View Full Record in Web of Science")</f>
        <v>View Full Record in Web of Science</v>
      </c>
    </row>
    <row r="643" ht="12.75" customHeight="1">
      <c r="A643" s="1" t="s">
        <v>72</v>
      </c>
      <c r="B643" s="1" t="s">
        <v>6556</v>
      </c>
      <c r="C643" s="1" t="s">
        <v>74</v>
      </c>
      <c r="D643" s="1" t="s">
        <v>74</v>
      </c>
      <c r="E643" s="1" t="s">
        <v>74</v>
      </c>
      <c r="F643" s="1" t="s">
        <v>6557</v>
      </c>
      <c r="G643" s="1" t="s">
        <v>74</v>
      </c>
      <c r="H643" s="1" t="s">
        <v>74</v>
      </c>
      <c r="I643" s="1" t="s">
        <v>6558</v>
      </c>
      <c r="J643" s="1" t="s">
        <v>2487</v>
      </c>
      <c r="K643" s="1" t="s">
        <v>74</v>
      </c>
      <c r="L643" s="1" t="s">
        <v>74</v>
      </c>
      <c r="M643" s="1" t="s">
        <v>74</v>
      </c>
      <c r="N643" s="1" t="s">
        <v>74</v>
      </c>
      <c r="O643" s="1" t="s">
        <v>74</v>
      </c>
      <c r="P643" s="1" t="s">
        <v>74</v>
      </c>
      <c r="Q643" s="1" t="s">
        <v>74</v>
      </c>
      <c r="R643" s="1" t="s">
        <v>74</v>
      </c>
      <c r="S643" s="1" t="s">
        <v>74</v>
      </c>
      <c r="T643" s="1" t="s">
        <v>74</v>
      </c>
      <c r="U643" s="1" t="s">
        <v>74</v>
      </c>
      <c r="V643" s="1" t="s">
        <v>74</v>
      </c>
      <c r="W643" s="1" t="s">
        <v>74</v>
      </c>
      <c r="X643" s="1" t="s">
        <v>74</v>
      </c>
      <c r="Y643" s="1" t="s">
        <v>74</v>
      </c>
      <c r="Z643" s="1" t="s">
        <v>74</v>
      </c>
      <c r="AA643" s="1" t="s">
        <v>6559</v>
      </c>
      <c r="AB643" s="1" t="s">
        <v>74</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74</v>
      </c>
      <c r="AP643" s="1" t="s">
        <v>2491</v>
      </c>
      <c r="AQ643" s="1" t="s">
        <v>74</v>
      </c>
      <c r="AR643" s="1" t="s">
        <v>74</v>
      </c>
      <c r="AS643" s="1" t="s">
        <v>74</v>
      </c>
      <c r="AT643" s="1" t="s">
        <v>6560</v>
      </c>
      <c r="AU643" s="1">
        <v>2024.0</v>
      </c>
      <c r="AV643" s="1">
        <v>15.0</v>
      </c>
      <c r="AW643" s="1" t="s">
        <v>74</v>
      </c>
      <c r="AX643" s="1" t="s">
        <v>74</v>
      </c>
      <c r="AY643" s="1" t="s">
        <v>74</v>
      </c>
      <c r="AZ643" s="1" t="s">
        <v>74</v>
      </c>
      <c r="BA643" s="1" t="s">
        <v>74</v>
      </c>
      <c r="BB643" s="1" t="s">
        <v>74</v>
      </c>
      <c r="BC643" s="1" t="s">
        <v>74</v>
      </c>
      <c r="BD643" s="1">
        <v>1484339.0</v>
      </c>
      <c r="BE643" s="1" t="s">
        <v>6561</v>
      </c>
      <c r="BF643" s="2" t="str">
        <f>HYPERLINK("http://dx.doi.org/10.3389/fphar.2024.1484339","http://dx.doi.org/10.3389/fphar.2024.1484339")</f>
        <v>http://dx.doi.org/10.3389/fphar.2024.1484339</v>
      </c>
      <c r="BG643" s="1" t="s">
        <v>74</v>
      </c>
      <c r="BH643" s="1" t="s">
        <v>74</v>
      </c>
      <c r="BI643" s="1" t="s">
        <v>74</v>
      </c>
      <c r="BJ643" s="1" t="s">
        <v>74</v>
      </c>
      <c r="BK643" s="1" t="s">
        <v>74</v>
      </c>
      <c r="BL643" s="1" t="s">
        <v>74</v>
      </c>
      <c r="BM643" s="1" t="s">
        <v>74</v>
      </c>
      <c r="BN643" s="1">
        <v>3.9290863E7</v>
      </c>
      <c r="BO643" s="1" t="s">
        <v>74</v>
      </c>
      <c r="BP643" s="1" t="s">
        <v>74</v>
      </c>
      <c r="BQ643" s="1" t="s">
        <v>74</v>
      </c>
      <c r="BR643" s="1" t="s">
        <v>74</v>
      </c>
      <c r="BS643" s="1" t="s">
        <v>6562</v>
      </c>
      <c r="BT643" s="1" t="str">
        <f>HYPERLINK("https%3A%2F%2Fwww.webofscience.com%2Fwos%2Fwoscc%2Ffull-record%2FWOS:001314342400001","View Full Record in Web of Science")</f>
        <v>View Full Record in Web of Science</v>
      </c>
    </row>
    <row r="644" ht="12.75" customHeight="1">
      <c r="A644" s="1" t="s">
        <v>72</v>
      </c>
      <c r="B644" s="1" t="s">
        <v>6563</v>
      </c>
      <c r="C644" s="1" t="s">
        <v>74</v>
      </c>
      <c r="D644" s="1" t="s">
        <v>74</v>
      </c>
      <c r="E644" s="1" t="s">
        <v>74</v>
      </c>
      <c r="F644" s="1" t="s">
        <v>6564</v>
      </c>
      <c r="G644" s="1" t="s">
        <v>74</v>
      </c>
      <c r="H644" s="1" t="s">
        <v>74</v>
      </c>
      <c r="I644" s="1" t="s">
        <v>6565</v>
      </c>
      <c r="J644" s="1" t="s">
        <v>691</v>
      </c>
      <c r="K644" s="1" t="s">
        <v>74</v>
      </c>
      <c r="L644" s="1" t="s">
        <v>74</v>
      </c>
      <c r="M644" s="1" t="s">
        <v>74</v>
      </c>
      <c r="N644" s="1" t="s">
        <v>74</v>
      </c>
      <c r="O644" s="1" t="s">
        <v>74</v>
      </c>
      <c r="P644" s="1" t="s">
        <v>74</v>
      </c>
      <c r="Q644" s="1" t="s">
        <v>74</v>
      </c>
      <c r="R644" s="1" t="s">
        <v>74</v>
      </c>
      <c r="S644" s="1" t="s">
        <v>74</v>
      </c>
      <c r="T644" s="1" t="s">
        <v>74</v>
      </c>
      <c r="U644" s="1" t="s">
        <v>74</v>
      </c>
      <c r="V644" s="1" t="s">
        <v>6566</v>
      </c>
      <c r="W644" s="1" t="s">
        <v>74</v>
      </c>
      <c r="X644" s="1" t="s">
        <v>74</v>
      </c>
      <c r="Y644" s="1" t="s">
        <v>74</v>
      </c>
      <c r="Z644" s="1" t="s">
        <v>74</v>
      </c>
      <c r="AA644" s="1" t="s">
        <v>6567</v>
      </c>
      <c r="AB644" s="1" t="s">
        <v>6568</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74</v>
      </c>
      <c r="AP644" s="1" t="s">
        <v>694</v>
      </c>
      <c r="AQ644" s="1" t="s">
        <v>74</v>
      </c>
      <c r="AR644" s="1" t="s">
        <v>74</v>
      </c>
      <c r="AS644" s="1" t="s">
        <v>74</v>
      </c>
      <c r="AT644" s="1" t="s">
        <v>974</v>
      </c>
      <c r="AU644" s="1">
        <v>2024.0</v>
      </c>
      <c r="AV644" s="1">
        <v>14.0</v>
      </c>
      <c r="AW644" s="1">
        <v>13.0</v>
      </c>
      <c r="AX644" s="1" t="s">
        <v>74</v>
      </c>
      <c r="AY644" s="1" t="s">
        <v>74</v>
      </c>
      <c r="AZ644" s="1" t="s">
        <v>74</v>
      </c>
      <c r="BA644" s="1" t="s">
        <v>74</v>
      </c>
      <c r="BB644" s="1" t="s">
        <v>74</v>
      </c>
      <c r="BC644" s="1" t="s">
        <v>74</v>
      </c>
      <c r="BD644" s="1">
        <v>5665.0</v>
      </c>
      <c r="BE644" s="1" t="s">
        <v>6569</v>
      </c>
      <c r="BF644" s="2" t="str">
        <f>HYPERLINK("http://dx.doi.org/10.3390/app14135665","http://dx.doi.org/10.3390/app14135665")</f>
        <v>http://dx.doi.org/10.3390/app14135665</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6570</v>
      </c>
      <c r="BT644" s="1" t="str">
        <f>HYPERLINK("https%3A%2F%2Fwww.webofscience.com%2Fwos%2Fwoscc%2Ffull-record%2FWOS:001266454100001","View Full Record in Web of Science")</f>
        <v>View Full Record in Web of Science</v>
      </c>
    </row>
    <row r="645" ht="12.75" customHeight="1">
      <c r="A645" s="1" t="s">
        <v>72</v>
      </c>
      <c r="B645" s="1" t="s">
        <v>6571</v>
      </c>
      <c r="C645" s="1" t="s">
        <v>74</v>
      </c>
      <c r="D645" s="1" t="s">
        <v>74</v>
      </c>
      <c r="E645" s="1" t="s">
        <v>74</v>
      </c>
      <c r="F645" s="1" t="s">
        <v>6572</v>
      </c>
      <c r="G645" s="1" t="s">
        <v>74</v>
      </c>
      <c r="H645" s="1" t="s">
        <v>74</v>
      </c>
      <c r="I645" s="1" t="s">
        <v>6573</v>
      </c>
      <c r="J645" s="1" t="s">
        <v>6574</v>
      </c>
      <c r="K645" s="1" t="s">
        <v>74</v>
      </c>
      <c r="L645" s="1" t="s">
        <v>74</v>
      </c>
      <c r="M645" s="1" t="s">
        <v>74</v>
      </c>
      <c r="N645" s="1" t="s">
        <v>74</v>
      </c>
      <c r="O645" s="1" t="s">
        <v>74</v>
      </c>
      <c r="P645" s="1" t="s">
        <v>74</v>
      </c>
      <c r="Q645" s="1" t="s">
        <v>74</v>
      </c>
      <c r="R645" s="1" t="s">
        <v>74</v>
      </c>
      <c r="S645" s="1" t="s">
        <v>74</v>
      </c>
      <c r="T645" s="1" t="s">
        <v>74</v>
      </c>
      <c r="U645" s="1" t="s">
        <v>74</v>
      </c>
      <c r="V645" s="1" t="s">
        <v>6575</v>
      </c>
      <c r="W645" s="1" t="s">
        <v>74</v>
      </c>
      <c r="X645" s="1" t="s">
        <v>74</v>
      </c>
      <c r="Y645" s="1" t="s">
        <v>74</v>
      </c>
      <c r="Z645" s="1" t="s">
        <v>74</v>
      </c>
      <c r="AA645" s="1" t="s">
        <v>6576</v>
      </c>
      <c r="AB645" s="1" t="s">
        <v>6577</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6578</v>
      </c>
      <c r="AP645" s="1" t="s">
        <v>6579</v>
      </c>
      <c r="AQ645" s="1" t="s">
        <v>74</v>
      </c>
      <c r="AR645" s="1" t="s">
        <v>74</v>
      </c>
      <c r="AS645" s="1" t="s">
        <v>74</v>
      </c>
      <c r="AT645" s="1" t="s">
        <v>176</v>
      </c>
      <c r="AU645" s="1">
        <v>2024.0</v>
      </c>
      <c r="AV645" s="1">
        <v>235.0</v>
      </c>
      <c r="AW645" s="1">
        <v>3.0</v>
      </c>
      <c r="AX645" s="1" t="s">
        <v>74</v>
      </c>
      <c r="AY645" s="1" t="s">
        <v>74</v>
      </c>
      <c r="AZ645" s="1" t="s">
        <v>74</v>
      </c>
      <c r="BA645" s="1" t="s">
        <v>74</v>
      </c>
      <c r="BB645" s="1" t="s">
        <v>74</v>
      </c>
      <c r="BC645" s="1" t="s">
        <v>74</v>
      </c>
      <c r="BD645" s="1">
        <v>176.0</v>
      </c>
      <c r="BE645" s="1" t="s">
        <v>6580</v>
      </c>
      <c r="BF645" s="2" t="str">
        <f>HYPERLINK("http://dx.doi.org/10.1007/s11270-024-06955-3","http://dx.doi.org/10.1007/s11270-024-06955-3")</f>
        <v>http://dx.doi.org/10.1007/s11270-024-06955-3</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6581</v>
      </c>
      <c r="BT645" s="1" t="str">
        <f>HYPERLINK("https%3A%2F%2Fwww.webofscience.com%2Fwos%2Fwoscc%2Ffull-record%2FWOS:001168994600001","View Full Record in Web of Science")</f>
        <v>View Full Record in Web of Science</v>
      </c>
    </row>
    <row r="646" ht="12.75" customHeight="1">
      <c r="A646" s="1" t="s">
        <v>72</v>
      </c>
      <c r="B646" s="1" t="s">
        <v>6582</v>
      </c>
      <c r="C646" s="1" t="s">
        <v>74</v>
      </c>
      <c r="D646" s="1" t="s">
        <v>74</v>
      </c>
      <c r="E646" s="1" t="s">
        <v>74</v>
      </c>
      <c r="F646" s="1" t="s">
        <v>6583</v>
      </c>
      <c r="G646" s="1" t="s">
        <v>74</v>
      </c>
      <c r="H646" s="1" t="s">
        <v>74</v>
      </c>
      <c r="I646" s="1" t="s">
        <v>6584</v>
      </c>
      <c r="J646" s="1" t="s">
        <v>484</v>
      </c>
      <c r="K646" s="1" t="s">
        <v>74</v>
      </c>
      <c r="L646" s="1" t="s">
        <v>74</v>
      </c>
      <c r="M646" s="1" t="s">
        <v>74</v>
      </c>
      <c r="N646" s="1" t="s">
        <v>74</v>
      </c>
      <c r="O646" s="1" t="s">
        <v>74</v>
      </c>
      <c r="P646" s="1" t="s">
        <v>74</v>
      </c>
      <c r="Q646" s="1" t="s">
        <v>74</v>
      </c>
      <c r="R646" s="1" t="s">
        <v>74</v>
      </c>
      <c r="S646" s="1" t="s">
        <v>74</v>
      </c>
      <c r="T646" s="1" t="s">
        <v>74</v>
      </c>
      <c r="U646" s="1" t="s">
        <v>74</v>
      </c>
      <c r="V646" s="1" t="s">
        <v>74</v>
      </c>
      <c r="W646" s="1" t="s">
        <v>74</v>
      </c>
      <c r="X646" s="1" t="s">
        <v>74</v>
      </c>
      <c r="Y646" s="1" t="s">
        <v>74</v>
      </c>
      <c r="Z646" s="1" t="s">
        <v>74</v>
      </c>
      <c r="AA646" s="1" t="s">
        <v>6585</v>
      </c>
      <c r="AB646" s="1" t="s">
        <v>6586</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488</v>
      </c>
      <c r="AP646" s="1" t="s">
        <v>74</v>
      </c>
      <c r="AQ646" s="1" t="s">
        <v>74</v>
      </c>
      <c r="AR646" s="1" t="s">
        <v>74</v>
      </c>
      <c r="AS646" s="1" t="s">
        <v>74</v>
      </c>
      <c r="AT646" s="1" t="s">
        <v>6587</v>
      </c>
      <c r="AU646" s="1">
        <v>2023.0</v>
      </c>
      <c r="AV646" s="1">
        <v>11.0</v>
      </c>
      <c r="AW646" s="1" t="s">
        <v>74</v>
      </c>
      <c r="AX646" s="1" t="s">
        <v>74</v>
      </c>
      <c r="AY646" s="1" t="s">
        <v>74</v>
      </c>
      <c r="AZ646" s="1" t="s">
        <v>74</v>
      </c>
      <c r="BA646" s="1" t="s">
        <v>74</v>
      </c>
      <c r="BB646" s="1" t="s">
        <v>74</v>
      </c>
      <c r="BC646" s="1" t="s">
        <v>74</v>
      </c>
      <c r="BD646" s="1">
        <v>1332672.0</v>
      </c>
      <c r="BE646" s="1" t="s">
        <v>6588</v>
      </c>
      <c r="BF646" s="2" t="str">
        <f>HYPERLINK("http://dx.doi.org/10.3389/fchem.2023.1332672","http://dx.doi.org/10.3389/fchem.2023.1332672")</f>
        <v>http://dx.doi.org/10.3389/fchem.2023.1332672</v>
      </c>
      <c r="BG646" s="1" t="s">
        <v>74</v>
      </c>
      <c r="BH646" s="1" t="s">
        <v>74</v>
      </c>
      <c r="BI646" s="1" t="s">
        <v>74</v>
      </c>
      <c r="BJ646" s="1" t="s">
        <v>74</v>
      </c>
      <c r="BK646" s="1" t="s">
        <v>74</v>
      </c>
      <c r="BL646" s="1" t="s">
        <v>74</v>
      </c>
      <c r="BM646" s="1" t="s">
        <v>74</v>
      </c>
      <c r="BN646" s="1">
        <v>3.8075495E7</v>
      </c>
      <c r="BO646" s="1" t="s">
        <v>74</v>
      </c>
      <c r="BP646" s="1" t="s">
        <v>74</v>
      </c>
      <c r="BQ646" s="1" t="s">
        <v>74</v>
      </c>
      <c r="BR646" s="1" t="s">
        <v>74</v>
      </c>
      <c r="BS646" s="1" t="s">
        <v>6589</v>
      </c>
      <c r="BT646" s="1" t="str">
        <f>HYPERLINK("https%3A%2F%2Fwww.webofscience.com%2Fwos%2Fwoscc%2Ffull-record%2FWOS:001113381300001","View Full Record in Web of Science")</f>
        <v>View Full Record in Web of Science</v>
      </c>
    </row>
    <row r="647" ht="12.75" customHeight="1">
      <c r="A647" s="1" t="s">
        <v>72</v>
      </c>
      <c r="B647" s="1" t="s">
        <v>4953</v>
      </c>
      <c r="C647" s="1" t="s">
        <v>74</v>
      </c>
      <c r="D647" s="1" t="s">
        <v>74</v>
      </c>
      <c r="E647" s="1" t="s">
        <v>74</v>
      </c>
      <c r="F647" s="1" t="s">
        <v>4954</v>
      </c>
      <c r="G647" s="1" t="s">
        <v>74</v>
      </c>
      <c r="H647" s="1" t="s">
        <v>74</v>
      </c>
      <c r="I647" s="1" t="s">
        <v>6590</v>
      </c>
      <c r="J647" s="1" t="s">
        <v>4956</v>
      </c>
      <c r="K647" s="1" t="s">
        <v>74</v>
      </c>
      <c r="L647" s="1" t="s">
        <v>74</v>
      </c>
      <c r="M647" s="1" t="s">
        <v>74</v>
      </c>
      <c r="N647" s="1" t="s">
        <v>74</v>
      </c>
      <c r="O647" s="1" t="s">
        <v>74</v>
      </c>
      <c r="P647" s="1" t="s">
        <v>74</v>
      </c>
      <c r="Q647" s="1" t="s">
        <v>74</v>
      </c>
      <c r="R647" s="1" t="s">
        <v>74</v>
      </c>
      <c r="S647" s="1" t="s">
        <v>74</v>
      </c>
      <c r="T647" s="1" t="s">
        <v>74</v>
      </c>
      <c r="U647" s="1" t="s">
        <v>74</v>
      </c>
      <c r="V647" s="1" t="s">
        <v>6591</v>
      </c>
      <c r="W647" s="1" t="s">
        <v>74</v>
      </c>
      <c r="X647" s="1" t="s">
        <v>74</v>
      </c>
      <c r="Y647" s="1" t="s">
        <v>74</v>
      </c>
      <c r="Z647" s="1" t="s">
        <v>74</v>
      </c>
      <c r="AA647" s="1" t="s">
        <v>6592</v>
      </c>
      <c r="AB647" s="1" t="s">
        <v>6593</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4961</v>
      </c>
      <c r="AP647" s="1" t="s">
        <v>4962</v>
      </c>
      <c r="AQ647" s="1" t="s">
        <v>74</v>
      </c>
      <c r="AR647" s="1" t="s">
        <v>74</v>
      </c>
      <c r="AS647" s="1" t="s">
        <v>74</v>
      </c>
      <c r="AT647" s="1" t="s">
        <v>3227</v>
      </c>
      <c r="AU647" s="1">
        <v>2023.0</v>
      </c>
      <c r="AV647" s="1">
        <v>204.0</v>
      </c>
      <c r="AW647" s="1" t="s">
        <v>74</v>
      </c>
      <c r="AX647" s="1" t="s">
        <v>74</v>
      </c>
      <c r="AY647" s="1" t="s">
        <v>74</v>
      </c>
      <c r="AZ647" s="1" t="s">
        <v>74</v>
      </c>
      <c r="BA647" s="1" t="s">
        <v>74</v>
      </c>
      <c r="BB647" s="1">
        <v>118.0</v>
      </c>
      <c r="BC647" s="1">
        <v>127.0</v>
      </c>
      <c r="BD647" s="1" t="s">
        <v>74</v>
      </c>
      <c r="BE647" s="1" t="s">
        <v>6594</v>
      </c>
      <c r="BF647" s="2" t="str">
        <f>HYPERLINK("http://dx.doi.org/10.1016/j.freeradbiomed.2023.04.019","http://dx.doi.org/10.1016/j.freeradbiomed.2023.04.019")</f>
        <v>http://dx.doi.org/10.1016/j.freeradbiomed.2023.04.019</v>
      </c>
      <c r="BG647" s="1" t="s">
        <v>74</v>
      </c>
      <c r="BH647" s="1" t="s">
        <v>1605</v>
      </c>
      <c r="BI647" s="1" t="s">
        <v>74</v>
      </c>
      <c r="BJ647" s="1" t="s">
        <v>74</v>
      </c>
      <c r="BK647" s="1" t="s">
        <v>74</v>
      </c>
      <c r="BL647" s="1" t="s">
        <v>74</v>
      </c>
      <c r="BM647" s="1" t="s">
        <v>74</v>
      </c>
      <c r="BN647" s="1">
        <v>3.7119864E7</v>
      </c>
      <c r="BO647" s="1" t="s">
        <v>74</v>
      </c>
      <c r="BP647" s="1" t="s">
        <v>74</v>
      </c>
      <c r="BQ647" s="1" t="s">
        <v>74</v>
      </c>
      <c r="BR647" s="1" t="s">
        <v>74</v>
      </c>
      <c r="BS647" s="1" t="s">
        <v>6595</v>
      </c>
      <c r="BT647" s="1" t="str">
        <f>HYPERLINK("https%3A%2F%2Fwww.webofscience.com%2Fwos%2Fwoscc%2Ffull-record%2FWOS:001001503000001","View Full Record in Web of Science")</f>
        <v>View Full Record in Web of Science</v>
      </c>
    </row>
    <row r="648" ht="12.75" customHeight="1">
      <c r="A648" s="1" t="s">
        <v>154</v>
      </c>
      <c r="B648" s="1" t="s">
        <v>6596</v>
      </c>
      <c r="C648" s="1" t="s">
        <v>74</v>
      </c>
      <c r="D648" s="1" t="s">
        <v>74</v>
      </c>
      <c r="E648" s="1" t="s">
        <v>323</v>
      </c>
      <c r="F648" s="1" t="s">
        <v>6597</v>
      </c>
      <c r="G648" s="1" t="s">
        <v>74</v>
      </c>
      <c r="H648" s="1" t="s">
        <v>74</v>
      </c>
      <c r="I648" s="1" t="s">
        <v>6598</v>
      </c>
      <c r="J648" s="1" t="s">
        <v>6599</v>
      </c>
      <c r="K648" s="1" t="s">
        <v>6600</v>
      </c>
      <c r="L648" s="1" t="s">
        <v>74</v>
      </c>
      <c r="M648" s="1" t="s">
        <v>74</v>
      </c>
      <c r="N648" s="1" t="s">
        <v>74</v>
      </c>
      <c r="O648" s="1" t="s">
        <v>6601</v>
      </c>
      <c r="P648" s="1" t="s">
        <v>6602</v>
      </c>
      <c r="Q648" s="1" t="s">
        <v>6603</v>
      </c>
      <c r="R648" s="1" t="s">
        <v>74</v>
      </c>
      <c r="S648" s="1" t="s">
        <v>74</v>
      </c>
      <c r="T648" s="1" t="s">
        <v>74</v>
      </c>
      <c r="U648" s="1" t="s">
        <v>74</v>
      </c>
      <c r="V648" s="1" t="s">
        <v>6604</v>
      </c>
      <c r="W648" s="1" t="s">
        <v>74</v>
      </c>
      <c r="X648" s="1" t="s">
        <v>74</v>
      </c>
      <c r="Y648" s="1" t="s">
        <v>74</v>
      </c>
      <c r="Z648" s="1" t="s">
        <v>74</v>
      </c>
      <c r="AA648" s="1" t="s">
        <v>6605</v>
      </c>
      <c r="AB648" s="1" t="s">
        <v>6606</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6607</v>
      </c>
      <c r="AP648" s="1" t="s">
        <v>74</v>
      </c>
      <c r="AQ648" s="1" t="s">
        <v>6608</v>
      </c>
      <c r="AR648" s="1" t="s">
        <v>74</v>
      </c>
      <c r="AS648" s="1" t="s">
        <v>74</v>
      </c>
      <c r="AT648" s="1" t="s">
        <v>74</v>
      </c>
      <c r="AU648" s="1">
        <v>2022.0</v>
      </c>
      <c r="AV648" s="1" t="s">
        <v>74</v>
      </c>
      <c r="AW648" s="1" t="s">
        <v>74</v>
      </c>
      <c r="AX648" s="1" t="s">
        <v>74</v>
      </c>
      <c r="AY648" s="1" t="s">
        <v>74</v>
      </c>
      <c r="AZ648" s="1" t="s">
        <v>74</v>
      </c>
      <c r="BA648" s="1" t="s">
        <v>74</v>
      </c>
      <c r="BB648" s="1">
        <v>115.0</v>
      </c>
      <c r="BC648" s="1">
        <v>120.0</v>
      </c>
      <c r="BD648" s="1" t="s">
        <v>74</v>
      </c>
      <c r="BE648" s="1" t="s">
        <v>6609</v>
      </c>
      <c r="BF648" s="2" t="str">
        <f>HYPERLINK("http://dx.doi.org/10.1109/MED54222.2022.9837251","http://dx.doi.org/10.1109/MED54222.2022.9837251")</f>
        <v>http://dx.doi.org/10.1109/MED54222.2022.9837251</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6610</v>
      </c>
      <c r="BT648" s="1" t="str">
        <f>HYPERLINK("https%3A%2F%2Fwww.webofscience.com%2Fwos%2Fwoscc%2Ffull-record%2FWOS:000854013700020","View Full Record in Web of Science")</f>
        <v>View Full Record in Web of Science</v>
      </c>
    </row>
    <row r="649" ht="12.75" customHeight="1">
      <c r="A649" s="1" t="s">
        <v>72</v>
      </c>
      <c r="B649" s="1" t="s">
        <v>6611</v>
      </c>
      <c r="C649" s="1" t="s">
        <v>74</v>
      </c>
      <c r="D649" s="1" t="s">
        <v>74</v>
      </c>
      <c r="E649" s="1" t="s">
        <v>74</v>
      </c>
      <c r="F649" s="1" t="s">
        <v>6612</v>
      </c>
      <c r="G649" s="1" t="s">
        <v>74</v>
      </c>
      <c r="H649" s="1" t="s">
        <v>74</v>
      </c>
      <c r="I649" s="1" t="s">
        <v>6613</v>
      </c>
      <c r="J649" s="1" t="s">
        <v>2365</v>
      </c>
      <c r="K649" s="1" t="s">
        <v>74</v>
      </c>
      <c r="L649" s="1" t="s">
        <v>74</v>
      </c>
      <c r="M649" s="1" t="s">
        <v>74</v>
      </c>
      <c r="N649" s="1" t="s">
        <v>74</v>
      </c>
      <c r="O649" s="1" t="s">
        <v>74</v>
      </c>
      <c r="P649" s="1" t="s">
        <v>74</v>
      </c>
      <c r="Q649" s="1" t="s">
        <v>74</v>
      </c>
      <c r="R649" s="1" t="s">
        <v>74</v>
      </c>
      <c r="S649" s="1" t="s">
        <v>74</v>
      </c>
      <c r="T649" s="1" t="s">
        <v>74</v>
      </c>
      <c r="U649" s="1" t="s">
        <v>74</v>
      </c>
      <c r="V649" s="1" t="s">
        <v>6614</v>
      </c>
      <c r="W649" s="1" t="s">
        <v>74</v>
      </c>
      <c r="X649" s="1" t="s">
        <v>74</v>
      </c>
      <c r="Y649" s="1" t="s">
        <v>74</v>
      </c>
      <c r="Z649" s="1" t="s">
        <v>74</v>
      </c>
      <c r="AA649" s="1" t="s">
        <v>6615</v>
      </c>
      <c r="AB649" s="1" t="s">
        <v>6616</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74</v>
      </c>
      <c r="AP649" s="1" t="s">
        <v>2369</v>
      </c>
      <c r="AQ649" s="1" t="s">
        <v>74</v>
      </c>
      <c r="AR649" s="1" t="s">
        <v>74</v>
      </c>
      <c r="AS649" s="1" t="s">
        <v>74</v>
      </c>
      <c r="AT649" s="1" t="s">
        <v>83</v>
      </c>
      <c r="AU649" s="1">
        <v>2021.0</v>
      </c>
      <c r="AV649" s="1">
        <v>13.0</v>
      </c>
      <c r="AW649" s="1">
        <v>23.0</v>
      </c>
      <c r="AX649" s="1" t="s">
        <v>74</v>
      </c>
      <c r="AY649" s="1" t="s">
        <v>74</v>
      </c>
      <c r="AZ649" s="1" t="s">
        <v>74</v>
      </c>
      <c r="BA649" s="1" t="s">
        <v>74</v>
      </c>
      <c r="BB649" s="1" t="s">
        <v>74</v>
      </c>
      <c r="BC649" s="1" t="s">
        <v>74</v>
      </c>
      <c r="BD649" s="1">
        <v>4262.0</v>
      </c>
      <c r="BE649" s="1" t="s">
        <v>6617</v>
      </c>
      <c r="BF649" s="2" t="str">
        <f>HYPERLINK("http://dx.doi.org/10.3390/polym13234262","http://dx.doi.org/10.3390/polym13234262")</f>
        <v>http://dx.doi.org/10.3390/polym13234262</v>
      </c>
      <c r="BG649" s="1" t="s">
        <v>74</v>
      </c>
      <c r="BH649" s="1" t="s">
        <v>74</v>
      </c>
      <c r="BI649" s="1" t="s">
        <v>74</v>
      </c>
      <c r="BJ649" s="1" t="s">
        <v>74</v>
      </c>
      <c r="BK649" s="1" t="s">
        <v>74</v>
      </c>
      <c r="BL649" s="1" t="s">
        <v>74</v>
      </c>
      <c r="BM649" s="1" t="s">
        <v>74</v>
      </c>
      <c r="BN649" s="1">
        <v>3.4883766E7</v>
      </c>
      <c r="BO649" s="1" t="s">
        <v>74</v>
      </c>
      <c r="BP649" s="1" t="s">
        <v>74</v>
      </c>
      <c r="BQ649" s="1" t="s">
        <v>74</v>
      </c>
      <c r="BR649" s="1" t="s">
        <v>74</v>
      </c>
      <c r="BS649" s="1" t="s">
        <v>6618</v>
      </c>
      <c r="BT649" s="1" t="str">
        <f>HYPERLINK("https%3A%2F%2Fwww.webofscience.com%2Fwos%2Fwoscc%2Ffull-record%2FWOS:000734586900001","View Full Record in Web of Science")</f>
        <v>View Full Record in Web of Science</v>
      </c>
    </row>
    <row r="650" ht="12.75" customHeight="1">
      <c r="A650" s="1" t="s">
        <v>72</v>
      </c>
      <c r="B650" s="1" t="s">
        <v>6619</v>
      </c>
      <c r="C650" s="1" t="s">
        <v>74</v>
      </c>
      <c r="D650" s="1" t="s">
        <v>74</v>
      </c>
      <c r="E650" s="1" t="s">
        <v>74</v>
      </c>
      <c r="F650" s="1" t="s">
        <v>6620</v>
      </c>
      <c r="G650" s="1" t="s">
        <v>74</v>
      </c>
      <c r="H650" s="1" t="s">
        <v>74</v>
      </c>
      <c r="I650" s="1" t="s">
        <v>6621</v>
      </c>
      <c r="J650" s="1" t="s">
        <v>6622</v>
      </c>
      <c r="K650" s="1" t="s">
        <v>74</v>
      </c>
      <c r="L650" s="1" t="s">
        <v>74</v>
      </c>
      <c r="M650" s="1" t="s">
        <v>74</v>
      </c>
      <c r="N650" s="1" t="s">
        <v>74</v>
      </c>
      <c r="O650" s="1" t="s">
        <v>74</v>
      </c>
      <c r="P650" s="1" t="s">
        <v>74</v>
      </c>
      <c r="Q650" s="1" t="s">
        <v>74</v>
      </c>
      <c r="R650" s="1" t="s">
        <v>74</v>
      </c>
      <c r="S650" s="1" t="s">
        <v>74</v>
      </c>
      <c r="T650" s="1" t="s">
        <v>74</v>
      </c>
      <c r="U650" s="1" t="s">
        <v>74</v>
      </c>
      <c r="V650" s="1" t="s">
        <v>6623</v>
      </c>
      <c r="W650" s="1" t="s">
        <v>74</v>
      </c>
      <c r="X650" s="1" t="s">
        <v>74</v>
      </c>
      <c r="Y650" s="1" t="s">
        <v>74</v>
      </c>
      <c r="Z650" s="1" t="s">
        <v>74</v>
      </c>
      <c r="AA650" s="1" t="s">
        <v>6624</v>
      </c>
      <c r="AB650" s="1" t="s">
        <v>6625</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6626</v>
      </c>
      <c r="AP650" s="1" t="s">
        <v>6627</v>
      </c>
      <c r="AQ650" s="1" t="s">
        <v>74</v>
      </c>
      <c r="AR650" s="1" t="s">
        <v>74</v>
      </c>
      <c r="AS650" s="1" t="s">
        <v>74</v>
      </c>
      <c r="AT650" s="1" t="s">
        <v>241</v>
      </c>
      <c r="AU650" s="1">
        <v>2021.0</v>
      </c>
      <c r="AV650" s="1">
        <v>166.0</v>
      </c>
      <c r="AW650" s="1" t="s">
        <v>74</v>
      </c>
      <c r="AX650" s="1" t="s">
        <v>74</v>
      </c>
      <c r="AY650" s="1" t="s">
        <v>74</v>
      </c>
      <c r="AZ650" s="1" t="s">
        <v>74</v>
      </c>
      <c r="BA650" s="1" t="s">
        <v>74</v>
      </c>
      <c r="BB650" s="1">
        <v>19.0</v>
      </c>
      <c r="BC650" s="1">
        <v>29.0</v>
      </c>
      <c r="BD650" s="1" t="s">
        <v>74</v>
      </c>
      <c r="BE650" s="1" t="s">
        <v>6628</v>
      </c>
      <c r="BF650" s="2" t="str">
        <f>HYPERLINK("http://dx.doi.org/10.1016/j.ejpb.2021.05.023","http://dx.doi.org/10.1016/j.ejpb.2021.05.023")</f>
        <v>http://dx.doi.org/10.1016/j.ejpb.2021.05.023</v>
      </c>
      <c r="BG650" s="1" t="s">
        <v>74</v>
      </c>
      <c r="BH650" s="1" t="s">
        <v>782</v>
      </c>
      <c r="BI650" s="1" t="s">
        <v>74</v>
      </c>
      <c r="BJ650" s="1" t="s">
        <v>74</v>
      </c>
      <c r="BK650" s="1" t="s">
        <v>74</v>
      </c>
      <c r="BL650" s="1" t="s">
        <v>74</v>
      </c>
      <c r="BM650" s="1" t="s">
        <v>74</v>
      </c>
      <c r="BN650" s="1">
        <v>3.405243E7</v>
      </c>
      <c r="BO650" s="1" t="s">
        <v>74</v>
      </c>
      <c r="BP650" s="1" t="s">
        <v>74</v>
      </c>
      <c r="BQ650" s="1" t="s">
        <v>74</v>
      </c>
      <c r="BR650" s="1" t="s">
        <v>74</v>
      </c>
      <c r="BS650" s="1" t="s">
        <v>6629</v>
      </c>
      <c r="BT650" s="1" t="str">
        <f>HYPERLINK("https%3A%2F%2Fwww.webofscience.com%2Fwos%2Fwoscc%2Ffull-record%2FWOS:000676823900003","View Full Record in Web of Science")</f>
        <v>View Full Record in Web of Science</v>
      </c>
    </row>
    <row r="651" ht="12.75" customHeight="1">
      <c r="A651" s="1" t="s">
        <v>72</v>
      </c>
      <c r="B651" s="1" t="s">
        <v>6630</v>
      </c>
      <c r="C651" s="1" t="s">
        <v>74</v>
      </c>
      <c r="D651" s="1" t="s">
        <v>74</v>
      </c>
      <c r="E651" s="1" t="s">
        <v>74</v>
      </c>
      <c r="F651" s="1" t="s">
        <v>6631</v>
      </c>
      <c r="G651" s="1" t="s">
        <v>74</v>
      </c>
      <c r="H651" s="1" t="s">
        <v>74</v>
      </c>
      <c r="I651" s="1" t="s">
        <v>6632</v>
      </c>
      <c r="J651" s="1" t="s">
        <v>1610</v>
      </c>
      <c r="K651" s="1" t="s">
        <v>74</v>
      </c>
      <c r="L651" s="1" t="s">
        <v>74</v>
      </c>
      <c r="M651" s="1" t="s">
        <v>74</v>
      </c>
      <c r="N651" s="1" t="s">
        <v>74</v>
      </c>
      <c r="O651" s="1" t="s">
        <v>74</v>
      </c>
      <c r="P651" s="1" t="s">
        <v>74</v>
      </c>
      <c r="Q651" s="1" t="s">
        <v>74</v>
      </c>
      <c r="R651" s="1" t="s">
        <v>74</v>
      </c>
      <c r="S651" s="1" t="s">
        <v>74</v>
      </c>
      <c r="T651" s="1" t="s">
        <v>74</v>
      </c>
      <c r="U651" s="1" t="s">
        <v>74</v>
      </c>
      <c r="V651" s="1" t="s">
        <v>6633</v>
      </c>
      <c r="W651" s="1" t="s">
        <v>74</v>
      </c>
      <c r="X651" s="1" t="s">
        <v>74</v>
      </c>
      <c r="Y651" s="1" t="s">
        <v>74</v>
      </c>
      <c r="Z651" s="1" t="s">
        <v>74</v>
      </c>
      <c r="AA651" s="1" t="s">
        <v>6634</v>
      </c>
      <c r="AB651" s="1" t="s">
        <v>6635</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1614</v>
      </c>
      <c r="AP651" s="1" t="s">
        <v>1615</v>
      </c>
      <c r="AQ651" s="1" t="s">
        <v>74</v>
      </c>
      <c r="AR651" s="1" t="s">
        <v>74</v>
      </c>
      <c r="AS651" s="1" t="s">
        <v>74</v>
      </c>
      <c r="AT651" s="1" t="s">
        <v>822</v>
      </c>
      <c r="AU651" s="1">
        <v>2021.0</v>
      </c>
      <c r="AV651" s="1">
        <v>212.0</v>
      </c>
      <c r="AW651" s="1" t="s">
        <v>74</v>
      </c>
      <c r="AX651" s="1" t="s">
        <v>74</v>
      </c>
      <c r="AY651" s="1" t="s">
        <v>74</v>
      </c>
      <c r="AZ651" s="1" t="s">
        <v>74</v>
      </c>
      <c r="BA651" s="1" t="s">
        <v>74</v>
      </c>
      <c r="BB651" s="1" t="s">
        <v>74</v>
      </c>
      <c r="BC651" s="1" t="s">
        <v>74</v>
      </c>
      <c r="BD651" s="1">
        <v>105479.0</v>
      </c>
      <c r="BE651" s="1" t="s">
        <v>6636</v>
      </c>
      <c r="BF651" s="2" t="str">
        <f>HYPERLINK("http://dx.doi.org/10.1016/j.jastp.2020.105479","http://dx.doi.org/10.1016/j.jastp.2020.105479")</f>
        <v>http://dx.doi.org/10.1016/j.jastp.2020.105479</v>
      </c>
      <c r="BG651" s="1" t="s">
        <v>74</v>
      </c>
      <c r="BH651" s="1" t="s">
        <v>2027</v>
      </c>
      <c r="BI651" s="1" t="s">
        <v>74</v>
      </c>
      <c r="BJ651" s="1" t="s">
        <v>74</v>
      </c>
      <c r="BK651" s="1" t="s">
        <v>74</v>
      </c>
      <c r="BL651" s="1" t="s">
        <v>74</v>
      </c>
      <c r="BM651" s="1" t="s">
        <v>74</v>
      </c>
      <c r="BN651" s="1" t="s">
        <v>74</v>
      </c>
      <c r="BO651" s="1" t="s">
        <v>74</v>
      </c>
      <c r="BP651" s="1" t="s">
        <v>74</v>
      </c>
      <c r="BQ651" s="1" t="s">
        <v>74</v>
      </c>
      <c r="BR651" s="1" t="s">
        <v>74</v>
      </c>
      <c r="BS651" s="1" t="s">
        <v>6637</v>
      </c>
      <c r="BT651" s="1" t="str">
        <f>HYPERLINK("https%3A%2F%2Fwww.webofscience.com%2Fwos%2Fwoscc%2Ffull-record%2FWOS:000609029900002","View Full Record in Web of Science")</f>
        <v>View Full Record in Web of Science</v>
      </c>
    </row>
    <row r="652" ht="12.75" customHeight="1">
      <c r="A652" s="1" t="s">
        <v>72</v>
      </c>
      <c r="B652" s="1" t="s">
        <v>6638</v>
      </c>
      <c r="C652" s="1" t="s">
        <v>74</v>
      </c>
      <c r="D652" s="1" t="s">
        <v>74</v>
      </c>
      <c r="E652" s="1" t="s">
        <v>74</v>
      </c>
      <c r="F652" s="1" t="s">
        <v>6639</v>
      </c>
      <c r="G652" s="1" t="s">
        <v>74</v>
      </c>
      <c r="H652" s="1" t="s">
        <v>74</v>
      </c>
      <c r="I652" s="1" t="s">
        <v>6640</v>
      </c>
      <c r="J652" s="1" t="s">
        <v>6641</v>
      </c>
      <c r="K652" s="1" t="s">
        <v>74</v>
      </c>
      <c r="L652" s="1" t="s">
        <v>74</v>
      </c>
      <c r="M652" s="1" t="s">
        <v>74</v>
      </c>
      <c r="N652" s="1" t="s">
        <v>74</v>
      </c>
      <c r="O652" s="1" t="s">
        <v>74</v>
      </c>
      <c r="P652" s="1" t="s">
        <v>74</v>
      </c>
      <c r="Q652" s="1" t="s">
        <v>74</v>
      </c>
      <c r="R652" s="1" t="s">
        <v>74</v>
      </c>
      <c r="S652" s="1" t="s">
        <v>74</v>
      </c>
      <c r="T652" s="1" t="s">
        <v>74</v>
      </c>
      <c r="U652" s="1" t="s">
        <v>74</v>
      </c>
      <c r="V652" s="1" t="s">
        <v>6642</v>
      </c>
      <c r="W652" s="1" t="s">
        <v>74</v>
      </c>
      <c r="X652" s="1" t="s">
        <v>74</v>
      </c>
      <c r="Y652" s="1" t="s">
        <v>74</v>
      </c>
      <c r="Z652" s="1" t="s">
        <v>74</v>
      </c>
      <c r="AA652" s="1" t="s">
        <v>6643</v>
      </c>
      <c r="AB652" s="1" t="s">
        <v>6644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6645</v>
      </c>
      <c r="AP652" s="1" t="s">
        <v>74</v>
      </c>
      <c r="AQ652" s="1" t="s">
        <v>74</v>
      </c>
      <c r="AR652" s="1" t="s">
        <v>74</v>
      </c>
      <c r="AS652" s="1" t="s">
        <v>74</v>
      </c>
      <c r="AT652" s="1" t="s">
        <v>6646</v>
      </c>
      <c r="AU652" s="1">
        <v>2020.0</v>
      </c>
      <c r="AV652" s="1">
        <v>7.0</v>
      </c>
      <c r="AW652" s="1">
        <v>17.0</v>
      </c>
      <c r="AX652" s="1" t="s">
        <v>74</v>
      </c>
      <c r="AY652" s="1" t="s">
        <v>74</v>
      </c>
      <c r="AZ652" s="1" t="s">
        <v>74</v>
      </c>
      <c r="BA652" s="1" t="s">
        <v>74</v>
      </c>
      <c r="BB652" s="1">
        <v>3049.0</v>
      </c>
      <c r="BC652" s="1">
        <v>3062.0</v>
      </c>
      <c r="BD652" s="1" t="s">
        <v>74</v>
      </c>
      <c r="BE652" s="1" t="s">
        <v>6647</v>
      </c>
      <c r="BF652" s="2" t="str">
        <f>HYPERLINK("http://dx.doi.org/10.1039/d0qi00232a","http://dx.doi.org/10.1039/d0qi00232a")</f>
        <v>http://dx.doi.org/10.1039/d0qi00232a</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6648</v>
      </c>
      <c r="BT652" s="1" t="str">
        <f>HYPERLINK("https%3A%2F%2Fwww.webofscience.com%2Fwos%2Fwoscc%2Ffull-record%2FWOS:000564605900017","View Full Record in Web of Science")</f>
        <v>View Full Record in Web of Science</v>
      </c>
    </row>
    <row r="653" ht="12.75" customHeight="1">
      <c r="A653" s="1" t="s">
        <v>72</v>
      </c>
      <c r="B653" s="1" t="s">
        <v>6649</v>
      </c>
      <c r="C653" s="1" t="s">
        <v>74</v>
      </c>
      <c r="D653" s="1" t="s">
        <v>74</v>
      </c>
      <c r="E653" s="1" t="s">
        <v>74</v>
      </c>
      <c r="F653" s="1" t="s">
        <v>6650</v>
      </c>
      <c r="G653" s="1" t="s">
        <v>74</v>
      </c>
      <c r="H653" s="1" t="s">
        <v>74</v>
      </c>
      <c r="I653" s="1" t="s">
        <v>6651</v>
      </c>
      <c r="J653" s="1" t="s">
        <v>2979</v>
      </c>
      <c r="K653" s="1" t="s">
        <v>74</v>
      </c>
      <c r="L653" s="1" t="s">
        <v>74</v>
      </c>
      <c r="M653" s="1" t="s">
        <v>74</v>
      </c>
      <c r="N653" s="1" t="s">
        <v>74</v>
      </c>
      <c r="O653" s="1" t="s">
        <v>74</v>
      </c>
      <c r="P653" s="1" t="s">
        <v>74</v>
      </c>
      <c r="Q653" s="1" t="s">
        <v>74</v>
      </c>
      <c r="R653" s="1" t="s">
        <v>74</v>
      </c>
      <c r="S653" s="1" t="s">
        <v>74</v>
      </c>
      <c r="T653" s="1" t="s">
        <v>74</v>
      </c>
      <c r="U653" s="1" t="s">
        <v>74</v>
      </c>
      <c r="V653" s="1" t="s">
        <v>6652</v>
      </c>
      <c r="W653" s="1" t="s">
        <v>74</v>
      </c>
      <c r="X653" s="1" t="s">
        <v>74</v>
      </c>
      <c r="Y653" s="1" t="s">
        <v>74</v>
      </c>
      <c r="Z653" s="1" t="s">
        <v>74</v>
      </c>
      <c r="AA653" s="1" t="s">
        <v>74</v>
      </c>
      <c r="AB653" s="1" t="s">
        <v>6653</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2983</v>
      </c>
      <c r="AP653" s="1" t="s">
        <v>2984</v>
      </c>
      <c r="AQ653" s="1" t="s">
        <v>74</v>
      </c>
      <c r="AR653" s="1" t="s">
        <v>74</v>
      </c>
      <c r="AS653" s="1" t="s">
        <v>74</v>
      </c>
      <c r="AT653" s="1" t="s">
        <v>151</v>
      </c>
      <c r="AU653" s="1">
        <v>2019.0</v>
      </c>
      <c r="AV653" s="1">
        <v>74.0</v>
      </c>
      <c r="AW653" s="1" t="s">
        <v>74</v>
      </c>
      <c r="AX653" s="1" t="s">
        <v>74</v>
      </c>
      <c r="AY653" s="1" t="s">
        <v>74</v>
      </c>
      <c r="AZ653" s="1" t="s">
        <v>74</v>
      </c>
      <c r="BA653" s="1" t="s">
        <v>74</v>
      </c>
      <c r="BB653" s="1">
        <v>512.0</v>
      </c>
      <c r="BC653" s="1">
        <v>527.0</v>
      </c>
      <c r="BD653" s="1" t="s">
        <v>74</v>
      </c>
      <c r="BE653" s="1" t="s">
        <v>6654</v>
      </c>
      <c r="BF653" s="2" t="str">
        <f>HYPERLINK("http://dx.doi.org/10.1016/j.apm.2019.05.007","http://dx.doi.org/10.1016/j.apm.2019.05.007")</f>
        <v>http://dx.doi.org/10.1016/j.apm.2019.05.007</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6655</v>
      </c>
      <c r="BT653" s="1" t="str">
        <f>HYPERLINK("https%3A%2F%2Fwww.webofscience.com%2Fwos%2Fwoscc%2Ffull-record%2FWOS:000474317800031","View Full Record in Web of Science")</f>
        <v>View Full Record in Web of Science</v>
      </c>
    </row>
    <row r="654" ht="12.75" customHeight="1">
      <c r="A654" s="1" t="s">
        <v>72</v>
      </c>
      <c r="B654" s="1" t="s">
        <v>6656</v>
      </c>
      <c r="C654" s="1" t="s">
        <v>74</v>
      </c>
      <c r="D654" s="1" t="s">
        <v>74</v>
      </c>
      <c r="E654" s="1" t="s">
        <v>74</v>
      </c>
      <c r="F654" s="1" t="s">
        <v>6657</v>
      </c>
      <c r="G654" s="1" t="s">
        <v>74</v>
      </c>
      <c r="H654" s="1" t="s">
        <v>74</v>
      </c>
      <c r="I654" s="1" t="s">
        <v>6658</v>
      </c>
      <c r="J654" s="1" t="s">
        <v>6659</v>
      </c>
      <c r="K654" s="1" t="s">
        <v>74</v>
      </c>
      <c r="L654" s="1" t="s">
        <v>74</v>
      </c>
      <c r="M654" s="1" t="s">
        <v>74</v>
      </c>
      <c r="N654" s="1" t="s">
        <v>74</v>
      </c>
      <c r="O654" s="1" t="s">
        <v>74</v>
      </c>
      <c r="P654" s="1" t="s">
        <v>74</v>
      </c>
      <c r="Q654" s="1" t="s">
        <v>74</v>
      </c>
      <c r="R654" s="1" t="s">
        <v>74</v>
      </c>
      <c r="S654" s="1" t="s">
        <v>74</v>
      </c>
      <c r="T654" s="1" t="s">
        <v>74</v>
      </c>
      <c r="U654" s="1" t="s">
        <v>74</v>
      </c>
      <c r="V654" s="1" t="s">
        <v>6660</v>
      </c>
      <c r="W654" s="1" t="s">
        <v>74</v>
      </c>
      <c r="X654" s="1" t="s">
        <v>74</v>
      </c>
      <c r="Y654" s="1" t="s">
        <v>74</v>
      </c>
      <c r="Z654" s="1" t="s">
        <v>74</v>
      </c>
      <c r="AA654" s="1" t="s">
        <v>6661</v>
      </c>
      <c r="AB654" s="1" t="s">
        <v>6662</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6663</v>
      </c>
      <c r="AP654" s="1" t="s">
        <v>6664</v>
      </c>
      <c r="AQ654" s="1" t="s">
        <v>74</v>
      </c>
      <c r="AR654" s="1" t="s">
        <v>74</v>
      </c>
      <c r="AS654" s="1" t="s">
        <v>74</v>
      </c>
      <c r="AT654" s="1" t="s">
        <v>241</v>
      </c>
      <c r="AU654" s="1">
        <v>2018.0</v>
      </c>
      <c r="AV654" s="1">
        <v>123.0</v>
      </c>
      <c r="AW654" s="1">
        <v>5.0</v>
      </c>
      <c r="AX654" s="1" t="s">
        <v>74</v>
      </c>
      <c r="AY654" s="1" t="s">
        <v>74</v>
      </c>
      <c r="AZ654" s="1" t="s">
        <v>74</v>
      </c>
      <c r="BA654" s="1" t="s">
        <v>74</v>
      </c>
      <c r="BB654" s="1" t="s">
        <v>74</v>
      </c>
      <c r="BC654" s="1" t="s">
        <v>74</v>
      </c>
      <c r="BD654" s="1">
        <v>54005.0</v>
      </c>
      <c r="BE654" s="1" t="s">
        <v>6665</v>
      </c>
      <c r="BF654" s="2" t="str">
        <f>HYPERLINK("http://dx.doi.org/10.1209/0295-5075/123/54005","http://dx.doi.org/10.1209/0295-5075/123/54005")</f>
        <v>http://dx.doi.org/10.1209/0295-5075/123/54005</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6666</v>
      </c>
      <c r="BT654" s="1" t="str">
        <f>HYPERLINK("https%3A%2F%2Fwww.webofscience.com%2Fwos%2Fwoscc%2Ffull-record%2FWOS:000446886000002","View Full Record in Web of Science")</f>
        <v>View Full Record in Web of Science</v>
      </c>
    </row>
    <row r="655" ht="12.75" customHeight="1">
      <c r="A655" s="1" t="s">
        <v>72</v>
      </c>
      <c r="B655" s="1" t="s">
        <v>6667</v>
      </c>
      <c r="C655" s="1" t="s">
        <v>74</v>
      </c>
      <c r="D655" s="1" t="s">
        <v>74</v>
      </c>
      <c r="E655" s="1" t="s">
        <v>74</v>
      </c>
      <c r="F655" s="1" t="s">
        <v>6668</v>
      </c>
      <c r="G655" s="1" t="s">
        <v>74</v>
      </c>
      <c r="H655" s="1" t="s">
        <v>74</v>
      </c>
      <c r="I655" s="1" t="s">
        <v>6669</v>
      </c>
      <c r="J655" s="1" t="s">
        <v>4956</v>
      </c>
      <c r="K655" s="1" t="s">
        <v>74</v>
      </c>
      <c r="L655" s="1" t="s">
        <v>74</v>
      </c>
      <c r="M655" s="1" t="s">
        <v>74</v>
      </c>
      <c r="N655" s="1" t="s">
        <v>74</v>
      </c>
      <c r="O655" s="1" t="s">
        <v>74</v>
      </c>
      <c r="P655" s="1" t="s">
        <v>74</v>
      </c>
      <c r="Q655" s="1" t="s">
        <v>74</v>
      </c>
      <c r="R655" s="1" t="s">
        <v>74</v>
      </c>
      <c r="S655" s="1" t="s">
        <v>74</v>
      </c>
      <c r="T655" s="1" t="s">
        <v>74</v>
      </c>
      <c r="U655" s="1" t="s">
        <v>74</v>
      </c>
      <c r="V655" s="1" t="s">
        <v>6670</v>
      </c>
      <c r="W655" s="1" t="s">
        <v>74</v>
      </c>
      <c r="X655" s="1" t="s">
        <v>74</v>
      </c>
      <c r="Y655" s="1" t="s">
        <v>74</v>
      </c>
      <c r="Z655" s="1" t="s">
        <v>74</v>
      </c>
      <c r="AA655" s="1" t="s">
        <v>6671</v>
      </c>
      <c r="AB655" s="1" t="s">
        <v>6672</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4961</v>
      </c>
      <c r="AP655" s="1" t="s">
        <v>4962</v>
      </c>
      <c r="AQ655" s="1" t="s">
        <v>74</v>
      </c>
      <c r="AR655" s="1" t="s">
        <v>74</v>
      </c>
      <c r="AS655" s="1" t="s">
        <v>74</v>
      </c>
      <c r="AT655" s="1" t="s">
        <v>2585</v>
      </c>
      <c r="AU655" s="1">
        <v>2018.0</v>
      </c>
      <c r="AV655" s="1">
        <v>124.0</v>
      </c>
      <c r="AW655" s="1" t="s">
        <v>74</v>
      </c>
      <c r="AX655" s="1" t="s">
        <v>74</v>
      </c>
      <c r="AY655" s="1" t="s">
        <v>74</v>
      </c>
      <c r="AZ655" s="1" t="s">
        <v>74</v>
      </c>
      <c r="BA655" s="1" t="s">
        <v>74</v>
      </c>
      <c r="BB655" s="1">
        <v>176.0</v>
      </c>
      <c r="BC655" s="1">
        <v>188.0</v>
      </c>
      <c r="BD655" s="1" t="s">
        <v>74</v>
      </c>
      <c r="BE655" s="1" t="s">
        <v>6673</v>
      </c>
      <c r="BF655" s="2" t="str">
        <f>HYPERLINK("http://dx.doi.org/10.1016/j.freeradbiomed.2018.06.005","http://dx.doi.org/10.1016/j.freeradbiomed.2018.06.005")</f>
        <v>http://dx.doi.org/10.1016/j.freeradbiomed.2018.06.005</v>
      </c>
      <c r="BG655" s="1" t="s">
        <v>74</v>
      </c>
      <c r="BH655" s="1" t="s">
        <v>74</v>
      </c>
      <c r="BI655" s="1" t="s">
        <v>74</v>
      </c>
      <c r="BJ655" s="1" t="s">
        <v>74</v>
      </c>
      <c r="BK655" s="1" t="s">
        <v>74</v>
      </c>
      <c r="BL655" s="1" t="s">
        <v>74</v>
      </c>
      <c r="BM655" s="1" t="s">
        <v>74</v>
      </c>
      <c r="BN655" s="1">
        <v>2.9885785E7</v>
      </c>
      <c r="BO655" s="1" t="s">
        <v>74</v>
      </c>
      <c r="BP655" s="1" t="s">
        <v>74</v>
      </c>
      <c r="BQ655" s="1" t="s">
        <v>74</v>
      </c>
      <c r="BR655" s="1" t="s">
        <v>74</v>
      </c>
      <c r="BS655" s="1" t="s">
        <v>6674</v>
      </c>
      <c r="BT655" s="1" t="str">
        <f>HYPERLINK("https%3A%2F%2Fwww.webofscience.com%2Fwos%2Fwoscc%2Ffull-record%2FWOS:000441516300016","View Full Record in Web of Science")</f>
        <v>View Full Record in Web of Science</v>
      </c>
    </row>
    <row r="656" ht="12.75" customHeight="1">
      <c r="A656" s="1" t="s">
        <v>72</v>
      </c>
      <c r="B656" s="1" t="s">
        <v>6675</v>
      </c>
      <c r="C656" s="1" t="s">
        <v>74</v>
      </c>
      <c r="D656" s="1" t="s">
        <v>74</v>
      </c>
      <c r="E656" s="1" t="s">
        <v>74</v>
      </c>
      <c r="F656" s="1" t="s">
        <v>6676</v>
      </c>
      <c r="G656" s="1" t="s">
        <v>74</v>
      </c>
      <c r="H656" s="1" t="s">
        <v>74</v>
      </c>
      <c r="I656" s="1" t="s">
        <v>6677</v>
      </c>
      <c r="J656" s="1" t="s">
        <v>6678</v>
      </c>
      <c r="K656" s="1" t="s">
        <v>74</v>
      </c>
      <c r="L656" s="1" t="s">
        <v>74</v>
      </c>
      <c r="M656" s="1" t="s">
        <v>74</v>
      </c>
      <c r="N656" s="1" t="s">
        <v>74</v>
      </c>
      <c r="O656" s="1" t="s">
        <v>74</v>
      </c>
      <c r="P656" s="1" t="s">
        <v>74</v>
      </c>
      <c r="Q656" s="1" t="s">
        <v>74</v>
      </c>
      <c r="R656" s="1" t="s">
        <v>74</v>
      </c>
      <c r="S656" s="1" t="s">
        <v>74</v>
      </c>
      <c r="T656" s="1" t="s">
        <v>74</v>
      </c>
      <c r="U656" s="1" t="s">
        <v>74</v>
      </c>
      <c r="V656" s="1" t="s">
        <v>6679</v>
      </c>
      <c r="W656" s="1" t="s">
        <v>74</v>
      </c>
      <c r="X656" s="1" t="s">
        <v>74</v>
      </c>
      <c r="Y656" s="1" t="s">
        <v>74</v>
      </c>
      <c r="Z656" s="1" t="s">
        <v>74</v>
      </c>
      <c r="AA656" s="1" t="s">
        <v>6680</v>
      </c>
      <c r="AB656" s="1" t="s">
        <v>6681</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6682</v>
      </c>
      <c r="AP656" s="1" t="s">
        <v>6683</v>
      </c>
      <c r="AQ656" s="1" t="s">
        <v>74</v>
      </c>
      <c r="AR656" s="1" t="s">
        <v>74</v>
      </c>
      <c r="AS656" s="1" t="s">
        <v>74</v>
      </c>
      <c r="AT656" s="1" t="s">
        <v>6684</v>
      </c>
      <c r="AU656" s="1">
        <v>2018.0</v>
      </c>
      <c r="AV656" s="1">
        <v>10.0</v>
      </c>
      <c r="AW656" s="1">
        <v>16.0</v>
      </c>
      <c r="AX656" s="1" t="s">
        <v>74</v>
      </c>
      <c r="AY656" s="1" t="s">
        <v>74</v>
      </c>
      <c r="AZ656" s="1" t="s">
        <v>74</v>
      </c>
      <c r="BA656" s="1" t="s">
        <v>74</v>
      </c>
      <c r="BB656" s="1">
        <v>13361.0</v>
      </c>
      <c r="BC656" s="1">
        <v>13372.0</v>
      </c>
      <c r="BD656" s="1" t="s">
        <v>74</v>
      </c>
      <c r="BE656" s="1" t="s">
        <v>6685</v>
      </c>
      <c r="BF656" s="2" t="str">
        <f>HYPERLINK("http://dx.doi.org/10.1021/acsami.8b02347","http://dx.doi.org/10.1021/acsami.8b02347")</f>
        <v>http://dx.doi.org/10.1021/acsami.8b02347</v>
      </c>
      <c r="BG656" s="1" t="s">
        <v>74</v>
      </c>
      <c r="BH656" s="1" t="s">
        <v>74</v>
      </c>
      <c r="BI656" s="1" t="s">
        <v>74</v>
      </c>
      <c r="BJ656" s="1" t="s">
        <v>74</v>
      </c>
      <c r="BK656" s="1" t="s">
        <v>74</v>
      </c>
      <c r="BL656" s="1" t="s">
        <v>74</v>
      </c>
      <c r="BM656" s="1" t="s">
        <v>74</v>
      </c>
      <c r="BN656" s="1">
        <v>2.962798E7</v>
      </c>
      <c r="BO656" s="1" t="s">
        <v>74</v>
      </c>
      <c r="BP656" s="1" t="s">
        <v>74</v>
      </c>
      <c r="BQ656" s="1" t="s">
        <v>74</v>
      </c>
      <c r="BR656" s="1" t="s">
        <v>74</v>
      </c>
      <c r="BS656" s="1" t="s">
        <v>6686</v>
      </c>
      <c r="BT656" s="1" t="str">
        <f>HYPERLINK("https%3A%2F%2Fwww.webofscience.com%2Fwos%2Fwoscc%2Ffull-record%2FWOS:000431150900013","View Full Record in Web of Science")</f>
        <v>View Full Record in Web of Science</v>
      </c>
    </row>
    <row r="657" ht="12.75" customHeight="1">
      <c r="A657" s="1" t="s">
        <v>72</v>
      </c>
      <c r="B657" s="1" t="s">
        <v>6687</v>
      </c>
      <c r="C657" s="1" t="s">
        <v>74</v>
      </c>
      <c r="D657" s="1" t="s">
        <v>74</v>
      </c>
      <c r="E657" s="1" t="s">
        <v>74</v>
      </c>
      <c r="F657" s="1" t="s">
        <v>6688</v>
      </c>
      <c r="G657" s="1" t="s">
        <v>74</v>
      </c>
      <c r="H657" s="1" t="s">
        <v>74</v>
      </c>
      <c r="I657" s="1" t="s">
        <v>6689</v>
      </c>
      <c r="J657" s="1" t="s">
        <v>5721</v>
      </c>
      <c r="K657" s="1" t="s">
        <v>74</v>
      </c>
      <c r="L657" s="1" t="s">
        <v>74</v>
      </c>
      <c r="M657" s="1" t="s">
        <v>74</v>
      </c>
      <c r="N657" s="1" t="s">
        <v>74</v>
      </c>
      <c r="O657" s="1" t="s">
        <v>74</v>
      </c>
      <c r="P657" s="1" t="s">
        <v>74</v>
      </c>
      <c r="Q657" s="1" t="s">
        <v>74</v>
      </c>
      <c r="R657" s="1" t="s">
        <v>74</v>
      </c>
      <c r="S657" s="1" t="s">
        <v>74</v>
      </c>
      <c r="T657" s="1" t="s">
        <v>74</v>
      </c>
      <c r="U657" s="1" t="s">
        <v>74</v>
      </c>
      <c r="V657" s="1" t="s">
        <v>6690</v>
      </c>
      <c r="W657" s="1" t="s">
        <v>74</v>
      </c>
      <c r="X657" s="1" t="s">
        <v>74</v>
      </c>
      <c r="Y657" s="1" t="s">
        <v>74</v>
      </c>
      <c r="Z657" s="1" t="s">
        <v>74</v>
      </c>
      <c r="AA657" s="1" t="s">
        <v>6691</v>
      </c>
      <c r="AB657" s="1" t="s">
        <v>6692</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74</v>
      </c>
      <c r="AP657" s="1" t="s">
        <v>5725</v>
      </c>
      <c r="AQ657" s="1" t="s">
        <v>74</v>
      </c>
      <c r="AR657" s="1" t="s">
        <v>74</v>
      </c>
      <c r="AS657" s="1" t="s">
        <v>74</v>
      </c>
      <c r="AT657" s="1" t="s">
        <v>974</v>
      </c>
      <c r="AU657" s="1">
        <v>2017.0</v>
      </c>
      <c r="AV657" s="1">
        <v>9.0</v>
      </c>
      <c r="AW657" s="1">
        <v>7.0</v>
      </c>
      <c r="AX657" s="1" t="s">
        <v>74</v>
      </c>
      <c r="AY657" s="1" t="s">
        <v>74</v>
      </c>
      <c r="AZ657" s="1" t="s">
        <v>74</v>
      </c>
      <c r="BA657" s="1" t="s">
        <v>74</v>
      </c>
      <c r="BB657" s="1" t="s">
        <v>74</v>
      </c>
      <c r="BC657" s="1" t="s">
        <v>74</v>
      </c>
      <c r="BD657" s="1">
        <v>695.0</v>
      </c>
      <c r="BE657" s="1" t="s">
        <v>6693</v>
      </c>
      <c r="BF657" s="2" t="str">
        <f>HYPERLINK("http://dx.doi.org/10.3390/nu9070695","http://dx.doi.org/10.3390/nu9070695")</f>
        <v>http://dx.doi.org/10.3390/nu9070695</v>
      </c>
      <c r="BG657" s="1" t="s">
        <v>74</v>
      </c>
      <c r="BH657" s="1" t="s">
        <v>74</v>
      </c>
      <c r="BI657" s="1" t="s">
        <v>74</v>
      </c>
      <c r="BJ657" s="1" t="s">
        <v>74</v>
      </c>
      <c r="BK657" s="1" t="s">
        <v>74</v>
      </c>
      <c r="BL657" s="1" t="s">
        <v>74</v>
      </c>
      <c r="BM657" s="1" t="s">
        <v>74</v>
      </c>
      <c r="BN657" s="1">
        <v>2.8677652E7</v>
      </c>
      <c r="BO657" s="1" t="s">
        <v>74</v>
      </c>
      <c r="BP657" s="1" t="s">
        <v>74</v>
      </c>
      <c r="BQ657" s="1" t="s">
        <v>74</v>
      </c>
      <c r="BR657" s="1" t="s">
        <v>74</v>
      </c>
      <c r="BS657" s="1" t="s">
        <v>6694</v>
      </c>
      <c r="BT657" s="1" t="str">
        <f>HYPERLINK("https%3A%2F%2Fwww.webofscience.com%2Fwos%2Fwoscc%2Ffull-record%2FWOS:000406679700052","View Full Record in Web of Science")</f>
        <v>View Full Record in Web of Science</v>
      </c>
    </row>
    <row r="658" ht="12.75" customHeight="1">
      <c r="A658" s="1" t="s">
        <v>72</v>
      </c>
      <c r="B658" s="1" t="s">
        <v>6695</v>
      </c>
      <c r="C658" s="1" t="s">
        <v>74</v>
      </c>
      <c r="D658" s="1" t="s">
        <v>74</v>
      </c>
      <c r="E658" s="1" t="s">
        <v>74</v>
      </c>
      <c r="F658" s="1" t="s">
        <v>6696</v>
      </c>
      <c r="G658" s="1" t="s">
        <v>74</v>
      </c>
      <c r="H658" s="1" t="s">
        <v>74</v>
      </c>
      <c r="I658" s="1" t="s">
        <v>6697</v>
      </c>
      <c r="J658" s="1" t="s">
        <v>6698</v>
      </c>
      <c r="K658" s="1" t="s">
        <v>74</v>
      </c>
      <c r="L658" s="1" t="s">
        <v>74</v>
      </c>
      <c r="M658" s="1" t="s">
        <v>74</v>
      </c>
      <c r="N658" s="1" t="s">
        <v>74</v>
      </c>
      <c r="O658" s="1" t="s">
        <v>74</v>
      </c>
      <c r="P658" s="1" t="s">
        <v>74</v>
      </c>
      <c r="Q658" s="1" t="s">
        <v>74</v>
      </c>
      <c r="R658" s="1" t="s">
        <v>74</v>
      </c>
      <c r="S658" s="1" t="s">
        <v>74</v>
      </c>
      <c r="T658" s="1" t="s">
        <v>74</v>
      </c>
      <c r="U658" s="1" t="s">
        <v>74</v>
      </c>
      <c r="V658" s="1" t="s">
        <v>6699</v>
      </c>
      <c r="W658" s="1" t="s">
        <v>74</v>
      </c>
      <c r="X658" s="1" t="s">
        <v>74</v>
      </c>
      <c r="Y658" s="1" t="s">
        <v>74</v>
      </c>
      <c r="Z658" s="1" t="s">
        <v>74</v>
      </c>
      <c r="AA658" s="1" t="s">
        <v>6700</v>
      </c>
      <c r="AB658" s="1" t="s">
        <v>6701</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6702</v>
      </c>
      <c r="AP658" s="1" t="s">
        <v>74</v>
      </c>
      <c r="AQ658" s="1" t="s">
        <v>74</v>
      </c>
      <c r="AR658" s="1" t="s">
        <v>74</v>
      </c>
      <c r="AS658" s="1" t="s">
        <v>74</v>
      </c>
      <c r="AT658" s="1" t="s">
        <v>74</v>
      </c>
      <c r="AU658" s="1">
        <v>2017.0</v>
      </c>
      <c r="AV658" s="1">
        <v>24.0</v>
      </c>
      <c r="AW658" s="1">
        <v>2.0</v>
      </c>
      <c r="AX658" s="1" t="s">
        <v>74</v>
      </c>
      <c r="AY658" s="1" t="s">
        <v>74</v>
      </c>
      <c r="AZ658" s="1" t="s">
        <v>1350</v>
      </c>
      <c r="BA658" s="1" t="s">
        <v>74</v>
      </c>
      <c r="BB658" s="1">
        <v>310.0</v>
      </c>
      <c r="BC658" s="1">
        <v>331.0</v>
      </c>
      <c r="BD658" s="1" t="s">
        <v>74</v>
      </c>
      <c r="BE658" s="1" t="s">
        <v>6703</v>
      </c>
      <c r="BF658" s="2" t="str">
        <f>HYPERLINK("http://dx.doi.org/10.1108/CCSM-03-2016-0072","http://dx.doi.org/10.1108/CCSM-03-2016-0072")</f>
        <v>http://dx.doi.org/10.1108/CCSM-03-2016-0072</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6704</v>
      </c>
      <c r="BT658" s="1" t="str">
        <f>HYPERLINK("https%3A%2F%2Fwww.webofscience.com%2Fwos%2Fwoscc%2Ffull-record%2FWOS:000402883000007","View Full Record in Web of Science")</f>
        <v>View Full Record in Web of Science</v>
      </c>
    </row>
    <row r="659" ht="12.75" customHeight="1">
      <c r="A659" s="1" t="s">
        <v>72</v>
      </c>
      <c r="B659" s="1" t="s">
        <v>6705</v>
      </c>
      <c r="C659" s="1" t="s">
        <v>74</v>
      </c>
      <c r="D659" s="1" t="s">
        <v>74</v>
      </c>
      <c r="E659" s="1" t="s">
        <v>74</v>
      </c>
      <c r="F659" s="1" t="s">
        <v>6706</v>
      </c>
      <c r="G659" s="1" t="s">
        <v>74</v>
      </c>
      <c r="H659" s="1" t="s">
        <v>74</v>
      </c>
      <c r="I659" s="1" t="s">
        <v>6707</v>
      </c>
      <c r="J659" s="1" t="s">
        <v>6708</v>
      </c>
      <c r="K659" s="1" t="s">
        <v>74</v>
      </c>
      <c r="L659" s="1" t="s">
        <v>74</v>
      </c>
      <c r="M659" s="1" t="s">
        <v>74</v>
      </c>
      <c r="N659" s="1" t="s">
        <v>74</v>
      </c>
      <c r="O659" s="1" t="s">
        <v>74</v>
      </c>
      <c r="P659" s="1" t="s">
        <v>74</v>
      </c>
      <c r="Q659" s="1" t="s">
        <v>74</v>
      </c>
      <c r="R659" s="1" t="s">
        <v>74</v>
      </c>
      <c r="S659" s="1" t="s">
        <v>74</v>
      </c>
      <c r="T659" s="1" t="s">
        <v>74</v>
      </c>
      <c r="U659" s="1" t="s">
        <v>74</v>
      </c>
      <c r="V659" s="1" t="s">
        <v>6709</v>
      </c>
      <c r="W659" s="1" t="s">
        <v>74</v>
      </c>
      <c r="X659" s="1" t="s">
        <v>74</v>
      </c>
      <c r="Y659" s="1" t="s">
        <v>74</v>
      </c>
      <c r="Z659" s="1" t="s">
        <v>74</v>
      </c>
      <c r="AA659" s="1" t="s">
        <v>6710</v>
      </c>
      <c r="AB659" s="1" t="s">
        <v>6711</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6712</v>
      </c>
      <c r="AP659" s="1" t="s">
        <v>6713</v>
      </c>
      <c r="AQ659" s="1" t="s">
        <v>74</v>
      </c>
      <c r="AR659" s="1" t="s">
        <v>74</v>
      </c>
      <c r="AS659" s="1" t="s">
        <v>74</v>
      </c>
      <c r="AT659" s="1" t="s">
        <v>385</v>
      </c>
      <c r="AU659" s="1">
        <v>2015.0</v>
      </c>
      <c r="AV659" s="1">
        <v>9.0</v>
      </c>
      <c r="AW659" s="1">
        <v>3.0</v>
      </c>
      <c r="AX659" s="1" t="s">
        <v>74</v>
      </c>
      <c r="AY659" s="1" t="s">
        <v>74</v>
      </c>
      <c r="AZ659" s="1" t="s">
        <v>74</v>
      </c>
      <c r="BA659" s="1" t="s">
        <v>74</v>
      </c>
      <c r="BB659" s="1">
        <v>354.0</v>
      </c>
      <c r="BC659" s="1">
        <v>367.0</v>
      </c>
      <c r="BD659" s="1" t="s">
        <v>74</v>
      </c>
      <c r="BE659" s="1" t="s">
        <v>6714</v>
      </c>
      <c r="BF659" s="2" t="str">
        <f>HYPERLINK("http://dx.doi.org/10.1049/iet-cvi.2013.0301","http://dx.doi.org/10.1049/iet-cvi.2013.0301")</f>
        <v>http://dx.doi.org/10.1049/iet-cvi.2013.0301</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6715</v>
      </c>
      <c r="BT659" s="1" t="str">
        <f>HYPERLINK("https%3A%2F%2Fwww.webofscience.com%2Fwos%2Fwoscc%2Ffull-record%2FWOS:000354370600005","View Full Record in Web of Science")</f>
        <v>View Full Record in Web of Science</v>
      </c>
    </row>
    <row r="660" ht="12.75" customHeight="1">
      <c r="A660" s="1" t="s">
        <v>72</v>
      </c>
      <c r="B660" s="1" t="s">
        <v>6716</v>
      </c>
      <c r="C660" s="1" t="s">
        <v>74</v>
      </c>
      <c r="D660" s="1" t="s">
        <v>74</v>
      </c>
      <c r="E660" s="1" t="s">
        <v>74</v>
      </c>
      <c r="F660" s="1" t="s">
        <v>6717</v>
      </c>
      <c r="G660" s="1" t="s">
        <v>74</v>
      </c>
      <c r="H660" s="1" t="s">
        <v>74</v>
      </c>
      <c r="I660" s="1" t="s">
        <v>6718</v>
      </c>
      <c r="J660" s="1" t="s">
        <v>6719</v>
      </c>
      <c r="K660" s="1" t="s">
        <v>74</v>
      </c>
      <c r="L660" s="1" t="s">
        <v>74</v>
      </c>
      <c r="M660" s="1" t="s">
        <v>74</v>
      </c>
      <c r="N660" s="1" t="s">
        <v>74</v>
      </c>
      <c r="O660" s="1" t="s">
        <v>74</v>
      </c>
      <c r="P660" s="1" t="s">
        <v>74</v>
      </c>
      <c r="Q660" s="1" t="s">
        <v>74</v>
      </c>
      <c r="R660" s="1" t="s">
        <v>74</v>
      </c>
      <c r="S660" s="1" t="s">
        <v>74</v>
      </c>
      <c r="T660" s="1" t="s">
        <v>74</v>
      </c>
      <c r="U660" s="1" t="s">
        <v>74</v>
      </c>
      <c r="V660" s="1" t="s">
        <v>6720</v>
      </c>
      <c r="W660" s="1" t="s">
        <v>74</v>
      </c>
      <c r="X660" s="1" t="s">
        <v>74</v>
      </c>
      <c r="Y660" s="1" t="s">
        <v>74</v>
      </c>
      <c r="Z660" s="1" t="s">
        <v>74</v>
      </c>
      <c r="AA660" s="1" t="s">
        <v>6721</v>
      </c>
      <c r="AB660" s="1" t="s">
        <v>6722</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6723</v>
      </c>
      <c r="AP660" s="1" t="s">
        <v>6724</v>
      </c>
      <c r="AQ660" s="1" t="s">
        <v>74</v>
      </c>
      <c r="AR660" s="1" t="s">
        <v>74</v>
      </c>
      <c r="AS660" s="1" t="s">
        <v>74</v>
      </c>
      <c r="AT660" s="1" t="s">
        <v>600</v>
      </c>
      <c r="AU660" s="1">
        <v>2014.0</v>
      </c>
      <c r="AV660" s="1">
        <v>108.0</v>
      </c>
      <c r="AW660" s="1" t="s">
        <v>74</v>
      </c>
      <c r="AX660" s="1" t="s">
        <v>74</v>
      </c>
      <c r="AY660" s="1" t="s">
        <v>74</v>
      </c>
      <c r="AZ660" s="1" t="s">
        <v>74</v>
      </c>
      <c r="BA660" s="1" t="s">
        <v>74</v>
      </c>
      <c r="BB660" s="1">
        <v>212.0</v>
      </c>
      <c r="BC660" s="1">
        <v>222.0</v>
      </c>
      <c r="BD660" s="1" t="s">
        <v>74</v>
      </c>
      <c r="BE660" s="1" t="s">
        <v>6725</v>
      </c>
      <c r="BF660" s="2" t="str">
        <f>HYPERLINK("http://dx.doi.org/10.1016/j.compstruct.2013.08.034","http://dx.doi.org/10.1016/j.compstruct.2013.08.034")</f>
        <v>http://dx.doi.org/10.1016/j.compstruct.2013.08.034</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6726</v>
      </c>
      <c r="BT660" s="1" t="str">
        <f>HYPERLINK("https%3A%2F%2Fwww.webofscience.com%2Fwos%2Fwoscc%2Ffull-record%2FWOS:000329881500021","View Full Record in Web of Science")</f>
        <v>View Full Record in Web of Science</v>
      </c>
    </row>
    <row r="661" ht="12.75" customHeight="1">
      <c r="A661" s="1" t="s">
        <v>72</v>
      </c>
      <c r="B661" s="1" t="s">
        <v>6727</v>
      </c>
      <c r="C661" s="1" t="s">
        <v>74</v>
      </c>
      <c r="D661" s="1" t="s">
        <v>74</v>
      </c>
      <c r="E661" s="1" t="s">
        <v>74</v>
      </c>
      <c r="F661" s="1" t="s">
        <v>6728</v>
      </c>
      <c r="G661" s="1" t="s">
        <v>74</v>
      </c>
      <c r="H661" s="1" t="s">
        <v>74</v>
      </c>
      <c r="I661" s="1" t="s">
        <v>6729</v>
      </c>
      <c r="J661" s="1" t="s">
        <v>171</v>
      </c>
      <c r="K661" s="1" t="s">
        <v>74</v>
      </c>
      <c r="L661" s="1" t="s">
        <v>74</v>
      </c>
      <c r="M661" s="1" t="s">
        <v>74</v>
      </c>
      <c r="N661" s="1" t="s">
        <v>74</v>
      </c>
      <c r="O661" s="1" t="s">
        <v>74</v>
      </c>
      <c r="P661" s="1" t="s">
        <v>74</v>
      </c>
      <c r="Q661" s="1" t="s">
        <v>74</v>
      </c>
      <c r="R661" s="1" t="s">
        <v>74</v>
      </c>
      <c r="S661" s="1" t="s">
        <v>74</v>
      </c>
      <c r="T661" s="1" t="s">
        <v>74</v>
      </c>
      <c r="U661" s="1" t="s">
        <v>74</v>
      </c>
      <c r="V661" s="1" t="s">
        <v>6730</v>
      </c>
      <c r="W661" s="1" t="s">
        <v>74</v>
      </c>
      <c r="X661" s="1" t="s">
        <v>74</v>
      </c>
      <c r="Y661" s="1" t="s">
        <v>74</v>
      </c>
      <c r="Z661" s="1" t="s">
        <v>74</v>
      </c>
      <c r="AA661" s="1" t="s">
        <v>2661</v>
      </c>
      <c r="AB661" s="1" t="s">
        <v>6731</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175</v>
      </c>
      <c r="AP661" s="1" t="s">
        <v>4367</v>
      </c>
      <c r="AQ661" s="1" t="s">
        <v>74</v>
      </c>
      <c r="AR661" s="1" t="s">
        <v>74</v>
      </c>
      <c r="AS661" s="1" t="s">
        <v>74</v>
      </c>
      <c r="AT661" s="1" t="s">
        <v>600</v>
      </c>
      <c r="AU661" s="1">
        <v>2012.0</v>
      </c>
      <c r="AV661" s="1">
        <v>24.0</v>
      </c>
      <c r="AW661" s="1">
        <v>2.0</v>
      </c>
      <c r="AX661" s="1" t="s">
        <v>74</v>
      </c>
      <c r="AY661" s="1" t="s">
        <v>74</v>
      </c>
      <c r="AZ661" s="1" t="s">
        <v>74</v>
      </c>
      <c r="BA661" s="1" t="s">
        <v>74</v>
      </c>
      <c r="BB661" s="1">
        <v>386.0</v>
      </c>
      <c r="BC661" s="1">
        <v>391.0</v>
      </c>
      <c r="BD661" s="1" t="s">
        <v>74</v>
      </c>
      <c r="BE661" s="1" t="s">
        <v>6732</v>
      </c>
      <c r="BF661" s="2" t="str">
        <f>HYPERLINK("http://dx.doi.org/10.1002/elan.201100571","http://dx.doi.org/10.1002/elan.201100571")</f>
        <v>http://dx.doi.org/10.1002/elan.201100571</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6733</v>
      </c>
      <c r="BT661" s="1" t="str">
        <f>HYPERLINK("https%3A%2F%2Fwww.webofscience.com%2Fwos%2Fwoscc%2Ffull-record%2FWOS:000299738900025","View Full Record in Web of Science")</f>
        <v>View Full Record in Web of Science</v>
      </c>
    </row>
    <row r="662" ht="12.75" customHeight="1">
      <c r="A662" s="1" t="s">
        <v>72</v>
      </c>
      <c r="B662" s="1" t="s">
        <v>6734</v>
      </c>
      <c r="C662" s="1" t="s">
        <v>74</v>
      </c>
      <c r="D662" s="1" t="s">
        <v>74</v>
      </c>
      <c r="E662" s="1" t="s">
        <v>74</v>
      </c>
      <c r="F662" s="1" t="s">
        <v>6735</v>
      </c>
      <c r="G662" s="1" t="s">
        <v>74</v>
      </c>
      <c r="H662" s="1" t="s">
        <v>74</v>
      </c>
      <c r="I662" s="1" t="s">
        <v>6736</v>
      </c>
      <c r="J662" s="1" t="s">
        <v>6737</v>
      </c>
      <c r="K662" s="1" t="s">
        <v>74</v>
      </c>
      <c r="L662" s="1" t="s">
        <v>74</v>
      </c>
      <c r="M662" s="1" t="s">
        <v>74</v>
      </c>
      <c r="N662" s="1" t="s">
        <v>74</v>
      </c>
      <c r="O662" s="1" t="s">
        <v>74</v>
      </c>
      <c r="P662" s="1" t="s">
        <v>74</v>
      </c>
      <c r="Q662" s="1" t="s">
        <v>74</v>
      </c>
      <c r="R662" s="1" t="s">
        <v>74</v>
      </c>
      <c r="S662" s="1" t="s">
        <v>74</v>
      </c>
      <c r="T662" s="1" t="s">
        <v>74</v>
      </c>
      <c r="U662" s="1" t="s">
        <v>74</v>
      </c>
      <c r="V662" s="1" t="s">
        <v>6738</v>
      </c>
      <c r="W662" s="1" t="s">
        <v>74</v>
      </c>
      <c r="X662" s="1" t="s">
        <v>74</v>
      </c>
      <c r="Y662" s="1" t="s">
        <v>74</v>
      </c>
      <c r="Z662" s="1" t="s">
        <v>74</v>
      </c>
      <c r="AA662" s="1" t="s">
        <v>6739</v>
      </c>
      <c r="AB662" s="1" t="s">
        <v>6740</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6741</v>
      </c>
      <c r="AP662" s="1" t="s">
        <v>6742</v>
      </c>
      <c r="AQ662" s="1" t="s">
        <v>74</v>
      </c>
      <c r="AR662" s="1" t="s">
        <v>74</v>
      </c>
      <c r="AS662" s="1" t="s">
        <v>74</v>
      </c>
      <c r="AT662" s="1" t="s">
        <v>6743</v>
      </c>
      <c r="AU662" s="1">
        <v>2010.0</v>
      </c>
      <c r="AV662" s="1">
        <v>51.0</v>
      </c>
      <c r="AW662" s="1">
        <v>15.0</v>
      </c>
      <c r="AX662" s="1" t="s">
        <v>74</v>
      </c>
      <c r="AY662" s="1" t="s">
        <v>74</v>
      </c>
      <c r="AZ662" s="1" t="s">
        <v>74</v>
      </c>
      <c r="BA662" s="1" t="s">
        <v>74</v>
      </c>
      <c r="BB662" s="1">
        <v>3445.0</v>
      </c>
      <c r="BC662" s="1">
        <v>3452.0</v>
      </c>
      <c r="BD662" s="1" t="s">
        <v>74</v>
      </c>
      <c r="BE662" s="1" t="s">
        <v>6744</v>
      </c>
      <c r="BF662" s="2" t="str">
        <f>HYPERLINK("http://dx.doi.org/10.1016/j.polymer.2010.05.054","http://dx.doi.org/10.1016/j.polymer.2010.05.054")</f>
        <v>http://dx.doi.org/10.1016/j.polymer.2010.05.054</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6745</v>
      </c>
      <c r="BT662" s="1" t="str">
        <f>HYPERLINK("https%3A%2F%2Fwww.webofscience.com%2Fwos%2Fwoscc%2Ffull-record%2FWOS:000279756000017","View Full Record in Web of Science")</f>
        <v>View Full Record in Web of Science</v>
      </c>
    </row>
    <row r="663" ht="12.75" customHeight="1">
      <c r="A663" s="1" t="s">
        <v>72</v>
      </c>
      <c r="B663" s="1" t="s">
        <v>6746</v>
      </c>
      <c r="C663" s="1" t="s">
        <v>74</v>
      </c>
      <c r="D663" s="1" t="s">
        <v>74</v>
      </c>
      <c r="E663" s="1" t="s">
        <v>74</v>
      </c>
      <c r="F663" s="1" t="s">
        <v>6746</v>
      </c>
      <c r="G663" s="1" t="s">
        <v>74</v>
      </c>
      <c r="H663" s="1" t="s">
        <v>74</v>
      </c>
      <c r="I663" s="1" t="s">
        <v>6747</v>
      </c>
      <c r="J663" s="1" t="s">
        <v>6748</v>
      </c>
      <c r="K663" s="1" t="s">
        <v>74</v>
      </c>
      <c r="L663" s="1" t="s">
        <v>74</v>
      </c>
      <c r="M663" s="1" t="s">
        <v>74</v>
      </c>
      <c r="N663" s="1" t="s">
        <v>74</v>
      </c>
      <c r="O663" s="1" t="s">
        <v>74</v>
      </c>
      <c r="P663" s="1" t="s">
        <v>74</v>
      </c>
      <c r="Q663" s="1" t="s">
        <v>74</v>
      </c>
      <c r="R663" s="1" t="s">
        <v>74</v>
      </c>
      <c r="S663" s="1" t="s">
        <v>74</v>
      </c>
      <c r="T663" s="1" t="s">
        <v>74</v>
      </c>
      <c r="U663" s="1" t="s">
        <v>74</v>
      </c>
      <c r="V663" s="1" t="s">
        <v>6749</v>
      </c>
      <c r="W663" s="1" t="s">
        <v>74</v>
      </c>
      <c r="X663" s="1" t="s">
        <v>74</v>
      </c>
      <c r="Y663" s="1" t="s">
        <v>74</v>
      </c>
      <c r="Z663" s="1" t="s">
        <v>74</v>
      </c>
      <c r="AA663" s="1" t="s">
        <v>6750</v>
      </c>
      <c r="AB663" s="1" t="s">
        <v>6751</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6752</v>
      </c>
      <c r="AP663" s="1" t="s">
        <v>6753</v>
      </c>
      <c r="AQ663" s="1" t="s">
        <v>74</v>
      </c>
      <c r="AR663" s="1" t="s">
        <v>74</v>
      </c>
      <c r="AS663" s="1" t="s">
        <v>74</v>
      </c>
      <c r="AT663" s="1" t="s">
        <v>600</v>
      </c>
      <c r="AU663" s="1">
        <v>2005.0</v>
      </c>
      <c r="AV663" s="1">
        <v>24.0</v>
      </c>
      <c r="AW663" s="1">
        <v>2.0</v>
      </c>
      <c r="AX663" s="1" t="s">
        <v>74</v>
      </c>
      <c r="AY663" s="1" t="s">
        <v>74</v>
      </c>
      <c r="AZ663" s="1" t="s">
        <v>74</v>
      </c>
      <c r="BA663" s="1" t="s">
        <v>74</v>
      </c>
      <c r="BB663" s="1">
        <v>225.0</v>
      </c>
      <c r="BC663" s="1">
        <v>230.0</v>
      </c>
      <c r="BD663" s="1" t="s">
        <v>74</v>
      </c>
      <c r="BE663" s="1" t="s">
        <v>6754</v>
      </c>
      <c r="BF663" s="2" t="str">
        <f>HYPERLINK("http://dx.doi.org/10.7863/jum.2005.24.2.225","http://dx.doi.org/10.7863/jum.2005.24.2.225")</f>
        <v>http://dx.doi.org/10.7863/jum.2005.24.2.225</v>
      </c>
      <c r="BG663" s="1" t="s">
        <v>74</v>
      </c>
      <c r="BH663" s="1" t="s">
        <v>74</v>
      </c>
      <c r="BI663" s="1" t="s">
        <v>74</v>
      </c>
      <c r="BJ663" s="1" t="s">
        <v>74</v>
      </c>
      <c r="BK663" s="1" t="s">
        <v>74</v>
      </c>
      <c r="BL663" s="1" t="s">
        <v>74</v>
      </c>
      <c r="BM663" s="1" t="s">
        <v>74</v>
      </c>
      <c r="BN663" s="1">
        <v>1.5661955E7</v>
      </c>
      <c r="BO663" s="1" t="s">
        <v>74</v>
      </c>
      <c r="BP663" s="1" t="s">
        <v>74</v>
      </c>
      <c r="BQ663" s="1" t="s">
        <v>74</v>
      </c>
      <c r="BR663" s="1" t="s">
        <v>74</v>
      </c>
      <c r="BS663" s="1" t="s">
        <v>6755</v>
      </c>
      <c r="BT663" s="1" t="str">
        <f>HYPERLINK("https%3A%2F%2Fwww.webofscience.com%2Fwos%2Fwoscc%2Ffull-record%2FWOS:000226585800014","View Full Record in Web of Science")</f>
        <v>View Full Record in Web of Science</v>
      </c>
    </row>
    <row r="664" ht="12.75" customHeight="1">
      <c r="A664" s="1" t="s">
        <v>72</v>
      </c>
      <c r="B664" s="1" t="s">
        <v>6756</v>
      </c>
      <c r="C664" s="1" t="s">
        <v>74</v>
      </c>
      <c r="D664" s="1" t="s">
        <v>74</v>
      </c>
      <c r="E664" s="1" t="s">
        <v>74</v>
      </c>
      <c r="F664" s="1" t="s">
        <v>6757</v>
      </c>
      <c r="G664" s="1" t="s">
        <v>74</v>
      </c>
      <c r="H664" s="1" t="s">
        <v>74</v>
      </c>
      <c r="I664" s="1" t="s">
        <v>6758</v>
      </c>
      <c r="J664" s="1" t="s">
        <v>6759</v>
      </c>
      <c r="K664" s="1" t="s">
        <v>74</v>
      </c>
      <c r="L664" s="1" t="s">
        <v>74</v>
      </c>
      <c r="M664" s="1" t="s">
        <v>74</v>
      </c>
      <c r="N664" s="1" t="s">
        <v>74</v>
      </c>
      <c r="O664" s="1" t="s">
        <v>74</v>
      </c>
      <c r="P664" s="1" t="s">
        <v>74</v>
      </c>
      <c r="Q664" s="1" t="s">
        <v>74</v>
      </c>
      <c r="R664" s="1" t="s">
        <v>74</v>
      </c>
      <c r="S664" s="1" t="s">
        <v>74</v>
      </c>
      <c r="T664" s="1" t="s">
        <v>74</v>
      </c>
      <c r="U664" s="1" t="s">
        <v>74</v>
      </c>
      <c r="V664" s="1" t="s">
        <v>6760</v>
      </c>
      <c r="W664" s="1" t="s">
        <v>74</v>
      </c>
      <c r="X664" s="1" t="s">
        <v>74</v>
      </c>
      <c r="Y664" s="1" t="s">
        <v>74</v>
      </c>
      <c r="Z664" s="1" t="s">
        <v>74</v>
      </c>
      <c r="AA664" s="1" t="s">
        <v>6761</v>
      </c>
      <c r="AB664" s="1" t="s">
        <v>6762</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6763</v>
      </c>
      <c r="AP664" s="1" t="s">
        <v>74</v>
      </c>
      <c r="AQ664" s="1" t="s">
        <v>74</v>
      </c>
      <c r="AR664" s="1" t="s">
        <v>74</v>
      </c>
      <c r="AS664" s="1" t="s">
        <v>74</v>
      </c>
      <c r="AT664" s="1" t="s">
        <v>1082</v>
      </c>
      <c r="AU664" s="1">
        <v>2024.0</v>
      </c>
      <c r="AV664" s="1">
        <v>24.0</v>
      </c>
      <c r="AW664" s="1" t="s">
        <v>74</v>
      </c>
      <c r="AX664" s="1" t="s">
        <v>74</v>
      </c>
      <c r="AY664" s="1" t="s">
        <v>74</v>
      </c>
      <c r="AZ664" s="1" t="s">
        <v>74</v>
      </c>
      <c r="BA664" s="1" t="s">
        <v>74</v>
      </c>
      <c r="BB664" s="1" t="s">
        <v>74</v>
      </c>
      <c r="BC664" s="1" t="s">
        <v>74</v>
      </c>
      <c r="BD664" s="1">
        <v>100503.0</v>
      </c>
      <c r="BE664" s="1" t="s">
        <v>6764</v>
      </c>
      <c r="BF664" s="2" t="str">
        <f>HYPERLINK("http://dx.doi.org/10.1016/j.rinam.2024.100503","http://dx.doi.org/10.1016/j.rinam.2024.100503")</f>
        <v>http://dx.doi.org/10.1016/j.rinam.2024.100503</v>
      </c>
      <c r="BG664" s="1" t="s">
        <v>74</v>
      </c>
      <c r="BH664" s="1" t="s">
        <v>2725</v>
      </c>
      <c r="BI664" s="1" t="s">
        <v>74</v>
      </c>
      <c r="BJ664" s="1" t="s">
        <v>74</v>
      </c>
      <c r="BK664" s="1" t="s">
        <v>74</v>
      </c>
      <c r="BL664" s="1" t="s">
        <v>74</v>
      </c>
      <c r="BM664" s="1" t="s">
        <v>74</v>
      </c>
      <c r="BN664" s="1" t="s">
        <v>74</v>
      </c>
      <c r="BO664" s="1" t="s">
        <v>74</v>
      </c>
      <c r="BP664" s="1" t="s">
        <v>74</v>
      </c>
      <c r="BQ664" s="1" t="s">
        <v>74</v>
      </c>
      <c r="BR664" s="1" t="s">
        <v>74</v>
      </c>
      <c r="BS664" s="1" t="s">
        <v>6765</v>
      </c>
      <c r="BT664" s="1" t="str">
        <f>HYPERLINK("https%3A%2F%2Fwww.webofscience.com%2Fwos%2Fwoscc%2Ffull-record%2FWOS:001349976800001","View Full Record in Web of Science")</f>
        <v>View Full Record in Web of Science</v>
      </c>
    </row>
    <row r="665" ht="12.75" customHeight="1">
      <c r="A665" s="1" t="s">
        <v>72</v>
      </c>
      <c r="B665" s="1" t="s">
        <v>6766</v>
      </c>
      <c r="C665" s="1" t="s">
        <v>74</v>
      </c>
      <c r="D665" s="1" t="s">
        <v>74</v>
      </c>
      <c r="E665" s="1" t="s">
        <v>74</v>
      </c>
      <c r="F665" s="1" t="s">
        <v>6767</v>
      </c>
      <c r="G665" s="1" t="s">
        <v>74</v>
      </c>
      <c r="H665" s="1" t="s">
        <v>74</v>
      </c>
      <c r="I665" s="1" t="s">
        <v>6768</v>
      </c>
      <c r="J665" s="1" t="s">
        <v>691</v>
      </c>
      <c r="K665" s="1" t="s">
        <v>74</v>
      </c>
      <c r="L665" s="1" t="s">
        <v>74</v>
      </c>
      <c r="M665" s="1" t="s">
        <v>74</v>
      </c>
      <c r="N665" s="1" t="s">
        <v>74</v>
      </c>
      <c r="O665" s="1" t="s">
        <v>74</v>
      </c>
      <c r="P665" s="1" t="s">
        <v>74</v>
      </c>
      <c r="Q665" s="1" t="s">
        <v>74</v>
      </c>
      <c r="R665" s="1" t="s">
        <v>74</v>
      </c>
      <c r="S665" s="1" t="s">
        <v>74</v>
      </c>
      <c r="T665" s="1" t="s">
        <v>74</v>
      </c>
      <c r="U665" s="1" t="s">
        <v>74</v>
      </c>
      <c r="V665" s="1" t="s">
        <v>6769</v>
      </c>
      <c r="W665" s="1" t="s">
        <v>74</v>
      </c>
      <c r="X665" s="1" t="s">
        <v>74</v>
      </c>
      <c r="Y665" s="1" t="s">
        <v>74</v>
      </c>
      <c r="Z665" s="1" t="s">
        <v>74</v>
      </c>
      <c r="AA665" s="1" t="s">
        <v>6770</v>
      </c>
      <c r="AB665" s="1" t="s">
        <v>6771</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74</v>
      </c>
      <c r="AP665" s="1" t="s">
        <v>694</v>
      </c>
      <c r="AQ665" s="1" t="s">
        <v>74</v>
      </c>
      <c r="AR665" s="1" t="s">
        <v>74</v>
      </c>
      <c r="AS665" s="1" t="s">
        <v>74</v>
      </c>
      <c r="AT665" s="1" t="s">
        <v>151</v>
      </c>
      <c r="AU665" s="1">
        <v>2024.0</v>
      </c>
      <c r="AV665" s="1">
        <v>14.0</v>
      </c>
      <c r="AW665" s="1">
        <v>20.0</v>
      </c>
      <c r="AX665" s="1" t="s">
        <v>74</v>
      </c>
      <c r="AY665" s="1" t="s">
        <v>74</v>
      </c>
      <c r="AZ665" s="1" t="s">
        <v>74</v>
      </c>
      <c r="BA665" s="1" t="s">
        <v>74</v>
      </c>
      <c r="BB665" s="1" t="s">
        <v>74</v>
      </c>
      <c r="BC665" s="1" t="s">
        <v>74</v>
      </c>
      <c r="BD665" s="1">
        <v>9165.0</v>
      </c>
      <c r="BE665" s="1" t="s">
        <v>6772</v>
      </c>
      <c r="BF665" s="2" t="str">
        <f>HYPERLINK("http://dx.doi.org/10.3390/app14209165","http://dx.doi.org/10.3390/app14209165")</f>
        <v>http://dx.doi.org/10.3390/app14209165</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6773</v>
      </c>
      <c r="BT665" s="1" t="str">
        <f>HYPERLINK("https%3A%2F%2Fwww.webofscience.com%2Fwos%2Fwoscc%2Ffull-record%2FWOS:001342654900001","View Full Record in Web of Science")</f>
        <v>View Full Record in Web of Science</v>
      </c>
    </row>
    <row r="666" ht="12.75" customHeight="1">
      <c r="A666" s="1" t="s">
        <v>72</v>
      </c>
      <c r="B666" s="1" t="s">
        <v>6774</v>
      </c>
      <c r="C666" s="1" t="s">
        <v>74</v>
      </c>
      <c r="D666" s="1" t="s">
        <v>74</v>
      </c>
      <c r="E666" s="1" t="s">
        <v>74</v>
      </c>
      <c r="F666" s="1" t="s">
        <v>6775</v>
      </c>
      <c r="G666" s="1" t="s">
        <v>74</v>
      </c>
      <c r="H666" s="1" t="s">
        <v>74</v>
      </c>
      <c r="I666" s="1" t="s">
        <v>6776</v>
      </c>
      <c r="J666" s="1" t="s">
        <v>6777</v>
      </c>
      <c r="K666" s="1" t="s">
        <v>74</v>
      </c>
      <c r="L666" s="1" t="s">
        <v>74</v>
      </c>
      <c r="M666" s="1" t="s">
        <v>74</v>
      </c>
      <c r="N666" s="1" t="s">
        <v>74</v>
      </c>
      <c r="O666" s="1" t="s">
        <v>74</v>
      </c>
      <c r="P666" s="1" t="s">
        <v>74</v>
      </c>
      <c r="Q666" s="1" t="s">
        <v>74</v>
      </c>
      <c r="R666" s="1" t="s">
        <v>74</v>
      </c>
      <c r="S666" s="1" t="s">
        <v>74</v>
      </c>
      <c r="T666" s="1" t="s">
        <v>74</v>
      </c>
      <c r="U666" s="1" t="s">
        <v>74</v>
      </c>
      <c r="V666" s="1" t="s">
        <v>6778</v>
      </c>
      <c r="W666" s="1" t="s">
        <v>74</v>
      </c>
      <c r="X666" s="1" t="s">
        <v>74</v>
      </c>
      <c r="Y666" s="1" t="s">
        <v>74</v>
      </c>
      <c r="Z666" s="1" t="s">
        <v>74</v>
      </c>
      <c r="AA666" s="1" t="s">
        <v>6779</v>
      </c>
      <c r="AB666" s="1" t="s">
        <v>6780</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6781</v>
      </c>
      <c r="AP666" s="1" t="s">
        <v>6782</v>
      </c>
      <c r="AQ666" s="1" t="s">
        <v>74</v>
      </c>
      <c r="AR666" s="1" t="s">
        <v>74</v>
      </c>
      <c r="AS666" s="1" t="s">
        <v>74</v>
      </c>
      <c r="AT666" s="1" t="s">
        <v>151</v>
      </c>
      <c r="AU666" s="1">
        <v>2023.0</v>
      </c>
      <c r="AV666" s="1">
        <v>11.0</v>
      </c>
      <c r="AW666" s="1">
        <v>5.0</v>
      </c>
      <c r="AX666" s="1" t="s">
        <v>74</v>
      </c>
      <c r="AY666" s="1" t="s">
        <v>74</v>
      </c>
      <c r="AZ666" s="1" t="s">
        <v>74</v>
      </c>
      <c r="BA666" s="1" t="s">
        <v>74</v>
      </c>
      <c r="BB666" s="1">
        <v>5290.0</v>
      </c>
      <c r="BC666" s="1">
        <v>5300.0</v>
      </c>
      <c r="BD666" s="1" t="s">
        <v>74</v>
      </c>
      <c r="BE666" s="1" t="s">
        <v>6783</v>
      </c>
      <c r="BF666" s="2" t="str">
        <f>HYPERLINK("http://dx.doi.org/10.1109/JESTPE.2023.3307469","http://dx.doi.org/10.1109/JESTPE.2023.3307469")</f>
        <v>http://dx.doi.org/10.1109/JESTPE.2023.3307469</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6784</v>
      </c>
      <c r="BT666" s="1" t="str">
        <f>HYPERLINK("https%3A%2F%2Fwww.webofscience.com%2Fwos%2Fwoscc%2Ffull-record%2FWOS:001238652800065","View Full Record in Web of Science")</f>
        <v>View Full Record in Web of Science</v>
      </c>
    </row>
    <row r="667" ht="12.75" customHeight="1">
      <c r="A667" s="1" t="s">
        <v>72</v>
      </c>
      <c r="B667" s="1" t="s">
        <v>6785</v>
      </c>
      <c r="C667" s="1" t="s">
        <v>74</v>
      </c>
      <c r="D667" s="1" t="s">
        <v>74</v>
      </c>
      <c r="E667" s="1" t="s">
        <v>74</v>
      </c>
      <c r="F667" s="1" t="s">
        <v>6786</v>
      </c>
      <c r="G667" s="1" t="s">
        <v>74</v>
      </c>
      <c r="H667" s="1" t="s">
        <v>74</v>
      </c>
      <c r="I667" s="1" t="s">
        <v>6787</v>
      </c>
      <c r="J667" s="1" t="s">
        <v>292</v>
      </c>
      <c r="K667" s="1" t="s">
        <v>74</v>
      </c>
      <c r="L667" s="1" t="s">
        <v>74</v>
      </c>
      <c r="M667" s="1" t="s">
        <v>74</v>
      </c>
      <c r="N667" s="1" t="s">
        <v>74</v>
      </c>
      <c r="O667" s="1" t="s">
        <v>74</v>
      </c>
      <c r="P667" s="1" t="s">
        <v>74</v>
      </c>
      <c r="Q667" s="1" t="s">
        <v>74</v>
      </c>
      <c r="R667" s="1" t="s">
        <v>74</v>
      </c>
      <c r="S667" s="1" t="s">
        <v>74</v>
      </c>
      <c r="T667" s="1" t="s">
        <v>74</v>
      </c>
      <c r="U667" s="1" t="s">
        <v>74</v>
      </c>
      <c r="V667" s="1" t="s">
        <v>6788</v>
      </c>
      <c r="W667" s="1" t="s">
        <v>74</v>
      </c>
      <c r="X667" s="1" t="s">
        <v>74</v>
      </c>
      <c r="Y667" s="1" t="s">
        <v>74</v>
      </c>
      <c r="Z667" s="1" t="s">
        <v>74</v>
      </c>
      <c r="AA667" s="1" t="s">
        <v>6789</v>
      </c>
      <c r="AB667" s="1" t="s">
        <v>6790</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296</v>
      </c>
      <c r="AP667" s="1" t="s">
        <v>74</v>
      </c>
      <c r="AQ667" s="1" t="s">
        <v>74</v>
      </c>
      <c r="AR667" s="1" t="s">
        <v>74</v>
      </c>
      <c r="AS667" s="1" t="s">
        <v>74</v>
      </c>
      <c r="AT667" s="1" t="s">
        <v>6791</v>
      </c>
      <c r="AU667" s="1">
        <v>2022.0</v>
      </c>
      <c r="AV667" s="1">
        <v>12.0</v>
      </c>
      <c r="AW667" s="1">
        <v>1.0</v>
      </c>
      <c r="AX667" s="1" t="s">
        <v>74</v>
      </c>
      <c r="AY667" s="1" t="s">
        <v>74</v>
      </c>
      <c r="AZ667" s="1" t="s">
        <v>74</v>
      </c>
      <c r="BA667" s="1" t="s">
        <v>74</v>
      </c>
      <c r="BB667" s="1" t="s">
        <v>74</v>
      </c>
      <c r="BC667" s="1" t="s">
        <v>74</v>
      </c>
      <c r="BD667" s="1">
        <v>2409.0</v>
      </c>
      <c r="BE667" s="1" t="s">
        <v>6792</v>
      </c>
      <c r="BF667" s="2" t="str">
        <f>HYPERLINK("http://dx.doi.org/10.1038/s41598-022-06318-0","http://dx.doi.org/10.1038/s41598-022-06318-0")</f>
        <v>http://dx.doi.org/10.1038/s41598-022-06318-0</v>
      </c>
      <c r="BG667" s="1" t="s">
        <v>74</v>
      </c>
      <c r="BH667" s="1" t="s">
        <v>74</v>
      </c>
      <c r="BI667" s="1" t="s">
        <v>74</v>
      </c>
      <c r="BJ667" s="1" t="s">
        <v>74</v>
      </c>
      <c r="BK667" s="1" t="s">
        <v>74</v>
      </c>
      <c r="BL667" s="1" t="s">
        <v>74</v>
      </c>
      <c r="BM667" s="1" t="s">
        <v>74</v>
      </c>
      <c r="BN667" s="1">
        <v>3.5165325E7</v>
      </c>
      <c r="BO667" s="1" t="s">
        <v>74</v>
      </c>
      <c r="BP667" s="1" t="s">
        <v>74</v>
      </c>
      <c r="BQ667" s="1" t="s">
        <v>74</v>
      </c>
      <c r="BR667" s="1" t="s">
        <v>74</v>
      </c>
      <c r="BS667" s="1" t="s">
        <v>6793</v>
      </c>
      <c r="BT667" s="1" t="str">
        <f>HYPERLINK("https%3A%2F%2Fwww.webofscience.com%2Fwos%2Fwoscc%2Ffull-record%2FWOS:000755212600042","View Full Record in Web of Science")</f>
        <v>View Full Record in Web of Science</v>
      </c>
    </row>
    <row r="668" ht="12.75" customHeight="1">
      <c r="A668" s="1" t="s">
        <v>72</v>
      </c>
      <c r="B668" s="1" t="s">
        <v>6794</v>
      </c>
      <c r="C668" s="1" t="s">
        <v>74</v>
      </c>
      <c r="D668" s="1" t="s">
        <v>74</v>
      </c>
      <c r="E668" s="1" t="s">
        <v>74</v>
      </c>
      <c r="F668" s="1" t="s">
        <v>6795</v>
      </c>
      <c r="G668" s="1" t="s">
        <v>74</v>
      </c>
      <c r="H668" s="1" t="s">
        <v>74</v>
      </c>
      <c r="I668" s="1" t="s">
        <v>6796</v>
      </c>
      <c r="J668" s="1" t="s">
        <v>6797</v>
      </c>
      <c r="K668" s="1" t="s">
        <v>74</v>
      </c>
      <c r="L668" s="1" t="s">
        <v>74</v>
      </c>
      <c r="M668" s="1" t="s">
        <v>74</v>
      </c>
      <c r="N668" s="1" t="s">
        <v>74</v>
      </c>
      <c r="O668" s="1" t="s">
        <v>74</v>
      </c>
      <c r="P668" s="1" t="s">
        <v>74</v>
      </c>
      <c r="Q668" s="1" t="s">
        <v>74</v>
      </c>
      <c r="R668" s="1" t="s">
        <v>74</v>
      </c>
      <c r="S668" s="1" t="s">
        <v>74</v>
      </c>
      <c r="T668" s="1" t="s">
        <v>74</v>
      </c>
      <c r="U668" s="1" t="s">
        <v>74</v>
      </c>
      <c r="V668" s="1" t="s">
        <v>6798</v>
      </c>
      <c r="W668" s="1" t="s">
        <v>74</v>
      </c>
      <c r="X668" s="1" t="s">
        <v>74</v>
      </c>
      <c r="Y668" s="1" t="s">
        <v>74</v>
      </c>
      <c r="Z668" s="1" t="s">
        <v>74</v>
      </c>
      <c r="AA668" s="1" t="s">
        <v>6799</v>
      </c>
      <c r="AB668" s="1" t="s">
        <v>6800</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6801</v>
      </c>
      <c r="AP668" s="1" t="s">
        <v>6802</v>
      </c>
      <c r="AQ668" s="1" t="s">
        <v>74</v>
      </c>
      <c r="AR668" s="1" t="s">
        <v>74</v>
      </c>
      <c r="AS668" s="1" t="s">
        <v>74</v>
      </c>
      <c r="AT668" s="1" t="s">
        <v>74</v>
      </c>
      <c r="AU668" s="1">
        <v>2022.0</v>
      </c>
      <c r="AV668" s="1">
        <v>29.0</v>
      </c>
      <c r="AW668" s="1">
        <v>6.0</v>
      </c>
      <c r="AX668" s="1" t="s">
        <v>74</v>
      </c>
      <c r="AY668" s="1" t="s">
        <v>74</v>
      </c>
      <c r="AZ668" s="1" t="s">
        <v>74</v>
      </c>
      <c r="BA668" s="1" t="s">
        <v>74</v>
      </c>
      <c r="BB668" s="1">
        <v>1045.0</v>
      </c>
      <c r="BC668" s="1">
        <v>1060.0</v>
      </c>
      <c r="BD668" s="1" t="s">
        <v>74</v>
      </c>
      <c r="BE668" s="1" t="s">
        <v>6803</v>
      </c>
      <c r="BF668" s="2" t="str">
        <f>HYPERLINK("http://dx.doi.org/10.2174/0929867328666211101100632","http://dx.doi.org/10.2174/0929867328666211101100632")</f>
        <v>http://dx.doi.org/10.2174/0929867328666211101100632</v>
      </c>
      <c r="BG668" s="1" t="s">
        <v>74</v>
      </c>
      <c r="BH668" s="1" t="s">
        <v>74</v>
      </c>
      <c r="BI668" s="1" t="s">
        <v>74</v>
      </c>
      <c r="BJ668" s="1" t="s">
        <v>74</v>
      </c>
      <c r="BK668" s="1" t="s">
        <v>74</v>
      </c>
      <c r="BL668" s="1" t="s">
        <v>74</v>
      </c>
      <c r="BM668" s="1" t="s">
        <v>74</v>
      </c>
      <c r="BN668" s="1">
        <v>3.4720075E7</v>
      </c>
      <c r="BO668" s="1" t="s">
        <v>74</v>
      </c>
      <c r="BP668" s="1" t="s">
        <v>74</v>
      </c>
      <c r="BQ668" s="1" t="s">
        <v>74</v>
      </c>
      <c r="BR668" s="1" t="s">
        <v>74</v>
      </c>
      <c r="BS668" s="1" t="s">
        <v>6804</v>
      </c>
      <c r="BT668" s="1" t="str">
        <f>HYPERLINK("https%3A%2F%2Fwww.webofscience.com%2Fwos%2Fwoscc%2Ffull-record%2FWOS:000823243400010","View Full Record in Web of Science")</f>
        <v>View Full Record in Web of Science</v>
      </c>
    </row>
    <row r="669" ht="12.75" customHeight="1">
      <c r="A669" s="1" t="s">
        <v>72</v>
      </c>
      <c r="B669" s="1" t="s">
        <v>6805</v>
      </c>
      <c r="C669" s="1" t="s">
        <v>74</v>
      </c>
      <c r="D669" s="1" t="s">
        <v>74</v>
      </c>
      <c r="E669" s="1" t="s">
        <v>74</v>
      </c>
      <c r="F669" s="1" t="s">
        <v>6806</v>
      </c>
      <c r="G669" s="1" t="s">
        <v>74</v>
      </c>
      <c r="H669" s="1" t="s">
        <v>74</v>
      </c>
      <c r="I669" s="1" t="s">
        <v>6807</v>
      </c>
      <c r="J669" s="1" t="s">
        <v>6304</v>
      </c>
      <c r="K669" s="1" t="s">
        <v>74</v>
      </c>
      <c r="L669" s="1" t="s">
        <v>74</v>
      </c>
      <c r="M669" s="1" t="s">
        <v>74</v>
      </c>
      <c r="N669" s="1" t="s">
        <v>74</v>
      </c>
      <c r="O669" s="1" t="s">
        <v>74</v>
      </c>
      <c r="P669" s="1" t="s">
        <v>74</v>
      </c>
      <c r="Q669" s="1" t="s">
        <v>74</v>
      </c>
      <c r="R669" s="1" t="s">
        <v>74</v>
      </c>
      <c r="S669" s="1" t="s">
        <v>74</v>
      </c>
      <c r="T669" s="1" t="s">
        <v>74</v>
      </c>
      <c r="U669" s="1" t="s">
        <v>74</v>
      </c>
      <c r="V669" s="1" t="s">
        <v>6808</v>
      </c>
      <c r="W669" s="1" t="s">
        <v>74</v>
      </c>
      <c r="X669" s="1" t="s">
        <v>74</v>
      </c>
      <c r="Y669" s="1" t="s">
        <v>74</v>
      </c>
      <c r="Z669" s="1" t="s">
        <v>74</v>
      </c>
      <c r="AA669" s="1" t="s">
        <v>6809</v>
      </c>
      <c r="AB669" s="1" t="s">
        <v>6810</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6308</v>
      </c>
      <c r="AP669" s="1" t="s">
        <v>74</v>
      </c>
      <c r="AQ669" s="1" t="s">
        <v>74</v>
      </c>
      <c r="AR669" s="1" t="s">
        <v>74</v>
      </c>
      <c r="AS669" s="1" t="s">
        <v>74</v>
      </c>
      <c r="AT669" s="1" t="s">
        <v>1082</v>
      </c>
      <c r="AU669" s="1">
        <v>2021.0</v>
      </c>
      <c r="AV669" s="1" t="s">
        <v>74</v>
      </c>
      <c r="AW669" s="1">
        <v>11.0</v>
      </c>
      <c r="AX669" s="1" t="s">
        <v>74</v>
      </c>
      <c r="AY669" s="1" t="s">
        <v>74</v>
      </c>
      <c r="AZ669" s="1" t="s">
        <v>74</v>
      </c>
      <c r="BA669" s="1" t="s">
        <v>74</v>
      </c>
      <c r="BB669" s="1" t="s">
        <v>74</v>
      </c>
      <c r="BC669" s="1" t="s">
        <v>74</v>
      </c>
      <c r="BD669" s="1" t="s">
        <v>74</v>
      </c>
      <c r="BE669" s="1" t="s">
        <v>6811</v>
      </c>
      <c r="BF669" s="2" t="str">
        <f>HYPERLINK("http://dx.doi.org/10.1088/1475-7516/2021/11/003","http://dx.doi.org/10.1088/1475-7516/2021/11/003")</f>
        <v>http://dx.doi.org/10.1088/1475-7516/2021/11/003</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6812</v>
      </c>
      <c r="BT669" s="1" t="str">
        <f>HYPERLINK("https%3A%2F%2Fwww.webofscience.com%2Fwos%2Fwoscc%2Ffull-record%2FWOS:000717655100003","View Full Record in Web of Science")</f>
        <v>View Full Record in Web of Science</v>
      </c>
    </row>
    <row r="670" ht="12.75" customHeight="1">
      <c r="A670" s="1" t="s">
        <v>72</v>
      </c>
      <c r="B670" s="1" t="s">
        <v>6813</v>
      </c>
      <c r="C670" s="1" t="s">
        <v>74</v>
      </c>
      <c r="D670" s="1" t="s">
        <v>74</v>
      </c>
      <c r="E670" s="1" t="s">
        <v>74</v>
      </c>
      <c r="F670" s="1" t="s">
        <v>6814</v>
      </c>
      <c r="G670" s="1" t="s">
        <v>74</v>
      </c>
      <c r="H670" s="1" t="s">
        <v>74</v>
      </c>
      <c r="I670" s="1" t="s">
        <v>6815</v>
      </c>
      <c r="J670" s="1" t="s">
        <v>6816</v>
      </c>
      <c r="K670" s="1" t="s">
        <v>74</v>
      </c>
      <c r="L670" s="1" t="s">
        <v>74</v>
      </c>
      <c r="M670" s="1" t="s">
        <v>74</v>
      </c>
      <c r="N670" s="1" t="s">
        <v>74</v>
      </c>
      <c r="O670" s="1" t="s">
        <v>74</v>
      </c>
      <c r="P670" s="1" t="s">
        <v>74</v>
      </c>
      <c r="Q670" s="1" t="s">
        <v>74</v>
      </c>
      <c r="R670" s="1" t="s">
        <v>74</v>
      </c>
      <c r="S670" s="1" t="s">
        <v>74</v>
      </c>
      <c r="T670" s="1" t="s">
        <v>74</v>
      </c>
      <c r="U670" s="1" t="s">
        <v>74</v>
      </c>
      <c r="V670" s="1" t="s">
        <v>6817</v>
      </c>
      <c r="W670" s="1" t="s">
        <v>74</v>
      </c>
      <c r="X670" s="1" t="s">
        <v>74</v>
      </c>
      <c r="Y670" s="1" t="s">
        <v>74</v>
      </c>
      <c r="Z670" s="1" t="s">
        <v>74</v>
      </c>
      <c r="AA670" s="1" t="s">
        <v>6818</v>
      </c>
      <c r="AB670" s="1" t="s">
        <v>6819</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6820</v>
      </c>
      <c r="AP670" s="1" t="s">
        <v>6821</v>
      </c>
      <c r="AQ670" s="1" t="s">
        <v>74</v>
      </c>
      <c r="AR670" s="1" t="s">
        <v>74</v>
      </c>
      <c r="AS670" s="1" t="s">
        <v>74</v>
      </c>
      <c r="AT670" s="1" t="s">
        <v>6822</v>
      </c>
      <c r="AU670" s="1">
        <v>2021.0</v>
      </c>
      <c r="AV670" s="1">
        <v>2021.0</v>
      </c>
      <c r="AW670" s="1" t="s">
        <v>74</v>
      </c>
      <c r="AX670" s="1" t="s">
        <v>74</v>
      </c>
      <c r="AY670" s="1" t="s">
        <v>74</v>
      </c>
      <c r="AZ670" s="1" t="s">
        <v>74</v>
      </c>
      <c r="BA670" s="1" t="s">
        <v>74</v>
      </c>
      <c r="BB670" s="1" t="s">
        <v>74</v>
      </c>
      <c r="BC670" s="1" t="s">
        <v>74</v>
      </c>
      <c r="BD670" s="1">
        <v>5580841.0</v>
      </c>
      <c r="BE670" s="1" t="s">
        <v>6823</v>
      </c>
      <c r="BF670" s="2" t="str">
        <f>HYPERLINK("http://dx.doi.org/10.1155/2021/5580841","http://dx.doi.org/10.1155/2021/5580841")</f>
        <v>http://dx.doi.org/10.1155/2021/5580841</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6824</v>
      </c>
      <c r="BT670" s="1" t="str">
        <f>HYPERLINK("https%3A%2F%2Fwww.webofscience.com%2Fwos%2Fwoscc%2Ffull-record%2FWOS:000687468200002","View Full Record in Web of Science")</f>
        <v>View Full Record in Web of Science</v>
      </c>
    </row>
    <row r="671" ht="12.75" customHeight="1">
      <c r="A671" s="1" t="s">
        <v>72</v>
      </c>
      <c r="B671" s="1" t="s">
        <v>6825</v>
      </c>
      <c r="C671" s="1" t="s">
        <v>74</v>
      </c>
      <c r="D671" s="1" t="s">
        <v>74</v>
      </c>
      <c r="E671" s="1" t="s">
        <v>74</v>
      </c>
      <c r="F671" s="1" t="s">
        <v>6826</v>
      </c>
      <c r="G671" s="1" t="s">
        <v>74</v>
      </c>
      <c r="H671" s="1" t="s">
        <v>74</v>
      </c>
      <c r="I671" s="1" t="s">
        <v>6827</v>
      </c>
      <c r="J671" s="1" t="s">
        <v>6828</v>
      </c>
      <c r="K671" s="1" t="s">
        <v>74</v>
      </c>
      <c r="L671" s="1" t="s">
        <v>74</v>
      </c>
      <c r="M671" s="1" t="s">
        <v>74</v>
      </c>
      <c r="N671" s="1" t="s">
        <v>74</v>
      </c>
      <c r="O671" s="1" t="s">
        <v>74</v>
      </c>
      <c r="P671" s="1" t="s">
        <v>74</v>
      </c>
      <c r="Q671" s="1" t="s">
        <v>74</v>
      </c>
      <c r="R671" s="1" t="s">
        <v>74</v>
      </c>
      <c r="S671" s="1" t="s">
        <v>74</v>
      </c>
      <c r="T671" s="1" t="s">
        <v>74</v>
      </c>
      <c r="U671" s="1" t="s">
        <v>74</v>
      </c>
      <c r="V671" s="1" t="s">
        <v>6829</v>
      </c>
      <c r="W671" s="1" t="s">
        <v>74</v>
      </c>
      <c r="X671" s="1" t="s">
        <v>74</v>
      </c>
      <c r="Y671" s="1" t="s">
        <v>74</v>
      </c>
      <c r="Z671" s="1" t="s">
        <v>74</v>
      </c>
      <c r="AA671" s="1" t="s">
        <v>4618</v>
      </c>
      <c r="AB671" s="1" t="s">
        <v>6830</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6831</v>
      </c>
      <c r="AP671" s="1" t="s">
        <v>6832</v>
      </c>
      <c r="AQ671" s="1" t="s">
        <v>74</v>
      </c>
      <c r="AR671" s="1" t="s">
        <v>74</v>
      </c>
      <c r="AS671" s="1" t="s">
        <v>74</v>
      </c>
      <c r="AT671" s="1" t="s">
        <v>385</v>
      </c>
      <c r="AU671" s="1">
        <v>2021.0</v>
      </c>
      <c r="AV671" s="1">
        <v>52.0</v>
      </c>
      <c r="AW671" s="1">
        <v>6.0</v>
      </c>
      <c r="AX671" s="1" t="s">
        <v>74</v>
      </c>
      <c r="AY671" s="1" t="s">
        <v>74</v>
      </c>
      <c r="AZ671" s="1" t="s">
        <v>74</v>
      </c>
      <c r="BA671" s="1" t="s">
        <v>74</v>
      </c>
      <c r="BB671" s="1">
        <v>2155.0</v>
      </c>
      <c r="BC671" s="1">
        <v>2157.0</v>
      </c>
      <c r="BD671" s="1" t="s">
        <v>74</v>
      </c>
      <c r="BE671" s="1" t="s">
        <v>6833</v>
      </c>
      <c r="BF671" s="2" t="str">
        <f>HYPERLINK("http://dx.doi.org/10.1007/s11661-021-06240-6","http://dx.doi.org/10.1007/s11661-021-06240-6")</f>
        <v>http://dx.doi.org/10.1007/s11661-021-06240-6</v>
      </c>
      <c r="BG671" s="1" t="s">
        <v>74</v>
      </c>
      <c r="BH671" s="1" t="s">
        <v>2434</v>
      </c>
      <c r="BI671" s="1" t="s">
        <v>74</v>
      </c>
      <c r="BJ671" s="1" t="s">
        <v>74</v>
      </c>
      <c r="BK671" s="1" t="s">
        <v>74</v>
      </c>
      <c r="BL671" s="1" t="s">
        <v>74</v>
      </c>
      <c r="BM671" s="1" t="s">
        <v>74</v>
      </c>
      <c r="BN671" s="1" t="s">
        <v>74</v>
      </c>
      <c r="BO671" s="1" t="s">
        <v>74</v>
      </c>
      <c r="BP671" s="1" t="s">
        <v>74</v>
      </c>
      <c r="BQ671" s="1" t="s">
        <v>74</v>
      </c>
      <c r="BR671" s="1" t="s">
        <v>74</v>
      </c>
      <c r="BS671" s="1" t="s">
        <v>6834</v>
      </c>
      <c r="BT671" s="1" t="str">
        <f>HYPERLINK("https%3A%2F%2Fwww.webofscience.com%2Fwos%2Fwoscc%2Ffull-record%2FWOS:000636621800001","View Full Record in Web of Science")</f>
        <v>View Full Record in Web of Science</v>
      </c>
    </row>
    <row r="672" ht="12.75" customHeight="1">
      <c r="A672" s="1" t="s">
        <v>72</v>
      </c>
      <c r="B672" s="1" t="s">
        <v>6835</v>
      </c>
      <c r="C672" s="1" t="s">
        <v>74</v>
      </c>
      <c r="D672" s="1" t="s">
        <v>74</v>
      </c>
      <c r="E672" s="1" t="s">
        <v>74</v>
      </c>
      <c r="F672" s="1" t="s">
        <v>6836</v>
      </c>
      <c r="G672" s="1" t="s">
        <v>74</v>
      </c>
      <c r="H672" s="1" t="s">
        <v>74</v>
      </c>
      <c r="I672" s="1" t="s">
        <v>6837</v>
      </c>
      <c r="J672" s="1" t="s">
        <v>6838</v>
      </c>
      <c r="K672" s="1" t="s">
        <v>74</v>
      </c>
      <c r="L672" s="1" t="s">
        <v>74</v>
      </c>
      <c r="M672" s="1" t="s">
        <v>74</v>
      </c>
      <c r="N672" s="1" t="s">
        <v>74</v>
      </c>
      <c r="O672" s="1" t="s">
        <v>74</v>
      </c>
      <c r="P672" s="1" t="s">
        <v>74</v>
      </c>
      <c r="Q672" s="1" t="s">
        <v>74</v>
      </c>
      <c r="R672" s="1" t="s">
        <v>74</v>
      </c>
      <c r="S672" s="1" t="s">
        <v>74</v>
      </c>
      <c r="T672" s="1" t="s">
        <v>74</v>
      </c>
      <c r="U672" s="1" t="s">
        <v>74</v>
      </c>
      <c r="V672" s="1" t="s">
        <v>6839</v>
      </c>
      <c r="W672" s="1" t="s">
        <v>74</v>
      </c>
      <c r="X672" s="1" t="s">
        <v>74</v>
      </c>
      <c r="Y672" s="1" t="s">
        <v>74</v>
      </c>
      <c r="Z672" s="1" t="s">
        <v>74</v>
      </c>
      <c r="AA672" s="1" t="s">
        <v>6840</v>
      </c>
      <c r="AB672" s="1" t="s">
        <v>6841</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74</v>
      </c>
      <c r="AP672" s="1" t="s">
        <v>6842</v>
      </c>
      <c r="AQ672" s="1" t="s">
        <v>74</v>
      </c>
      <c r="AR672" s="1" t="s">
        <v>74</v>
      </c>
      <c r="AS672" s="1" t="s">
        <v>74</v>
      </c>
      <c r="AT672" s="1" t="s">
        <v>6843</v>
      </c>
      <c r="AU672" s="1">
        <v>2020.0</v>
      </c>
      <c r="AV672" s="1">
        <v>11.0</v>
      </c>
      <c r="AW672" s="1" t="s">
        <v>74</v>
      </c>
      <c r="AX672" s="1" t="s">
        <v>74</v>
      </c>
      <c r="AY672" s="1" t="s">
        <v>74</v>
      </c>
      <c r="AZ672" s="1" t="s">
        <v>74</v>
      </c>
      <c r="BA672" s="1" t="s">
        <v>74</v>
      </c>
      <c r="BB672" s="1" t="s">
        <v>74</v>
      </c>
      <c r="BC672" s="1" t="s">
        <v>74</v>
      </c>
      <c r="BD672" s="1">
        <v>293.0</v>
      </c>
      <c r="BE672" s="1" t="s">
        <v>6844</v>
      </c>
      <c r="BF672" s="2" t="str">
        <f>HYPERLINK("http://dx.doi.org/10.3389/fgene.2020.00293","http://dx.doi.org/10.3389/fgene.2020.00293")</f>
        <v>http://dx.doi.org/10.3389/fgene.2020.00293</v>
      </c>
      <c r="BG672" s="1" t="s">
        <v>74</v>
      </c>
      <c r="BH672" s="1" t="s">
        <v>74</v>
      </c>
      <c r="BI672" s="1" t="s">
        <v>74</v>
      </c>
      <c r="BJ672" s="1" t="s">
        <v>74</v>
      </c>
      <c r="BK672" s="1" t="s">
        <v>74</v>
      </c>
      <c r="BL672" s="1" t="s">
        <v>74</v>
      </c>
      <c r="BM672" s="1" t="s">
        <v>74</v>
      </c>
      <c r="BN672" s="1">
        <v>3.2425968E7</v>
      </c>
      <c r="BO672" s="1" t="s">
        <v>74</v>
      </c>
      <c r="BP672" s="1" t="s">
        <v>74</v>
      </c>
      <c r="BQ672" s="1" t="s">
        <v>74</v>
      </c>
      <c r="BR672" s="1" t="s">
        <v>74</v>
      </c>
      <c r="BS672" s="1" t="s">
        <v>6845</v>
      </c>
      <c r="BT672" s="1" t="str">
        <f>HYPERLINK("https%3A%2F%2Fwww.webofscience.com%2Fwos%2Fwoscc%2Ffull-record%2FWOS:000535599500001","View Full Record in Web of Science")</f>
        <v>View Full Record in Web of Science</v>
      </c>
    </row>
    <row r="673" ht="12.75" customHeight="1">
      <c r="A673" s="1" t="s">
        <v>72</v>
      </c>
      <c r="B673" s="1" t="s">
        <v>6846</v>
      </c>
      <c r="C673" s="1" t="s">
        <v>74</v>
      </c>
      <c r="D673" s="1" t="s">
        <v>74</v>
      </c>
      <c r="E673" s="1" t="s">
        <v>74</v>
      </c>
      <c r="F673" s="1" t="s">
        <v>6847</v>
      </c>
      <c r="G673" s="1" t="s">
        <v>74</v>
      </c>
      <c r="H673" s="1" t="s">
        <v>74</v>
      </c>
      <c r="I673" s="1" t="s">
        <v>6848</v>
      </c>
      <c r="J673" s="1" t="s">
        <v>6849</v>
      </c>
      <c r="K673" s="1" t="s">
        <v>74</v>
      </c>
      <c r="L673" s="1" t="s">
        <v>74</v>
      </c>
      <c r="M673" s="1" t="s">
        <v>74</v>
      </c>
      <c r="N673" s="1" t="s">
        <v>74</v>
      </c>
      <c r="O673" s="1" t="s">
        <v>74</v>
      </c>
      <c r="P673" s="1" t="s">
        <v>74</v>
      </c>
      <c r="Q673" s="1" t="s">
        <v>74</v>
      </c>
      <c r="R673" s="1" t="s">
        <v>74</v>
      </c>
      <c r="S673" s="1" t="s">
        <v>74</v>
      </c>
      <c r="T673" s="1" t="s">
        <v>74</v>
      </c>
      <c r="U673" s="1" t="s">
        <v>74</v>
      </c>
      <c r="V673" s="1" t="s">
        <v>6850</v>
      </c>
      <c r="W673" s="1" t="s">
        <v>74</v>
      </c>
      <c r="X673" s="1" t="s">
        <v>74</v>
      </c>
      <c r="Y673" s="1" t="s">
        <v>74</v>
      </c>
      <c r="Z673" s="1" t="s">
        <v>74</v>
      </c>
      <c r="AA673" s="1" t="s">
        <v>6851</v>
      </c>
      <c r="AB673" s="1" t="s">
        <v>6852</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6853</v>
      </c>
      <c r="AP673" s="1" t="s">
        <v>6854</v>
      </c>
      <c r="AQ673" s="1" t="s">
        <v>74</v>
      </c>
      <c r="AR673" s="1" t="s">
        <v>74</v>
      </c>
      <c r="AS673" s="1" t="s">
        <v>74</v>
      </c>
      <c r="AT673" s="1" t="s">
        <v>600</v>
      </c>
      <c r="AU673" s="1">
        <v>2021.0</v>
      </c>
      <c r="AV673" s="1">
        <v>44.0</v>
      </c>
      <c r="AW673" s="1">
        <v>1.0</v>
      </c>
      <c r="AX673" s="1" t="s">
        <v>74</v>
      </c>
      <c r="AY673" s="1" t="s">
        <v>74</v>
      </c>
      <c r="AZ673" s="1" t="s">
        <v>74</v>
      </c>
      <c r="BA673" s="1" t="s">
        <v>74</v>
      </c>
      <c r="BB673" s="1">
        <v>51.0</v>
      </c>
      <c r="BC673" s="1">
        <v>60.0</v>
      </c>
      <c r="BD673" s="1" t="s">
        <v>74</v>
      </c>
      <c r="BE673" s="1" t="s">
        <v>6855</v>
      </c>
      <c r="BF673" s="2" t="str">
        <f>HYPERLINK("http://dx.doi.org/10.1007/s10143-019-01197-y","http://dx.doi.org/10.1007/s10143-019-01197-y")</f>
        <v>http://dx.doi.org/10.1007/s10143-019-01197-y</v>
      </c>
      <c r="BG673" s="1" t="s">
        <v>74</v>
      </c>
      <c r="BH673" s="1" t="s">
        <v>6856</v>
      </c>
      <c r="BI673" s="1" t="s">
        <v>74</v>
      </c>
      <c r="BJ673" s="1" t="s">
        <v>74</v>
      </c>
      <c r="BK673" s="1" t="s">
        <v>74</v>
      </c>
      <c r="BL673" s="1" t="s">
        <v>74</v>
      </c>
      <c r="BM673" s="1" t="s">
        <v>74</v>
      </c>
      <c r="BN673" s="1">
        <v>3.1802287E7</v>
      </c>
      <c r="BO673" s="1" t="s">
        <v>74</v>
      </c>
      <c r="BP673" s="1" t="s">
        <v>74</v>
      </c>
      <c r="BQ673" s="1" t="s">
        <v>74</v>
      </c>
      <c r="BR673" s="1" t="s">
        <v>74</v>
      </c>
      <c r="BS673" s="1" t="s">
        <v>6857</v>
      </c>
      <c r="BT673" s="1" t="str">
        <f>HYPERLINK("https%3A%2F%2Fwww.webofscience.com%2Fwos%2Fwoscc%2Ffull-record%2FWOS:000500631000001","View Full Record in Web of Science")</f>
        <v>View Full Record in Web of Science</v>
      </c>
    </row>
    <row r="674" ht="12.75" customHeight="1">
      <c r="A674" s="1" t="s">
        <v>72</v>
      </c>
      <c r="B674" s="1" t="s">
        <v>6858</v>
      </c>
      <c r="C674" s="1" t="s">
        <v>74</v>
      </c>
      <c r="D674" s="1" t="s">
        <v>74</v>
      </c>
      <c r="E674" s="1" t="s">
        <v>74</v>
      </c>
      <c r="F674" s="1" t="s">
        <v>6859</v>
      </c>
      <c r="G674" s="1" t="s">
        <v>74</v>
      </c>
      <c r="H674" s="1" t="s">
        <v>74</v>
      </c>
      <c r="I674" s="1" t="s">
        <v>6860</v>
      </c>
      <c r="J674" s="1" t="s">
        <v>438</v>
      </c>
      <c r="K674" s="1" t="s">
        <v>74</v>
      </c>
      <c r="L674" s="1" t="s">
        <v>74</v>
      </c>
      <c r="M674" s="1" t="s">
        <v>74</v>
      </c>
      <c r="N674" s="1" t="s">
        <v>74</v>
      </c>
      <c r="O674" s="1" t="s">
        <v>74</v>
      </c>
      <c r="P674" s="1" t="s">
        <v>74</v>
      </c>
      <c r="Q674" s="1" t="s">
        <v>74</v>
      </c>
      <c r="R674" s="1" t="s">
        <v>74</v>
      </c>
      <c r="S674" s="1" t="s">
        <v>74</v>
      </c>
      <c r="T674" s="1" t="s">
        <v>74</v>
      </c>
      <c r="U674" s="1" t="s">
        <v>74</v>
      </c>
      <c r="V674" s="1" t="s">
        <v>6861</v>
      </c>
      <c r="W674" s="1" t="s">
        <v>74</v>
      </c>
      <c r="X674" s="1" t="s">
        <v>74</v>
      </c>
      <c r="Y674" s="1" t="s">
        <v>74</v>
      </c>
      <c r="Z674" s="1" t="s">
        <v>74</v>
      </c>
      <c r="AA674" s="1" t="s">
        <v>6862</v>
      </c>
      <c r="AB674" s="1" t="s">
        <v>6863</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442</v>
      </c>
      <c r="AP674" s="1" t="s">
        <v>443</v>
      </c>
      <c r="AQ674" s="1" t="s">
        <v>74</v>
      </c>
      <c r="AR674" s="1" t="s">
        <v>74</v>
      </c>
      <c r="AS674" s="1" t="s">
        <v>74</v>
      </c>
      <c r="AT674" s="1" t="s">
        <v>6864</v>
      </c>
      <c r="AU674" s="1">
        <v>2018.0</v>
      </c>
      <c r="AV674" s="1">
        <v>122.0</v>
      </c>
      <c r="AW674" s="1">
        <v>15.0</v>
      </c>
      <c r="AX674" s="1" t="s">
        <v>74</v>
      </c>
      <c r="AY674" s="1" t="s">
        <v>74</v>
      </c>
      <c r="AZ674" s="1" t="s">
        <v>74</v>
      </c>
      <c r="BA674" s="1" t="s">
        <v>74</v>
      </c>
      <c r="BB674" s="1">
        <v>8528.0</v>
      </c>
      <c r="BC674" s="1">
        <v>8534.0</v>
      </c>
      <c r="BD674" s="1" t="s">
        <v>74</v>
      </c>
      <c r="BE674" s="1" t="s">
        <v>6865</v>
      </c>
      <c r="BF674" s="2" t="str">
        <f>HYPERLINK("http://dx.doi.org/10.1021/acs.jpcc.7b11556","http://dx.doi.org/10.1021/acs.jpcc.7b11556")</f>
        <v>http://dx.doi.org/10.1021/acs.jpcc.7b11556</v>
      </c>
      <c r="BG674" s="1" t="s">
        <v>74</v>
      </c>
      <c r="BH674" s="1" t="s">
        <v>74</v>
      </c>
      <c r="BI674" s="1" t="s">
        <v>74</v>
      </c>
      <c r="BJ674" s="1" t="s">
        <v>74</v>
      </c>
      <c r="BK674" s="1" t="s">
        <v>74</v>
      </c>
      <c r="BL674" s="1" t="s">
        <v>74</v>
      </c>
      <c r="BM674" s="1" t="s">
        <v>74</v>
      </c>
      <c r="BN674" s="1" t="s">
        <v>74</v>
      </c>
      <c r="BO674" s="1" t="s">
        <v>74</v>
      </c>
      <c r="BP674" s="1" t="s">
        <v>74</v>
      </c>
      <c r="BQ674" s="1" t="s">
        <v>74</v>
      </c>
      <c r="BR674" s="1" t="s">
        <v>74</v>
      </c>
      <c r="BS674" s="1" t="s">
        <v>6866</v>
      </c>
      <c r="BT674" s="1" t="str">
        <f>HYPERLINK("https%3A%2F%2Fwww.webofscience.com%2Fwos%2Fwoscc%2Ffull-record%2FWOS:000430896500055","View Full Record in Web of Science")</f>
        <v>View Full Record in Web of Science</v>
      </c>
    </row>
    <row r="675" ht="12.75" customHeight="1">
      <c r="A675" s="1" t="s">
        <v>72</v>
      </c>
      <c r="B675" s="1" t="s">
        <v>6867</v>
      </c>
      <c r="C675" s="1" t="s">
        <v>74</v>
      </c>
      <c r="D675" s="1" t="s">
        <v>74</v>
      </c>
      <c r="E675" s="1" t="s">
        <v>74</v>
      </c>
      <c r="F675" s="1" t="s">
        <v>6868</v>
      </c>
      <c r="G675" s="1" t="s">
        <v>74</v>
      </c>
      <c r="H675" s="1" t="s">
        <v>74</v>
      </c>
      <c r="I675" s="1" t="s">
        <v>6869</v>
      </c>
      <c r="J675" s="1" t="s">
        <v>6870</v>
      </c>
      <c r="K675" s="1" t="s">
        <v>74</v>
      </c>
      <c r="L675" s="1" t="s">
        <v>74</v>
      </c>
      <c r="M675" s="1" t="s">
        <v>74</v>
      </c>
      <c r="N675" s="1" t="s">
        <v>74</v>
      </c>
      <c r="O675" s="1" t="s">
        <v>74</v>
      </c>
      <c r="P675" s="1" t="s">
        <v>74</v>
      </c>
      <c r="Q675" s="1" t="s">
        <v>74</v>
      </c>
      <c r="R675" s="1" t="s">
        <v>74</v>
      </c>
      <c r="S675" s="1" t="s">
        <v>74</v>
      </c>
      <c r="T675" s="1" t="s">
        <v>74</v>
      </c>
      <c r="U675" s="1" t="s">
        <v>74</v>
      </c>
      <c r="V675" s="1" t="s">
        <v>6871</v>
      </c>
      <c r="W675" s="1" t="s">
        <v>74</v>
      </c>
      <c r="X675" s="1" t="s">
        <v>74</v>
      </c>
      <c r="Y675" s="1" t="s">
        <v>74</v>
      </c>
      <c r="Z675" s="1" t="s">
        <v>74</v>
      </c>
      <c r="AA675" s="1" t="s">
        <v>6872</v>
      </c>
      <c r="AB675" s="1" t="s">
        <v>6873</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6874</v>
      </c>
      <c r="AP675" s="1" t="s">
        <v>6875</v>
      </c>
      <c r="AQ675" s="1" t="s">
        <v>74</v>
      </c>
      <c r="AR675" s="1" t="s">
        <v>74</v>
      </c>
      <c r="AS675" s="1" t="s">
        <v>74</v>
      </c>
      <c r="AT675" s="1" t="s">
        <v>5881</v>
      </c>
      <c r="AU675" s="1">
        <v>2017.0</v>
      </c>
      <c r="AV675" s="1">
        <v>19.0</v>
      </c>
      <c r="AW675" s="1">
        <v>31.0</v>
      </c>
      <c r="AX675" s="1" t="s">
        <v>74</v>
      </c>
      <c r="AY675" s="1" t="s">
        <v>74</v>
      </c>
      <c r="AZ675" s="1" t="s">
        <v>74</v>
      </c>
      <c r="BA675" s="1" t="s">
        <v>74</v>
      </c>
      <c r="BB675" s="1">
        <v>20441.0</v>
      </c>
      <c r="BC675" s="1">
        <v>20450.0</v>
      </c>
      <c r="BD675" s="1" t="s">
        <v>74</v>
      </c>
      <c r="BE675" s="1" t="s">
        <v>6876</v>
      </c>
      <c r="BF675" s="2" t="str">
        <f>HYPERLINK("http://dx.doi.org/10.1039/c7cp03172f","http://dx.doi.org/10.1039/c7cp03172f")</f>
        <v>http://dx.doi.org/10.1039/c7cp03172f</v>
      </c>
      <c r="BG675" s="1" t="s">
        <v>74</v>
      </c>
      <c r="BH675" s="1" t="s">
        <v>74</v>
      </c>
      <c r="BI675" s="1" t="s">
        <v>74</v>
      </c>
      <c r="BJ675" s="1" t="s">
        <v>74</v>
      </c>
      <c r="BK675" s="1" t="s">
        <v>74</v>
      </c>
      <c r="BL675" s="1" t="s">
        <v>74</v>
      </c>
      <c r="BM675" s="1" t="s">
        <v>74</v>
      </c>
      <c r="BN675" s="1">
        <v>2.8745759E7</v>
      </c>
      <c r="BO675" s="1" t="s">
        <v>74</v>
      </c>
      <c r="BP675" s="1" t="s">
        <v>74</v>
      </c>
      <c r="BQ675" s="1" t="s">
        <v>74</v>
      </c>
      <c r="BR675" s="1" t="s">
        <v>74</v>
      </c>
      <c r="BS675" s="1" t="s">
        <v>6877</v>
      </c>
      <c r="BT675" s="1" t="str">
        <f>HYPERLINK("https%3A%2F%2Fwww.webofscience.com%2Fwos%2Fwoscc%2Ffull-record%2FWOS:000407763700013","View Full Record in Web of Science")</f>
        <v>View Full Record in Web of Science</v>
      </c>
    </row>
    <row r="676" ht="12.75" customHeight="1">
      <c r="A676" s="1" t="s">
        <v>72</v>
      </c>
      <c r="B676" s="1" t="s">
        <v>6878</v>
      </c>
      <c r="C676" s="1" t="s">
        <v>74</v>
      </c>
      <c r="D676" s="1" t="s">
        <v>74</v>
      </c>
      <c r="E676" s="1" t="s">
        <v>74</v>
      </c>
      <c r="F676" s="1" t="s">
        <v>6879</v>
      </c>
      <c r="G676" s="1" t="s">
        <v>74</v>
      </c>
      <c r="H676" s="1" t="s">
        <v>74</v>
      </c>
      <c r="I676" s="1" t="s">
        <v>6880</v>
      </c>
      <c r="J676" s="1" t="s">
        <v>2329</v>
      </c>
      <c r="K676" s="1" t="s">
        <v>74</v>
      </c>
      <c r="L676" s="1" t="s">
        <v>74</v>
      </c>
      <c r="M676" s="1" t="s">
        <v>74</v>
      </c>
      <c r="N676" s="1" t="s">
        <v>74</v>
      </c>
      <c r="O676" s="1" t="s">
        <v>74</v>
      </c>
      <c r="P676" s="1" t="s">
        <v>74</v>
      </c>
      <c r="Q676" s="1" t="s">
        <v>74</v>
      </c>
      <c r="R676" s="1" t="s">
        <v>74</v>
      </c>
      <c r="S676" s="1" t="s">
        <v>74</v>
      </c>
      <c r="T676" s="1" t="s">
        <v>74</v>
      </c>
      <c r="U676" s="1" t="s">
        <v>74</v>
      </c>
      <c r="V676" s="1" t="s">
        <v>6881</v>
      </c>
      <c r="W676" s="1" t="s">
        <v>74</v>
      </c>
      <c r="X676" s="1" t="s">
        <v>74</v>
      </c>
      <c r="Y676" s="1" t="s">
        <v>74</v>
      </c>
      <c r="Z676" s="1" t="s">
        <v>74</v>
      </c>
      <c r="AA676" s="1" t="s">
        <v>6882</v>
      </c>
      <c r="AB676" s="1" t="s">
        <v>6883</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2333</v>
      </c>
      <c r="AP676" s="1" t="s">
        <v>2334</v>
      </c>
      <c r="AQ676" s="1" t="s">
        <v>74</v>
      </c>
      <c r="AR676" s="1" t="s">
        <v>74</v>
      </c>
      <c r="AS676" s="1" t="s">
        <v>74</v>
      </c>
      <c r="AT676" s="1" t="s">
        <v>6884</v>
      </c>
      <c r="AU676" s="1">
        <v>2013.0</v>
      </c>
      <c r="AV676" s="1">
        <v>103.0</v>
      </c>
      <c r="AW676" s="1">
        <v>7.0</v>
      </c>
      <c r="AX676" s="1" t="s">
        <v>74</v>
      </c>
      <c r="AY676" s="1" t="s">
        <v>74</v>
      </c>
      <c r="AZ676" s="1" t="s">
        <v>74</v>
      </c>
      <c r="BA676" s="1" t="s">
        <v>74</v>
      </c>
      <c r="BB676" s="1" t="s">
        <v>74</v>
      </c>
      <c r="BC676" s="1" t="s">
        <v>74</v>
      </c>
      <c r="BD676" s="1">
        <v>72404.0</v>
      </c>
      <c r="BE676" s="1" t="s">
        <v>6885</v>
      </c>
      <c r="BF676" s="2" t="str">
        <f>HYPERLINK("http://dx.doi.org/10.1063/1.4818677","http://dx.doi.org/10.1063/1.4818677")</f>
        <v>http://dx.doi.org/10.1063/1.4818677</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6886</v>
      </c>
      <c r="BT676" s="1" t="str">
        <f>HYPERLINK("https%3A%2F%2Fwww.webofscience.com%2Fwos%2Fwoscc%2Ffull-record%2FWOS:000323769000050","View Full Record in Web of Science")</f>
        <v>View Full Record in Web of Science</v>
      </c>
    </row>
    <row r="677" ht="12.75" customHeight="1">
      <c r="A677" s="1" t="s">
        <v>72</v>
      </c>
      <c r="B677" s="1" t="s">
        <v>6887</v>
      </c>
      <c r="C677" s="1" t="s">
        <v>74</v>
      </c>
      <c r="D677" s="1" t="s">
        <v>74</v>
      </c>
      <c r="E677" s="1" t="s">
        <v>74</v>
      </c>
      <c r="F677" s="1" t="s">
        <v>6888</v>
      </c>
      <c r="G677" s="1" t="s">
        <v>74</v>
      </c>
      <c r="H677" s="1" t="s">
        <v>74</v>
      </c>
      <c r="I677" s="1" t="s">
        <v>6889</v>
      </c>
      <c r="J677" s="1" t="s">
        <v>6890</v>
      </c>
      <c r="K677" s="1" t="s">
        <v>74</v>
      </c>
      <c r="L677" s="1" t="s">
        <v>74</v>
      </c>
      <c r="M677" s="1" t="s">
        <v>74</v>
      </c>
      <c r="N677" s="1" t="s">
        <v>74</v>
      </c>
      <c r="O677" s="1" t="s">
        <v>74</v>
      </c>
      <c r="P677" s="1" t="s">
        <v>74</v>
      </c>
      <c r="Q677" s="1" t="s">
        <v>74</v>
      </c>
      <c r="R677" s="1" t="s">
        <v>74</v>
      </c>
      <c r="S677" s="1" t="s">
        <v>74</v>
      </c>
      <c r="T677" s="1" t="s">
        <v>74</v>
      </c>
      <c r="U677" s="1" t="s">
        <v>74</v>
      </c>
      <c r="V677" s="1" t="s">
        <v>6891</v>
      </c>
      <c r="W677" s="1" t="s">
        <v>74</v>
      </c>
      <c r="X677" s="1" t="s">
        <v>74</v>
      </c>
      <c r="Y677" s="1" t="s">
        <v>74</v>
      </c>
      <c r="Z677" s="1" t="s">
        <v>74</v>
      </c>
      <c r="AA677" s="1" t="s">
        <v>1004</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6892</v>
      </c>
      <c r="AP677" s="1" t="s">
        <v>6893</v>
      </c>
      <c r="AQ677" s="1" t="s">
        <v>74</v>
      </c>
      <c r="AR677" s="1" t="s">
        <v>74</v>
      </c>
      <c r="AS677" s="1" t="s">
        <v>74</v>
      </c>
      <c r="AT677" s="1" t="s">
        <v>74</v>
      </c>
      <c r="AU677" s="1">
        <v>2010.0</v>
      </c>
      <c r="AV677" s="1">
        <v>67.0</v>
      </c>
      <c r="AW677" s="1">
        <v>1.0</v>
      </c>
      <c r="AX677" s="1" t="s">
        <v>74</v>
      </c>
      <c r="AY677" s="1" t="s">
        <v>74</v>
      </c>
      <c r="AZ677" s="1" t="s">
        <v>74</v>
      </c>
      <c r="BA677" s="1" t="s">
        <v>74</v>
      </c>
      <c r="BB677" s="1">
        <v>27.0</v>
      </c>
      <c r="BC677" s="1">
        <v>43.0</v>
      </c>
      <c r="BD677" s="1" t="s">
        <v>74</v>
      </c>
      <c r="BE677" s="1" t="s">
        <v>74</v>
      </c>
      <c r="BF677" s="1" t="s">
        <v>74</v>
      </c>
      <c r="BG677" s="1" t="s">
        <v>74</v>
      </c>
      <c r="BH677" s="1" t="s">
        <v>74</v>
      </c>
      <c r="BI677" s="1" t="s">
        <v>74</v>
      </c>
      <c r="BJ677" s="1" t="s">
        <v>74</v>
      </c>
      <c r="BK677" s="1" t="s">
        <v>74</v>
      </c>
      <c r="BL677" s="1" t="s">
        <v>74</v>
      </c>
      <c r="BM677" s="1" t="s">
        <v>74</v>
      </c>
      <c r="BN677" s="1" t="s">
        <v>74</v>
      </c>
      <c r="BO677" s="1" t="s">
        <v>74</v>
      </c>
      <c r="BP677" s="1" t="s">
        <v>74</v>
      </c>
      <c r="BQ677" s="1" t="s">
        <v>74</v>
      </c>
      <c r="BR677" s="1" t="s">
        <v>74</v>
      </c>
      <c r="BS677" s="1" t="s">
        <v>6894</v>
      </c>
      <c r="BT677" s="1" t="str">
        <f>HYPERLINK("https%3A%2F%2Fwww.webofscience.com%2Fwos%2Fwoscc%2Ffull-record%2FWOS:000279530900004","View Full Record in Web of Science")</f>
        <v>View Full Record in Web of Science</v>
      </c>
    </row>
    <row r="678" ht="12.75" customHeight="1">
      <c r="A678" s="1" t="s">
        <v>72</v>
      </c>
      <c r="B678" s="1" t="s">
        <v>5649</v>
      </c>
      <c r="C678" s="1" t="s">
        <v>74</v>
      </c>
      <c r="D678" s="1" t="s">
        <v>74</v>
      </c>
      <c r="E678" s="1" t="s">
        <v>74</v>
      </c>
      <c r="F678" s="1" t="s">
        <v>5650</v>
      </c>
      <c r="G678" s="1" t="s">
        <v>74</v>
      </c>
      <c r="H678" s="1" t="s">
        <v>74</v>
      </c>
      <c r="I678" s="1" t="s">
        <v>6895</v>
      </c>
      <c r="J678" s="1" t="s">
        <v>4580</v>
      </c>
      <c r="K678" s="1" t="s">
        <v>74</v>
      </c>
      <c r="L678" s="1" t="s">
        <v>74</v>
      </c>
      <c r="M678" s="1" t="s">
        <v>74</v>
      </c>
      <c r="N678" s="1" t="s">
        <v>74</v>
      </c>
      <c r="O678" s="1" t="s">
        <v>74</v>
      </c>
      <c r="P678" s="1" t="s">
        <v>74</v>
      </c>
      <c r="Q678" s="1" t="s">
        <v>74</v>
      </c>
      <c r="R678" s="1" t="s">
        <v>74</v>
      </c>
      <c r="S678" s="1" t="s">
        <v>74</v>
      </c>
      <c r="T678" s="1" t="s">
        <v>74</v>
      </c>
      <c r="U678" s="1" t="s">
        <v>74</v>
      </c>
      <c r="V678" s="1" t="s">
        <v>74</v>
      </c>
      <c r="W678" s="1" t="s">
        <v>74</v>
      </c>
      <c r="X678" s="1" t="s">
        <v>74</v>
      </c>
      <c r="Y678" s="1" t="s">
        <v>74</v>
      </c>
      <c r="Z678" s="1" t="s">
        <v>74</v>
      </c>
      <c r="AA678" s="1" t="s">
        <v>5653</v>
      </c>
      <c r="AB678" s="1" t="s">
        <v>5654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4584</v>
      </c>
      <c r="AP678" s="1" t="s">
        <v>74</v>
      </c>
      <c r="AQ678" s="1" t="s">
        <v>74</v>
      </c>
      <c r="AR678" s="1" t="s">
        <v>74</v>
      </c>
      <c r="AS678" s="1" t="s">
        <v>74</v>
      </c>
      <c r="AT678" s="1" t="s">
        <v>974</v>
      </c>
      <c r="AU678" s="1">
        <v>2008.0</v>
      </c>
      <c r="AV678" s="1">
        <v>52.0</v>
      </c>
      <c r="AW678" s="1">
        <v>1.0</v>
      </c>
      <c r="AX678" s="1" t="s">
        <v>74</v>
      </c>
      <c r="AY678" s="1" t="s">
        <v>74</v>
      </c>
      <c r="AZ678" s="1" t="s">
        <v>74</v>
      </c>
      <c r="BA678" s="1" t="s">
        <v>74</v>
      </c>
      <c r="BB678" s="1">
        <v>194.0</v>
      </c>
      <c r="BC678" s="1">
        <v>194.0</v>
      </c>
      <c r="BD678" s="1" t="s">
        <v>74</v>
      </c>
      <c r="BE678" s="1" t="s">
        <v>6896</v>
      </c>
      <c r="BF678" s="2" t="str">
        <f>HYPERLINK("http://dx.doi.org/10.1016/j.toxicon.2008.06.004","http://dx.doi.org/10.1016/j.toxicon.2008.06.004")</f>
        <v>http://dx.doi.org/10.1016/j.toxicon.2008.06.004</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6897</v>
      </c>
      <c r="BT678" s="1" t="str">
        <f>HYPERLINK("https%3A%2F%2Fwww.webofscience.com%2Fwos%2Fwoscc%2Ffull-record%2FWOS:000258816500024","View Full Record in Web of Science")</f>
        <v>View Full Record in Web of Science</v>
      </c>
    </row>
    <row r="679" ht="12.75" customHeight="1">
      <c r="A679" s="1" t="s">
        <v>72</v>
      </c>
      <c r="B679" s="1" t="s">
        <v>6898</v>
      </c>
      <c r="C679" s="1" t="s">
        <v>74</v>
      </c>
      <c r="D679" s="1" t="s">
        <v>74</v>
      </c>
      <c r="E679" s="1" t="s">
        <v>74</v>
      </c>
      <c r="F679" s="1" t="s">
        <v>6898</v>
      </c>
      <c r="G679" s="1" t="s">
        <v>74</v>
      </c>
      <c r="H679" s="1" t="s">
        <v>74</v>
      </c>
      <c r="I679" s="1" t="s">
        <v>6899</v>
      </c>
      <c r="J679" s="1" t="s">
        <v>6900</v>
      </c>
      <c r="K679" s="1" t="s">
        <v>74</v>
      </c>
      <c r="L679" s="1" t="s">
        <v>74</v>
      </c>
      <c r="M679" s="1" t="s">
        <v>74</v>
      </c>
      <c r="N679" s="1" t="s">
        <v>74</v>
      </c>
      <c r="O679" s="1" t="s">
        <v>74</v>
      </c>
      <c r="P679" s="1" t="s">
        <v>74</v>
      </c>
      <c r="Q679" s="1" t="s">
        <v>74</v>
      </c>
      <c r="R679" s="1" t="s">
        <v>74</v>
      </c>
      <c r="S679" s="1" t="s">
        <v>74</v>
      </c>
      <c r="T679" s="1" t="s">
        <v>74</v>
      </c>
      <c r="U679" s="1" t="s">
        <v>74</v>
      </c>
      <c r="V679" s="1" t="s">
        <v>6901</v>
      </c>
      <c r="W679" s="1" t="s">
        <v>74</v>
      </c>
      <c r="X679" s="1" t="s">
        <v>74</v>
      </c>
      <c r="Y679" s="1" t="s">
        <v>74</v>
      </c>
      <c r="Z679" s="1" t="s">
        <v>74</v>
      </c>
      <c r="AA679" s="1" t="s">
        <v>6902</v>
      </c>
      <c r="AB679" s="1" t="s">
        <v>6903</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6904</v>
      </c>
      <c r="AP679" s="1" t="s">
        <v>6905</v>
      </c>
      <c r="AQ679" s="1" t="s">
        <v>74</v>
      </c>
      <c r="AR679" s="1" t="s">
        <v>74</v>
      </c>
      <c r="AS679" s="1" t="s">
        <v>74</v>
      </c>
      <c r="AT679" s="1" t="s">
        <v>6906</v>
      </c>
      <c r="AU679" s="1">
        <v>2004.0</v>
      </c>
      <c r="AV679" s="1">
        <v>322.0</v>
      </c>
      <c r="AW679" s="1">
        <v>2.0</v>
      </c>
      <c r="AX679" s="1" t="s">
        <v>74</v>
      </c>
      <c r="AY679" s="1" t="s">
        <v>74</v>
      </c>
      <c r="AZ679" s="1" t="s">
        <v>74</v>
      </c>
      <c r="BA679" s="1" t="s">
        <v>74</v>
      </c>
      <c r="BB679" s="1">
        <v>542.0</v>
      </c>
      <c r="BC679" s="1">
        <v>550.0</v>
      </c>
      <c r="BD679" s="1" t="s">
        <v>74</v>
      </c>
      <c r="BE679" s="1" t="s">
        <v>6907</v>
      </c>
      <c r="BF679" s="2" t="str">
        <f>HYPERLINK("http://dx.doi.org/10.1016/j.bbrc.2004.07.158","http://dx.doi.org/10.1016/j.bbrc.2004.07.158")</f>
        <v>http://dx.doi.org/10.1016/j.bbrc.2004.07.158</v>
      </c>
      <c r="BG679" s="1" t="s">
        <v>74</v>
      </c>
      <c r="BH679" s="1" t="s">
        <v>74</v>
      </c>
      <c r="BI679" s="1" t="s">
        <v>74</v>
      </c>
      <c r="BJ679" s="1" t="s">
        <v>74</v>
      </c>
      <c r="BK679" s="1" t="s">
        <v>74</v>
      </c>
      <c r="BL679" s="1" t="s">
        <v>74</v>
      </c>
      <c r="BM679" s="1" t="s">
        <v>74</v>
      </c>
      <c r="BN679" s="1">
        <v>1.5325264E7</v>
      </c>
      <c r="BO679" s="1" t="s">
        <v>74</v>
      </c>
      <c r="BP679" s="1" t="s">
        <v>74</v>
      </c>
      <c r="BQ679" s="1" t="s">
        <v>74</v>
      </c>
      <c r="BR679" s="1" t="s">
        <v>74</v>
      </c>
      <c r="BS679" s="1" t="s">
        <v>6908</v>
      </c>
      <c r="BT679" s="1" t="str">
        <f>HYPERLINK("https%3A%2F%2Fwww.webofscience.com%2Fwos%2Fwoscc%2Ffull-record%2FWOS:000223675800027","View Full Record in Web of Science")</f>
        <v>View Full Record in Web of Science</v>
      </c>
    </row>
    <row r="680" ht="12.75" customHeight="1">
      <c r="A680" s="1" t="s">
        <v>72</v>
      </c>
      <c r="B680" s="1" t="s">
        <v>6909</v>
      </c>
      <c r="C680" s="1" t="s">
        <v>74</v>
      </c>
      <c r="D680" s="1" t="s">
        <v>74</v>
      </c>
      <c r="E680" s="1" t="s">
        <v>74</v>
      </c>
      <c r="F680" s="1" t="s">
        <v>6909</v>
      </c>
      <c r="G680" s="1" t="s">
        <v>74</v>
      </c>
      <c r="H680" s="1" t="s">
        <v>74</v>
      </c>
      <c r="I680" s="1" t="s">
        <v>6910</v>
      </c>
      <c r="J680" s="1" t="s">
        <v>6531</v>
      </c>
      <c r="K680" s="1" t="s">
        <v>74</v>
      </c>
      <c r="L680" s="1" t="s">
        <v>74</v>
      </c>
      <c r="M680" s="1" t="s">
        <v>74</v>
      </c>
      <c r="N680" s="1" t="s">
        <v>74</v>
      </c>
      <c r="O680" s="1" t="s">
        <v>74</v>
      </c>
      <c r="P680" s="1" t="s">
        <v>74</v>
      </c>
      <c r="Q680" s="1" t="s">
        <v>74</v>
      </c>
      <c r="R680" s="1" t="s">
        <v>74</v>
      </c>
      <c r="S680" s="1" t="s">
        <v>74</v>
      </c>
      <c r="T680" s="1" t="s">
        <v>74</v>
      </c>
      <c r="U680" s="1" t="s">
        <v>74</v>
      </c>
      <c r="V680" s="1" t="s">
        <v>6911</v>
      </c>
      <c r="W680" s="1" t="s">
        <v>74</v>
      </c>
      <c r="X680" s="1" t="s">
        <v>74</v>
      </c>
      <c r="Y680" s="1" t="s">
        <v>74</v>
      </c>
      <c r="Z680" s="1" t="s">
        <v>74</v>
      </c>
      <c r="AA680" s="1" t="s">
        <v>74</v>
      </c>
      <c r="AB680" s="1" t="s">
        <v>6912</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6533</v>
      </c>
      <c r="AP680" s="1" t="s">
        <v>74</v>
      </c>
      <c r="AQ680" s="1" t="s">
        <v>74</v>
      </c>
      <c r="AR680" s="1" t="s">
        <v>74</v>
      </c>
      <c r="AS680" s="1" t="s">
        <v>74</v>
      </c>
      <c r="AT680" s="1" t="s">
        <v>74</v>
      </c>
      <c r="AU680" s="1">
        <v>2000.0</v>
      </c>
      <c r="AV680" s="1">
        <v>215.0</v>
      </c>
      <c r="AW680" s="1">
        <v>3.0</v>
      </c>
      <c r="AX680" s="1" t="s">
        <v>74</v>
      </c>
      <c r="AY680" s="1" t="s">
        <v>74</v>
      </c>
      <c r="AZ680" s="1" t="s">
        <v>74</v>
      </c>
      <c r="BA680" s="1" t="s">
        <v>74</v>
      </c>
      <c r="BB680" s="1">
        <v>407.0</v>
      </c>
      <c r="BC680" s="1">
        <v>408.0</v>
      </c>
      <c r="BD680" s="1" t="s">
        <v>74</v>
      </c>
      <c r="BE680" s="1" t="s">
        <v>74</v>
      </c>
      <c r="BF680" s="1" t="s">
        <v>74</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6913</v>
      </c>
      <c r="BT680" s="1" t="str">
        <f>HYPERLINK("https%3A%2F%2Fwww.webofscience.com%2Fwos%2Fwoscc%2Ffull-record%2FWOS:000088244800049","View Full Record in Web of Science")</f>
        <v>View Full Record in Web of Science</v>
      </c>
    </row>
    <row r="681" ht="12.75" customHeight="1">
      <c r="A681" s="1" t="s">
        <v>72</v>
      </c>
      <c r="B681" s="1" t="s">
        <v>6914</v>
      </c>
      <c r="C681" s="1" t="s">
        <v>74</v>
      </c>
      <c r="D681" s="1" t="s">
        <v>74</v>
      </c>
      <c r="E681" s="1" t="s">
        <v>74</v>
      </c>
      <c r="F681" s="1" t="s">
        <v>6914</v>
      </c>
      <c r="G681" s="1" t="s">
        <v>74</v>
      </c>
      <c r="H681" s="1" t="s">
        <v>74</v>
      </c>
      <c r="I681" s="1" t="s">
        <v>6915</v>
      </c>
      <c r="J681" s="1" t="s">
        <v>6166</v>
      </c>
      <c r="K681" s="1" t="s">
        <v>74</v>
      </c>
      <c r="L681" s="1" t="s">
        <v>74</v>
      </c>
      <c r="M681" s="1" t="s">
        <v>74</v>
      </c>
      <c r="N681" s="1" t="s">
        <v>74</v>
      </c>
      <c r="O681" s="1" t="s">
        <v>74</v>
      </c>
      <c r="P681" s="1" t="s">
        <v>74</v>
      </c>
      <c r="Q681" s="1" t="s">
        <v>74</v>
      </c>
      <c r="R681" s="1" t="s">
        <v>74</v>
      </c>
      <c r="S681" s="1" t="s">
        <v>74</v>
      </c>
      <c r="T681" s="1" t="s">
        <v>74</v>
      </c>
      <c r="U681" s="1" t="s">
        <v>74</v>
      </c>
      <c r="V681" s="1" t="s">
        <v>74</v>
      </c>
      <c r="W681" s="1" t="s">
        <v>74</v>
      </c>
      <c r="X681" s="1" t="s">
        <v>74</v>
      </c>
      <c r="Y681" s="1" t="s">
        <v>74</v>
      </c>
      <c r="Z681" s="1" t="s">
        <v>74</v>
      </c>
      <c r="AA681" s="1" t="s">
        <v>74</v>
      </c>
      <c r="AB681" s="1" t="s">
        <v>6916</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6170</v>
      </c>
      <c r="AP681" s="1" t="s">
        <v>74</v>
      </c>
      <c r="AQ681" s="1" t="s">
        <v>74</v>
      </c>
      <c r="AR681" s="1" t="s">
        <v>74</v>
      </c>
      <c r="AS681" s="1" t="s">
        <v>74</v>
      </c>
      <c r="AT681" s="1" t="s">
        <v>74</v>
      </c>
      <c r="AU681" s="1">
        <v>1984.0</v>
      </c>
      <c r="AV681" s="1">
        <v>47.0</v>
      </c>
      <c r="AW681" s="1">
        <v>6.0</v>
      </c>
      <c r="AX681" s="1" t="s">
        <v>74</v>
      </c>
      <c r="AY681" s="1" t="s">
        <v>74</v>
      </c>
      <c r="AZ681" s="1" t="s">
        <v>74</v>
      </c>
      <c r="BA681" s="1" t="s">
        <v>74</v>
      </c>
      <c r="BB681" s="1">
        <v>1050.0</v>
      </c>
      <c r="BC681" s="1">
        <v>1051.0</v>
      </c>
      <c r="BD681" s="1" t="s">
        <v>74</v>
      </c>
      <c r="BE681" s="1" t="s">
        <v>6917</v>
      </c>
      <c r="BF681" s="2" t="str">
        <f>HYPERLINK("http://dx.doi.org/10.1021/np50036a031","http://dx.doi.org/10.1021/np50036a031")</f>
        <v>http://dx.doi.org/10.1021/np50036a031</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6918</v>
      </c>
      <c r="BT681" s="1" t="str">
        <f>HYPERLINK("https%3A%2F%2Fwww.webofscience.com%2Fwos%2Fwoscc%2Ffull-record%2FWOS:A1984ABE1000031","View Full Record in Web of Science")</f>
        <v>View Full Record in Web of Science</v>
      </c>
    </row>
    <row r="682" ht="12.75" customHeight="1">
      <c r="A682" s="1" t="s">
        <v>72</v>
      </c>
      <c r="B682" s="1" t="s">
        <v>6919</v>
      </c>
      <c r="C682" s="1" t="s">
        <v>74</v>
      </c>
      <c r="D682" s="1" t="s">
        <v>74</v>
      </c>
      <c r="E682" s="1" t="s">
        <v>74</v>
      </c>
      <c r="F682" s="1" t="s">
        <v>6920</v>
      </c>
      <c r="G682" s="1" t="s">
        <v>74</v>
      </c>
      <c r="H682" s="1" t="s">
        <v>74</v>
      </c>
      <c r="I682" s="1" t="s">
        <v>6921</v>
      </c>
      <c r="J682" s="1" t="s">
        <v>1897</v>
      </c>
      <c r="K682" s="1" t="s">
        <v>74</v>
      </c>
      <c r="L682" s="1" t="s">
        <v>74</v>
      </c>
      <c r="M682" s="1" t="s">
        <v>74</v>
      </c>
      <c r="N682" s="1" t="s">
        <v>74</v>
      </c>
      <c r="O682" s="1" t="s">
        <v>74</v>
      </c>
      <c r="P682" s="1" t="s">
        <v>74</v>
      </c>
      <c r="Q682" s="1" t="s">
        <v>74</v>
      </c>
      <c r="R682" s="1" t="s">
        <v>74</v>
      </c>
      <c r="S682" s="1" t="s">
        <v>74</v>
      </c>
      <c r="T682" s="1" t="s">
        <v>74</v>
      </c>
      <c r="U682" s="1" t="s">
        <v>74</v>
      </c>
      <c r="V682" s="1" t="s">
        <v>6922</v>
      </c>
      <c r="W682" s="1" t="s">
        <v>74</v>
      </c>
      <c r="X682" s="1" t="s">
        <v>74</v>
      </c>
      <c r="Y682" s="1" t="s">
        <v>74</v>
      </c>
      <c r="Z682" s="1" t="s">
        <v>74</v>
      </c>
      <c r="AA682" s="1" t="s">
        <v>6923</v>
      </c>
      <c r="AB682" s="1" t="s">
        <v>6924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1901</v>
      </c>
      <c r="AP682" s="1" t="s">
        <v>5683</v>
      </c>
      <c r="AQ682" s="1" t="s">
        <v>74</v>
      </c>
      <c r="AR682" s="1" t="s">
        <v>74</v>
      </c>
      <c r="AS682" s="1" t="s">
        <v>74</v>
      </c>
      <c r="AT682" s="1" t="s">
        <v>877</v>
      </c>
      <c r="AU682" s="1">
        <v>2024.0</v>
      </c>
      <c r="AV682" s="1">
        <v>181.0</v>
      </c>
      <c r="AW682" s="1">
        <v>16.0</v>
      </c>
      <c r="AX682" s="1" t="s">
        <v>74</v>
      </c>
      <c r="AY682" s="1" t="s">
        <v>74</v>
      </c>
      <c r="AZ682" s="1" t="s">
        <v>74</v>
      </c>
      <c r="BA682" s="1" t="s">
        <v>74</v>
      </c>
      <c r="BB682" s="1">
        <v>2905.0</v>
      </c>
      <c r="BC682" s="1">
        <v>2922.0</v>
      </c>
      <c r="BD682" s="1" t="s">
        <v>74</v>
      </c>
      <c r="BE682" s="1" t="s">
        <v>6925</v>
      </c>
      <c r="BF682" s="2" t="str">
        <f>HYPERLINK("http://dx.doi.org/10.1111/bph.16371","http://dx.doi.org/10.1111/bph.16371")</f>
        <v>http://dx.doi.org/10.1111/bph.16371</v>
      </c>
      <c r="BG682" s="1" t="s">
        <v>74</v>
      </c>
      <c r="BH682" s="1" t="s">
        <v>3491</v>
      </c>
      <c r="BI682" s="1" t="s">
        <v>74</v>
      </c>
      <c r="BJ682" s="1" t="s">
        <v>74</v>
      </c>
      <c r="BK682" s="1" t="s">
        <v>74</v>
      </c>
      <c r="BL682" s="1" t="s">
        <v>74</v>
      </c>
      <c r="BM682" s="1" t="s">
        <v>74</v>
      </c>
      <c r="BN682" s="1">
        <v>3.8679932E7</v>
      </c>
      <c r="BO682" s="1" t="s">
        <v>74</v>
      </c>
      <c r="BP682" s="1" t="s">
        <v>74</v>
      </c>
      <c r="BQ682" s="1" t="s">
        <v>74</v>
      </c>
      <c r="BR682" s="1" t="s">
        <v>74</v>
      </c>
      <c r="BS682" s="1" t="s">
        <v>6926</v>
      </c>
      <c r="BT682" s="1" t="str">
        <f>HYPERLINK("https%3A%2F%2Fwww.webofscience.com%2Fwos%2Fwoscc%2Ffull-record%2FWOS:001214619500001","View Full Record in Web of Science")</f>
        <v>View Full Record in Web of Science</v>
      </c>
    </row>
    <row r="683" ht="12.75" customHeight="1">
      <c r="A683" s="1" t="s">
        <v>72</v>
      </c>
      <c r="B683" s="1" t="s">
        <v>6927</v>
      </c>
      <c r="C683" s="1" t="s">
        <v>74</v>
      </c>
      <c r="D683" s="1" t="s">
        <v>74</v>
      </c>
      <c r="E683" s="1" t="s">
        <v>74</v>
      </c>
      <c r="F683" s="1" t="s">
        <v>6928</v>
      </c>
      <c r="G683" s="1" t="s">
        <v>74</v>
      </c>
      <c r="H683" s="1" t="s">
        <v>74</v>
      </c>
      <c r="I683" s="1" t="s">
        <v>6929</v>
      </c>
      <c r="J683" s="1" t="s">
        <v>6930</v>
      </c>
      <c r="K683" s="1" t="s">
        <v>74</v>
      </c>
      <c r="L683" s="1" t="s">
        <v>74</v>
      </c>
      <c r="M683" s="1" t="s">
        <v>74</v>
      </c>
      <c r="N683" s="1" t="s">
        <v>74</v>
      </c>
      <c r="O683" s="1" t="s">
        <v>74</v>
      </c>
      <c r="P683" s="1" t="s">
        <v>74</v>
      </c>
      <c r="Q683" s="1" t="s">
        <v>74</v>
      </c>
      <c r="R683" s="1" t="s">
        <v>74</v>
      </c>
      <c r="S683" s="1" t="s">
        <v>74</v>
      </c>
      <c r="T683" s="1" t="s">
        <v>74</v>
      </c>
      <c r="U683" s="1" t="s">
        <v>74</v>
      </c>
      <c r="V683" s="1" t="s">
        <v>6931</v>
      </c>
      <c r="W683" s="1" t="s">
        <v>74</v>
      </c>
      <c r="X683" s="1" t="s">
        <v>74</v>
      </c>
      <c r="Y683" s="1" t="s">
        <v>74</v>
      </c>
      <c r="Z683" s="1" t="s">
        <v>74</v>
      </c>
      <c r="AA683" s="1" t="s">
        <v>6932</v>
      </c>
      <c r="AB683" s="1" t="s">
        <v>6933</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6934</v>
      </c>
      <c r="AP683" s="1" t="s">
        <v>74</v>
      </c>
      <c r="AQ683" s="1" t="s">
        <v>74</v>
      </c>
      <c r="AR683" s="1" t="s">
        <v>74</v>
      </c>
      <c r="AS683" s="1" t="s">
        <v>74</v>
      </c>
      <c r="AT683" s="1" t="s">
        <v>1426</v>
      </c>
      <c r="AU683" s="1">
        <v>2024.0</v>
      </c>
      <c r="AV683" s="1">
        <v>19.0</v>
      </c>
      <c r="AW683" s="1">
        <v>3.0</v>
      </c>
      <c r="AX683" s="1" t="s">
        <v>74</v>
      </c>
      <c r="AY683" s="1" t="s">
        <v>74</v>
      </c>
      <c r="AZ683" s="1" t="s">
        <v>74</v>
      </c>
      <c r="BA683" s="1" t="s">
        <v>74</v>
      </c>
      <c r="BB683" s="1" t="s">
        <v>74</v>
      </c>
      <c r="BC683" s="1" t="s">
        <v>74</v>
      </c>
      <c r="BD683" s="1">
        <v>34023.0</v>
      </c>
      <c r="BE683" s="1" t="s">
        <v>6935</v>
      </c>
      <c r="BF683" s="2" t="str">
        <f>HYPERLINK("http://dx.doi.org/10.1088/1748-9326/ad25a2","http://dx.doi.org/10.1088/1748-9326/ad25a2")</f>
        <v>http://dx.doi.org/10.1088/1748-9326/ad25a2</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6936</v>
      </c>
      <c r="BT683" s="1" t="str">
        <f>HYPERLINK("https%3A%2F%2Fwww.webofscience.com%2Fwos%2Fwoscc%2Ffull-record%2FWOS:001168953400001","View Full Record in Web of Science")</f>
        <v>View Full Record in Web of Science</v>
      </c>
    </row>
    <row r="684" ht="12.75" customHeight="1">
      <c r="A684" s="1" t="s">
        <v>72</v>
      </c>
      <c r="B684" s="1" t="s">
        <v>6937</v>
      </c>
      <c r="C684" s="1" t="s">
        <v>74</v>
      </c>
      <c r="D684" s="1" t="s">
        <v>74</v>
      </c>
      <c r="E684" s="1" t="s">
        <v>74</v>
      </c>
      <c r="F684" s="1" t="s">
        <v>6938</v>
      </c>
      <c r="G684" s="1" t="s">
        <v>74</v>
      </c>
      <c r="H684" s="1" t="s">
        <v>74</v>
      </c>
      <c r="I684" s="1" t="s">
        <v>6939</v>
      </c>
      <c r="J684" s="1" t="s">
        <v>6940</v>
      </c>
      <c r="K684" s="1" t="s">
        <v>74</v>
      </c>
      <c r="L684" s="1" t="s">
        <v>74</v>
      </c>
      <c r="M684" s="1" t="s">
        <v>74</v>
      </c>
      <c r="N684" s="1" t="s">
        <v>74</v>
      </c>
      <c r="O684" s="1" t="s">
        <v>74</v>
      </c>
      <c r="P684" s="1" t="s">
        <v>74</v>
      </c>
      <c r="Q684" s="1" t="s">
        <v>74</v>
      </c>
      <c r="R684" s="1" t="s">
        <v>74</v>
      </c>
      <c r="S684" s="1" t="s">
        <v>74</v>
      </c>
      <c r="T684" s="1" t="s">
        <v>74</v>
      </c>
      <c r="U684" s="1" t="s">
        <v>74</v>
      </c>
      <c r="V684" s="1" t="s">
        <v>6941</v>
      </c>
      <c r="W684" s="1" t="s">
        <v>74</v>
      </c>
      <c r="X684" s="1" t="s">
        <v>74</v>
      </c>
      <c r="Y684" s="1" t="s">
        <v>74</v>
      </c>
      <c r="Z684" s="1" t="s">
        <v>74</v>
      </c>
      <c r="AA684" s="1" t="s">
        <v>6942</v>
      </c>
      <c r="AB684" s="1" t="s">
        <v>6943</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6944</v>
      </c>
      <c r="AP684" s="1" t="s">
        <v>6945</v>
      </c>
      <c r="AQ684" s="1" t="s">
        <v>74</v>
      </c>
      <c r="AR684" s="1" t="s">
        <v>74</v>
      </c>
      <c r="AS684" s="1" t="s">
        <v>74</v>
      </c>
      <c r="AT684" s="1" t="s">
        <v>600</v>
      </c>
      <c r="AU684" s="1">
        <v>2023.0</v>
      </c>
      <c r="AV684" s="1">
        <v>84.0</v>
      </c>
      <c r="AW684" s="1">
        <v>1.0</v>
      </c>
      <c r="AX684" s="1" t="s">
        <v>74</v>
      </c>
      <c r="AY684" s="1" t="s">
        <v>74</v>
      </c>
      <c r="AZ684" s="1" t="s">
        <v>74</v>
      </c>
      <c r="BA684" s="1" t="s">
        <v>74</v>
      </c>
      <c r="BB684" s="1">
        <v>105.0</v>
      </c>
      <c r="BC684" s="1">
        <v>111.0</v>
      </c>
      <c r="BD684" s="1" t="s">
        <v>74</v>
      </c>
      <c r="BE684" s="1" t="s">
        <v>6946</v>
      </c>
      <c r="BF684" s="2" t="str">
        <f>HYPERLINK("http://dx.doi.org/10.1055/s-0042-1743464","http://dx.doi.org/10.1055/s-0042-1743464")</f>
        <v>http://dx.doi.org/10.1055/s-0042-1743464</v>
      </c>
      <c r="BG684" s="1" t="s">
        <v>74</v>
      </c>
      <c r="BH684" s="1" t="s">
        <v>6947</v>
      </c>
      <c r="BI684" s="1" t="s">
        <v>74</v>
      </c>
      <c r="BJ684" s="1" t="s">
        <v>74</v>
      </c>
      <c r="BK684" s="1" t="s">
        <v>74</v>
      </c>
      <c r="BL684" s="1" t="s">
        <v>74</v>
      </c>
      <c r="BM684" s="1" t="s">
        <v>74</v>
      </c>
      <c r="BN684" s="1">
        <v>3.6743716E7</v>
      </c>
      <c r="BO684" s="1" t="s">
        <v>74</v>
      </c>
      <c r="BP684" s="1" t="s">
        <v>74</v>
      </c>
      <c r="BQ684" s="1" t="s">
        <v>74</v>
      </c>
      <c r="BR684" s="1" t="s">
        <v>74</v>
      </c>
      <c r="BS684" s="1" t="s">
        <v>6948</v>
      </c>
      <c r="BT684" s="1" t="str">
        <f>HYPERLINK("https%3A%2F%2Fwww.webofscience.com%2Fwos%2Fwoscc%2Ffull-record%2FWOS:000766840700001","View Full Record in Web of Science")</f>
        <v>View Full Record in Web of Science</v>
      </c>
    </row>
    <row r="685" ht="12.75" customHeight="1">
      <c r="A685" s="1" t="s">
        <v>72</v>
      </c>
      <c r="B685" s="1" t="s">
        <v>6949</v>
      </c>
      <c r="C685" s="1" t="s">
        <v>74</v>
      </c>
      <c r="D685" s="1" t="s">
        <v>74</v>
      </c>
      <c r="E685" s="1" t="s">
        <v>74</v>
      </c>
      <c r="F685" s="1" t="s">
        <v>6950</v>
      </c>
      <c r="G685" s="1" t="s">
        <v>74</v>
      </c>
      <c r="H685" s="1" t="s">
        <v>74</v>
      </c>
      <c r="I685" s="1" t="s">
        <v>6951</v>
      </c>
      <c r="J685" s="1" t="s">
        <v>292</v>
      </c>
      <c r="K685" s="1" t="s">
        <v>74</v>
      </c>
      <c r="L685" s="1" t="s">
        <v>74</v>
      </c>
      <c r="M685" s="1" t="s">
        <v>74</v>
      </c>
      <c r="N685" s="1" t="s">
        <v>74</v>
      </c>
      <c r="O685" s="1" t="s">
        <v>74</v>
      </c>
      <c r="P685" s="1" t="s">
        <v>74</v>
      </c>
      <c r="Q685" s="1" t="s">
        <v>74</v>
      </c>
      <c r="R685" s="1" t="s">
        <v>74</v>
      </c>
      <c r="S685" s="1" t="s">
        <v>74</v>
      </c>
      <c r="T685" s="1" t="s">
        <v>74</v>
      </c>
      <c r="U685" s="1" t="s">
        <v>74</v>
      </c>
      <c r="V685" s="1" t="s">
        <v>6952</v>
      </c>
      <c r="W685" s="1" t="s">
        <v>74</v>
      </c>
      <c r="X685" s="1" t="s">
        <v>74</v>
      </c>
      <c r="Y685" s="1" t="s">
        <v>74</v>
      </c>
      <c r="Z685" s="1" t="s">
        <v>74</v>
      </c>
      <c r="AA685" s="1" t="s">
        <v>6953</v>
      </c>
      <c r="AB685" s="1" t="s">
        <v>6954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296</v>
      </c>
      <c r="AP685" s="1" t="s">
        <v>74</v>
      </c>
      <c r="AQ685" s="1" t="s">
        <v>74</v>
      </c>
      <c r="AR685" s="1" t="s">
        <v>74</v>
      </c>
      <c r="AS685" s="1" t="s">
        <v>74</v>
      </c>
      <c r="AT685" s="1" t="s">
        <v>6955</v>
      </c>
      <c r="AU685" s="1">
        <v>2021.0</v>
      </c>
      <c r="AV685" s="1">
        <v>11.0</v>
      </c>
      <c r="AW685" s="1">
        <v>1.0</v>
      </c>
      <c r="AX685" s="1" t="s">
        <v>74</v>
      </c>
      <c r="AY685" s="1" t="s">
        <v>74</v>
      </c>
      <c r="AZ685" s="1" t="s">
        <v>74</v>
      </c>
      <c r="BA685" s="1" t="s">
        <v>74</v>
      </c>
      <c r="BB685" s="1" t="s">
        <v>74</v>
      </c>
      <c r="BC685" s="1" t="s">
        <v>74</v>
      </c>
      <c r="BD685" s="1">
        <v>13875.0</v>
      </c>
      <c r="BE685" s="1" t="s">
        <v>6956</v>
      </c>
      <c r="BF685" s="2" t="str">
        <f>HYPERLINK("http://dx.doi.org/10.1038/s41598-021-93267-9","http://dx.doi.org/10.1038/s41598-021-93267-9")</f>
        <v>http://dx.doi.org/10.1038/s41598-021-93267-9</v>
      </c>
      <c r="BG685" s="1" t="s">
        <v>74</v>
      </c>
      <c r="BH685" s="1" t="s">
        <v>74</v>
      </c>
      <c r="BI685" s="1" t="s">
        <v>74</v>
      </c>
      <c r="BJ685" s="1" t="s">
        <v>74</v>
      </c>
      <c r="BK685" s="1" t="s">
        <v>74</v>
      </c>
      <c r="BL685" s="1" t="s">
        <v>74</v>
      </c>
      <c r="BM685" s="1" t="s">
        <v>74</v>
      </c>
      <c r="BN685" s="1">
        <v>3.4230509E7</v>
      </c>
      <c r="BO685" s="1" t="s">
        <v>74</v>
      </c>
      <c r="BP685" s="1" t="s">
        <v>74</v>
      </c>
      <c r="BQ685" s="1" t="s">
        <v>74</v>
      </c>
      <c r="BR685" s="1" t="s">
        <v>74</v>
      </c>
      <c r="BS685" s="1" t="s">
        <v>6957</v>
      </c>
      <c r="BT685" s="1" t="str">
        <f>HYPERLINK("https%3A%2F%2Fwww.webofscience.com%2Fwos%2Fwoscc%2Ffull-record%2FWOS:000672717200010","View Full Record in Web of Science")</f>
        <v>View Full Record in Web of Science</v>
      </c>
    </row>
    <row r="686" ht="12.75" customHeight="1">
      <c r="A686" s="1" t="s">
        <v>72</v>
      </c>
      <c r="B686" s="1" t="s">
        <v>6958</v>
      </c>
      <c r="C686" s="1" t="s">
        <v>74</v>
      </c>
      <c r="D686" s="1" t="s">
        <v>74</v>
      </c>
      <c r="E686" s="1" t="s">
        <v>74</v>
      </c>
      <c r="F686" s="1" t="s">
        <v>6959</v>
      </c>
      <c r="G686" s="1" t="s">
        <v>74</v>
      </c>
      <c r="H686" s="1" t="s">
        <v>74</v>
      </c>
      <c r="I686" s="1" t="s">
        <v>6960</v>
      </c>
      <c r="J686" s="1" t="s">
        <v>1695</v>
      </c>
      <c r="K686" s="1" t="s">
        <v>74</v>
      </c>
      <c r="L686" s="1" t="s">
        <v>74</v>
      </c>
      <c r="M686" s="1" t="s">
        <v>74</v>
      </c>
      <c r="N686" s="1" t="s">
        <v>74</v>
      </c>
      <c r="O686" s="1" t="s">
        <v>74</v>
      </c>
      <c r="P686" s="1" t="s">
        <v>74</v>
      </c>
      <c r="Q686" s="1" t="s">
        <v>74</v>
      </c>
      <c r="R686" s="1" t="s">
        <v>74</v>
      </c>
      <c r="S686" s="1" t="s">
        <v>74</v>
      </c>
      <c r="T686" s="1" t="s">
        <v>74</v>
      </c>
      <c r="U686" s="1" t="s">
        <v>74</v>
      </c>
      <c r="V686" s="1" t="s">
        <v>6961</v>
      </c>
      <c r="W686" s="1" t="s">
        <v>74</v>
      </c>
      <c r="X686" s="1" t="s">
        <v>74</v>
      </c>
      <c r="Y686" s="1" t="s">
        <v>74</v>
      </c>
      <c r="Z686" s="1" t="s">
        <v>74</v>
      </c>
      <c r="AA686" s="1" t="s">
        <v>2256</v>
      </c>
      <c r="AB686" s="1" t="s">
        <v>6962</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74</v>
      </c>
      <c r="AP686" s="1" t="s">
        <v>1699</v>
      </c>
      <c r="AQ686" s="1" t="s">
        <v>74</v>
      </c>
      <c r="AR686" s="1" t="s">
        <v>74</v>
      </c>
      <c r="AS686" s="1" t="s">
        <v>74</v>
      </c>
      <c r="AT686" s="1" t="s">
        <v>385</v>
      </c>
      <c r="AU686" s="1">
        <v>2021.0</v>
      </c>
      <c r="AV686" s="1">
        <v>26.0</v>
      </c>
      <c r="AW686" s="1">
        <v>12.0</v>
      </c>
      <c r="AX686" s="1" t="s">
        <v>74</v>
      </c>
      <c r="AY686" s="1" t="s">
        <v>74</v>
      </c>
      <c r="AZ686" s="1" t="s">
        <v>74</v>
      </c>
      <c r="BA686" s="1" t="s">
        <v>74</v>
      </c>
      <c r="BB686" s="1" t="s">
        <v>74</v>
      </c>
      <c r="BC686" s="1" t="s">
        <v>74</v>
      </c>
      <c r="BD686" s="1">
        <v>3568.0</v>
      </c>
      <c r="BE686" s="1" t="s">
        <v>6963</v>
      </c>
      <c r="BF686" s="2" t="str">
        <f>HYPERLINK("http://dx.doi.org/10.3390/molecules26123568","http://dx.doi.org/10.3390/molecules26123568")</f>
        <v>http://dx.doi.org/10.3390/molecules26123568</v>
      </c>
      <c r="BG686" s="1" t="s">
        <v>74</v>
      </c>
      <c r="BH686" s="1" t="s">
        <v>74</v>
      </c>
      <c r="BI686" s="1" t="s">
        <v>74</v>
      </c>
      <c r="BJ686" s="1" t="s">
        <v>74</v>
      </c>
      <c r="BK686" s="1" t="s">
        <v>74</v>
      </c>
      <c r="BL686" s="1" t="s">
        <v>74</v>
      </c>
      <c r="BM686" s="1" t="s">
        <v>74</v>
      </c>
      <c r="BN686" s="1">
        <v>3.420798E7</v>
      </c>
      <c r="BO686" s="1" t="s">
        <v>74</v>
      </c>
      <c r="BP686" s="1" t="s">
        <v>74</v>
      </c>
      <c r="BQ686" s="1" t="s">
        <v>74</v>
      </c>
      <c r="BR686" s="1" t="s">
        <v>74</v>
      </c>
      <c r="BS686" s="1" t="s">
        <v>6964</v>
      </c>
      <c r="BT686" s="1" t="str">
        <f>HYPERLINK("https%3A%2F%2Fwww.webofscience.com%2Fwos%2Fwoscc%2Ffull-record%2FWOS:000666752600001","View Full Record in Web of Science")</f>
        <v>View Full Record in Web of Science</v>
      </c>
    </row>
    <row r="687" ht="12.75" customHeight="1">
      <c r="A687" s="1" t="s">
        <v>72</v>
      </c>
      <c r="B687" s="1" t="s">
        <v>6965</v>
      </c>
      <c r="C687" s="1" t="s">
        <v>74</v>
      </c>
      <c r="D687" s="1" t="s">
        <v>74</v>
      </c>
      <c r="E687" s="1" t="s">
        <v>74</v>
      </c>
      <c r="F687" s="1" t="s">
        <v>6966</v>
      </c>
      <c r="G687" s="1" t="s">
        <v>74</v>
      </c>
      <c r="H687" s="1" t="s">
        <v>74</v>
      </c>
      <c r="I687" s="1" t="s">
        <v>6967</v>
      </c>
      <c r="J687" s="1" t="s">
        <v>6968</v>
      </c>
      <c r="K687" s="1" t="s">
        <v>74</v>
      </c>
      <c r="L687" s="1" t="s">
        <v>74</v>
      </c>
      <c r="M687" s="1" t="s">
        <v>74</v>
      </c>
      <c r="N687" s="1" t="s">
        <v>74</v>
      </c>
      <c r="O687" s="1" t="s">
        <v>74</v>
      </c>
      <c r="P687" s="1" t="s">
        <v>74</v>
      </c>
      <c r="Q687" s="1" t="s">
        <v>74</v>
      </c>
      <c r="R687" s="1" t="s">
        <v>74</v>
      </c>
      <c r="S687" s="1" t="s">
        <v>74</v>
      </c>
      <c r="T687" s="1" t="s">
        <v>74</v>
      </c>
      <c r="U687" s="1" t="s">
        <v>74</v>
      </c>
      <c r="V687" s="1" t="s">
        <v>6969</v>
      </c>
      <c r="W687" s="1" t="s">
        <v>74</v>
      </c>
      <c r="X687" s="1" t="s">
        <v>74</v>
      </c>
      <c r="Y687" s="1" t="s">
        <v>74</v>
      </c>
      <c r="Z687" s="1" t="s">
        <v>74</v>
      </c>
      <c r="AA687" s="1" t="s">
        <v>6970</v>
      </c>
      <c r="AB687" s="1" t="s">
        <v>6971</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6972</v>
      </c>
      <c r="AP687" s="1" t="s">
        <v>6973</v>
      </c>
      <c r="AQ687" s="1" t="s">
        <v>74</v>
      </c>
      <c r="AR687" s="1" t="s">
        <v>74</v>
      </c>
      <c r="AS687" s="1" t="s">
        <v>74</v>
      </c>
      <c r="AT687" s="1" t="s">
        <v>6974</v>
      </c>
      <c r="AU687" s="1">
        <v>2020.0</v>
      </c>
      <c r="AV687" s="1">
        <v>31.0</v>
      </c>
      <c r="AW687" s="1">
        <v>35.0</v>
      </c>
      <c r="AX687" s="1" t="s">
        <v>74</v>
      </c>
      <c r="AY687" s="1" t="s">
        <v>74</v>
      </c>
      <c r="AZ687" s="1" t="s">
        <v>74</v>
      </c>
      <c r="BA687" s="1" t="s">
        <v>74</v>
      </c>
      <c r="BB687" s="1" t="s">
        <v>74</v>
      </c>
      <c r="BC687" s="1" t="s">
        <v>74</v>
      </c>
      <c r="BD687" s="1">
        <v>355002.0</v>
      </c>
      <c r="BE687" s="1" t="s">
        <v>6975</v>
      </c>
      <c r="BF687" s="2" t="str">
        <f>HYPERLINK("http://dx.doi.org/10.1088/1361-6528/ab9259","http://dx.doi.org/10.1088/1361-6528/ab9259")</f>
        <v>http://dx.doi.org/10.1088/1361-6528/ab9259</v>
      </c>
      <c r="BG687" s="1" t="s">
        <v>74</v>
      </c>
      <c r="BH687" s="1" t="s">
        <v>74</v>
      </c>
      <c r="BI687" s="1" t="s">
        <v>74</v>
      </c>
      <c r="BJ687" s="1" t="s">
        <v>74</v>
      </c>
      <c r="BK687" s="1" t="s">
        <v>74</v>
      </c>
      <c r="BL687" s="1" t="s">
        <v>74</v>
      </c>
      <c r="BM687" s="1" t="s">
        <v>74</v>
      </c>
      <c r="BN687" s="1">
        <v>3.2396875E7</v>
      </c>
      <c r="BO687" s="1" t="s">
        <v>74</v>
      </c>
      <c r="BP687" s="1" t="s">
        <v>74</v>
      </c>
      <c r="BQ687" s="1" t="s">
        <v>74</v>
      </c>
      <c r="BR687" s="1" t="s">
        <v>74</v>
      </c>
      <c r="BS687" s="1" t="s">
        <v>6976</v>
      </c>
      <c r="BT687" s="1" t="str">
        <f>HYPERLINK("https%3A%2F%2Fwww.webofscience.com%2Fwos%2Fwoscc%2Ffull-record%2FWOS:000543074800001","View Full Record in Web of Science")</f>
        <v>View Full Record in Web of Science</v>
      </c>
    </row>
    <row r="688" ht="12.75" customHeight="1">
      <c r="A688" s="1" t="s">
        <v>72</v>
      </c>
      <c r="B688" s="1" t="s">
        <v>6977</v>
      </c>
      <c r="C688" s="1" t="s">
        <v>74</v>
      </c>
      <c r="D688" s="1" t="s">
        <v>74</v>
      </c>
      <c r="E688" s="1" t="s">
        <v>74</v>
      </c>
      <c r="F688" s="1" t="s">
        <v>6978</v>
      </c>
      <c r="G688" s="1" t="s">
        <v>74</v>
      </c>
      <c r="H688" s="1" t="s">
        <v>74</v>
      </c>
      <c r="I688" s="1" t="s">
        <v>6979</v>
      </c>
      <c r="J688" s="1" t="s">
        <v>1991</v>
      </c>
      <c r="K688" s="1" t="s">
        <v>74</v>
      </c>
      <c r="L688" s="1" t="s">
        <v>74</v>
      </c>
      <c r="M688" s="1" t="s">
        <v>74</v>
      </c>
      <c r="N688" s="1" t="s">
        <v>74</v>
      </c>
      <c r="O688" s="1" t="s">
        <v>74</v>
      </c>
      <c r="P688" s="1" t="s">
        <v>74</v>
      </c>
      <c r="Q688" s="1" t="s">
        <v>74</v>
      </c>
      <c r="R688" s="1" t="s">
        <v>74</v>
      </c>
      <c r="S688" s="1" t="s">
        <v>74</v>
      </c>
      <c r="T688" s="1" t="s">
        <v>74</v>
      </c>
      <c r="U688" s="1" t="s">
        <v>74</v>
      </c>
      <c r="V688" s="1" t="s">
        <v>6980</v>
      </c>
      <c r="W688" s="1" t="s">
        <v>74</v>
      </c>
      <c r="X688" s="1" t="s">
        <v>74</v>
      </c>
      <c r="Y688" s="1" t="s">
        <v>74</v>
      </c>
      <c r="Z688" s="1" t="s">
        <v>74</v>
      </c>
      <c r="AA688" s="1" t="s">
        <v>6981</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74</v>
      </c>
      <c r="AP688" s="1" t="s">
        <v>1995</v>
      </c>
      <c r="AQ688" s="1" t="s">
        <v>74</v>
      </c>
      <c r="AR688" s="1" t="s">
        <v>74</v>
      </c>
      <c r="AS688" s="1" t="s">
        <v>74</v>
      </c>
      <c r="AT688" s="1" t="s">
        <v>6982</v>
      </c>
      <c r="AU688" s="1">
        <v>2019.0</v>
      </c>
      <c r="AV688" s="1">
        <v>6.0</v>
      </c>
      <c r="AW688" s="1" t="s">
        <v>74</v>
      </c>
      <c r="AX688" s="1" t="s">
        <v>74</v>
      </c>
      <c r="AY688" s="1" t="s">
        <v>74</v>
      </c>
      <c r="AZ688" s="1" t="s">
        <v>74</v>
      </c>
      <c r="BA688" s="1" t="s">
        <v>74</v>
      </c>
      <c r="BB688" s="1" t="s">
        <v>74</v>
      </c>
      <c r="BC688" s="1" t="s">
        <v>74</v>
      </c>
      <c r="BD688" s="1">
        <v>720.0</v>
      </c>
      <c r="BE688" s="1" t="s">
        <v>6983</v>
      </c>
      <c r="BF688" s="2" t="str">
        <f>HYPERLINK("http://dx.doi.org/10.3389/fmars.2019.00720","http://dx.doi.org/10.3389/fmars.2019.00720")</f>
        <v>http://dx.doi.org/10.3389/fmars.2019.00720</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6984</v>
      </c>
      <c r="BT688" s="1" t="str">
        <f>HYPERLINK("https%3A%2F%2Fwww.webofscience.com%2Fwos%2Fwoscc%2Ffull-record%2FWOS:000499798400001","View Full Record in Web of Science")</f>
        <v>View Full Record in Web of Science</v>
      </c>
    </row>
    <row r="689" ht="12.75" customHeight="1">
      <c r="A689" s="1" t="s">
        <v>72</v>
      </c>
      <c r="B689" s="1" t="s">
        <v>6985</v>
      </c>
      <c r="C689" s="1" t="s">
        <v>74</v>
      </c>
      <c r="D689" s="1" t="s">
        <v>74</v>
      </c>
      <c r="E689" s="1" t="s">
        <v>74</v>
      </c>
      <c r="F689" s="1" t="s">
        <v>6986</v>
      </c>
      <c r="G689" s="1" t="s">
        <v>74</v>
      </c>
      <c r="H689" s="1" t="s">
        <v>74</v>
      </c>
      <c r="I689" s="1" t="s">
        <v>6987</v>
      </c>
      <c r="J689" s="1" t="s">
        <v>6988</v>
      </c>
      <c r="K689" s="1" t="s">
        <v>74</v>
      </c>
      <c r="L689" s="1" t="s">
        <v>74</v>
      </c>
      <c r="M689" s="1" t="s">
        <v>74</v>
      </c>
      <c r="N689" s="1" t="s">
        <v>74</v>
      </c>
      <c r="O689" s="1" t="s">
        <v>74</v>
      </c>
      <c r="P689" s="1" t="s">
        <v>74</v>
      </c>
      <c r="Q689" s="1" t="s">
        <v>74</v>
      </c>
      <c r="R689" s="1" t="s">
        <v>74</v>
      </c>
      <c r="S689" s="1" t="s">
        <v>74</v>
      </c>
      <c r="T689" s="1" t="s">
        <v>74</v>
      </c>
      <c r="U689" s="1" t="s">
        <v>74</v>
      </c>
      <c r="V689" s="1" t="s">
        <v>6989</v>
      </c>
      <c r="W689" s="1" t="s">
        <v>74</v>
      </c>
      <c r="X689" s="1" t="s">
        <v>74</v>
      </c>
      <c r="Y689" s="1" t="s">
        <v>74</v>
      </c>
      <c r="Z689" s="1" t="s">
        <v>74</v>
      </c>
      <c r="AA689" s="1" t="s">
        <v>6990</v>
      </c>
      <c r="AB689" s="1" t="s">
        <v>6991</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6992</v>
      </c>
      <c r="AP689" s="1" t="s">
        <v>6993</v>
      </c>
      <c r="AQ689" s="1" t="s">
        <v>74</v>
      </c>
      <c r="AR689" s="1" t="s">
        <v>74</v>
      </c>
      <c r="AS689" s="1" t="s">
        <v>74</v>
      </c>
      <c r="AT689" s="1" t="s">
        <v>6994</v>
      </c>
      <c r="AU689" s="1">
        <v>2019.0</v>
      </c>
      <c r="AV689" s="1">
        <v>630.0</v>
      </c>
      <c r="AW689" s="1" t="s">
        <v>74</v>
      </c>
      <c r="AX689" s="1" t="s">
        <v>74</v>
      </c>
      <c r="AY689" s="1" t="s">
        <v>74</v>
      </c>
      <c r="AZ689" s="1" t="s">
        <v>74</v>
      </c>
      <c r="BA689" s="1" t="s">
        <v>74</v>
      </c>
      <c r="BB689" s="1" t="s">
        <v>74</v>
      </c>
      <c r="BC689" s="1" t="s">
        <v>74</v>
      </c>
      <c r="BD689" s="1" t="s">
        <v>6995</v>
      </c>
      <c r="BE689" s="1" t="s">
        <v>6996</v>
      </c>
      <c r="BF689" s="2" t="str">
        <f>HYPERLINK("http://dx.doi.org/10.1051/0004-6361/201935939","http://dx.doi.org/10.1051/0004-6361/201935939")</f>
        <v>http://dx.doi.org/10.1051/0004-6361/201935939</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6997</v>
      </c>
      <c r="BT689" s="1" t="str">
        <f>HYPERLINK("https%3A%2F%2Fwww.webofscience.com%2Fwos%2Fwoscc%2Ffull-record%2FWOS:000516616300004","View Full Record in Web of Science")</f>
        <v>View Full Record in Web of Science</v>
      </c>
    </row>
    <row r="690" ht="12.75" customHeight="1">
      <c r="A690" s="1" t="s">
        <v>72</v>
      </c>
      <c r="B690" s="1" t="s">
        <v>6998</v>
      </c>
      <c r="C690" s="1" t="s">
        <v>74</v>
      </c>
      <c r="D690" s="1" t="s">
        <v>74</v>
      </c>
      <c r="E690" s="1" t="s">
        <v>74</v>
      </c>
      <c r="F690" s="1" t="s">
        <v>6999</v>
      </c>
      <c r="G690" s="1" t="s">
        <v>74</v>
      </c>
      <c r="H690" s="1" t="s">
        <v>74</v>
      </c>
      <c r="I690" s="1" t="s">
        <v>7000</v>
      </c>
      <c r="J690" s="1" t="s">
        <v>472</v>
      </c>
      <c r="K690" s="1" t="s">
        <v>74</v>
      </c>
      <c r="L690" s="1" t="s">
        <v>74</v>
      </c>
      <c r="M690" s="1" t="s">
        <v>74</v>
      </c>
      <c r="N690" s="1" t="s">
        <v>74</v>
      </c>
      <c r="O690" s="1" t="s">
        <v>74</v>
      </c>
      <c r="P690" s="1" t="s">
        <v>74</v>
      </c>
      <c r="Q690" s="1" t="s">
        <v>74</v>
      </c>
      <c r="R690" s="1" t="s">
        <v>74</v>
      </c>
      <c r="S690" s="1" t="s">
        <v>74</v>
      </c>
      <c r="T690" s="1" t="s">
        <v>74</v>
      </c>
      <c r="U690" s="1" t="s">
        <v>74</v>
      </c>
      <c r="V690" s="1" t="s">
        <v>7001</v>
      </c>
      <c r="W690" s="1" t="s">
        <v>74</v>
      </c>
      <c r="X690" s="1" t="s">
        <v>74</v>
      </c>
      <c r="Y690" s="1" t="s">
        <v>74</v>
      </c>
      <c r="Z690" s="1" t="s">
        <v>74</v>
      </c>
      <c r="AA690" s="1" t="s">
        <v>7002</v>
      </c>
      <c r="AB690" s="1" t="s">
        <v>7003</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476</v>
      </c>
      <c r="AP690" s="1" t="s">
        <v>477</v>
      </c>
      <c r="AQ690" s="1" t="s">
        <v>74</v>
      </c>
      <c r="AR690" s="1" t="s">
        <v>74</v>
      </c>
      <c r="AS690" s="1" t="s">
        <v>74</v>
      </c>
      <c r="AT690" s="1" t="s">
        <v>7004</v>
      </c>
      <c r="AU690" s="1">
        <v>2019.0</v>
      </c>
      <c r="AV690" s="1">
        <v>100.0</v>
      </c>
      <c r="AW690" s="1">
        <v>2.0</v>
      </c>
      <c r="AX690" s="1" t="s">
        <v>74</v>
      </c>
      <c r="AY690" s="1" t="s">
        <v>74</v>
      </c>
      <c r="AZ690" s="1" t="s">
        <v>74</v>
      </c>
      <c r="BA690" s="1" t="s">
        <v>74</v>
      </c>
      <c r="BB690" s="1" t="s">
        <v>74</v>
      </c>
      <c r="BC690" s="1" t="s">
        <v>74</v>
      </c>
      <c r="BD690" s="1">
        <v>23002.0</v>
      </c>
      <c r="BE690" s="1" t="s">
        <v>7005</v>
      </c>
      <c r="BF690" s="2" t="str">
        <f>HYPERLINK("http://dx.doi.org/10.1103/PhysRevE.100.023002","http://dx.doi.org/10.1103/PhysRevE.100.023002")</f>
        <v>http://dx.doi.org/10.1103/PhysRevE.100.023002</v>
      </c>
      <c r="BG690" s="1" t="s">
        <v>74</v>
      </c>
      <c r="BH690" s="1" t="s">
        <v>74</v>
      </c>
      <c r="BI690" s="1" t="s">
        <v>74</v>
      </c>
      <c r="BJ690" s="1" t="s">
        <v>74</v>
      </c>
      <c r="BK690" s="1" t="s">
        <v>74</v>
      </c>
      <c r="BL690" s="1" t="s">
        <v>74</v>
      </c>
      <c r="BM690" s="1" t="s">
        <v>74</v>
      </c>
      <c r="BN690" s="1">
        <v>3.1574657E7</v>
      </c>
      <c r="BO690" s="1" t="s">
        <v>74</v>
      </c>
      <c r="BP690" s="1" t="s">
        <v>74</v>
      </c>
      <c r="BQ690" s="1" t="s">
        <v>74</v>
      </c>
      <c r="BR690" s="1" t="s">
        <v>74</v>
      </c>
      <c r="BS690" s="1" t="s">
        <v>7006</v>
      </c>
      <c r="BT690" s="1" t="str">
        <f>HYPERLINK("https%3A%2F%2Fwww.webofscience.com%2Fwos%2Fwoscc%2Ffull-record%2FWOS:000479192700003","View Full Record in Web of Science")</f>
        <v>View Full Record in Web of Science</v>
      </c>
    </row>
    <row r="691" ht="12.75" customHeight="1">
      <c r="A691" s="1" t="s">
        <v>72</v>
      </c>
      <c r="B691" s="1" t="s">
        <v>7007</v>
      </c>
      <c r="C691" s="1" t="s">
        <v>74</v>
      </c>
      <c r="D691" s="1" t="s">
        <v>74</v>
      </c>
      <c r="E691" s="1" t="s">
        <v>74</v>
      </c>
      <c r="F691" s="1" t="s">
        <v>7008</v>
      </c>
      <c r="G691" s="1" t="s">
        <v>74</v>
      </c>
      <c r="H691" s="1" t="s">
        <v>74</v>
      </c>
      <c r="I691" s="1" t="s">
        <v>7009</v>
      </c>
      <c r="J691" s="1" t="s">
        <v>1610</v>
      </c>
      <c r="K691" s="1" t="s">
        <v>74</v>
      </c>
      <c r="L691" s="1" t="s">
        <v>74</v>
      </c>
      <c r="M691" s="1" t="s">
        <v>74</v>
      </c>
      <c r="N691" s="1" t="s">
        <v>74</v>
      </c>
      <c r="O691" s="1" t="s">
        <v>7010</v>
      </c>
      <c r="P691" s="1" t="s">
        <v>7011</v>
      </c>
      <c r="Q691" s="1" t="s">
        <v>7012</v>
      </c>
      <c r="R691" s="1" t="s">
        <v>7013</v>
      </c>
      <c r="S691" s="1" t="s">
        <v>74</v>
      </c>
      <c r="T691" s="1" t="s">
        <v>74</v>
      </c>
      <c r="U691" s="1" t="s">
        <v>74</v>
      </c>
      <c r="V691" s="1" t="s">
        <v>7014</v>
      </c>
      <c r="W691" s="1" t="s">
        <v>74</v>
      </c>
      <c r="X691" s="1" t="s">
        <v>74</v>
      </c>
      <c r="Y691" s="1" t="s">
        <v>74</v>
      </c>
      <c r="Z691" s="1" t="s">
        <v>74</v>
      </c>
      <c r="AA691" s="1" t="s">
        <v>7015</v>
      </c>
      <c r="AB691" s="1" t="s">
        <v>1613</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1614</v>
      </c>
      <c r="AP691" s="1" t="s">
        <v>1615</v>
      </c>
      <c r="AQ691" s="1" t="s">
        <v>74</v>
      </c>
      <c r="AR691" s="1" t="s">
        <v>74</v>
      </c>
      <c r="AS691" s="1" t="s">
        <v>74</v>
      </c>
      <c r="AT691" s="1" t="s">
        <v>151</v>
      </c>
      <c r="AU691" s="1">
        <v>2018.0</v>
      </c>
      <c r="AV691" s="1">
        <v>177.0</v>
      </c>
      <c r="AW691" s="1" t="s">
        <v>74</v>
      </c>
      <c r="AX691" s="1" t="s">
        <v>74</v>
      </c>
      <c r="AY691" s="1" t="s">
        <v>74</v>
      </c>
      <c r="AZ691" s="1" t="s">
        <v>1350</v>
      </c>
      <c r="BA691" s="1" t="s">
        <v>74</v>
      </c>
      <c r="BB691" s="1">
        <v>141.0</v>
      </c>
      <c r="BC691" s="1">
        <v>147.0</v>
      </c>
      <c r="BD691" s="1" t="s">
        <v>74</v>
      </c>
      <c r="BE691" s="1" t="s">
        <v>7016</v>
      </c>
      <c r="BF691" s="2" t="str">
        <f>HYPERLINK("http://dx.doi.org/10.1016/j.jastp.2017.08.024","http://dx.doi.org/10.1016/j.jastp.2017.08.024")</f>
        <v>http://dx.doi.org/10.1016/j.jastp.2017.08.024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7017</v>
      </c>
      <c r="BT691" s="1" t="str">
        <f>HYPERLINK("https%3A%2F%2Fwww.webofscience.com%2Fwos%2Fwoscc%2Ffull-record%2FWOS:000447110300016","View Full Record in Web of Science")</f>
        <v>View Full Record in Web of Science</v>
      </c>
    </row>
    <row r="692" ht="12.75" customHeight="1">
      <c r="A692" s="1" t="s">
        <v>72</v>
      </c>
      <c r="B692" s="1" t="s">
        <v>7018</v>
      </c>
      <c r="C692" s="1" t="s">
        <v>74</v>
      </c>
      <c r="D692" s="1" t="s">
        <v>74</v>
      </c>
      <c r="E692" s="1" t="s">
        <v>74</v>
      </c>
      <c r="F692" s="1" t="s">
        <v>7019</v>
      </c>
      <c r="G692" s="1" t="s">
        <v>74</v>
      </c>
      <c r="H692" s="1" t="s">
        <v>74</v>
      </c>
      <c r="I692" s="1" t="s">
        <v>7020</v>
      </c>
      <c r="J692" s="1" t="s">
        <v>7021</v>
      </c>
      <c r="K692" s="1" t="s">
        <v>74</v>
      </c>
      <c r="L692" s="1" t="s">
        <v>74</v>
      </c>
      <c r="M692" s="1" t="s">
        <v>74</v>
      </c>
      <c r="N692" s="1" t="s">
        <v>74</v>
      </c>
      <c r="O692" s="1" t="s">
        <v>74</v>
      </c>
      <c r="P692" s="1" t="s">
        <v>74</v>
      </c>
      <c r="Q692" s="1" t="s">
        <v>74</v>
      </c>
      <c r="R692" s="1" t="s">
        <v>74</v>
      </c>
      <c r="S692" s="1" t="s">
        <v>74</v>
      </c>
      <c r="T692" s="1" t="s">
        <v>74</v>
      </c>
      <c r="U692" s="1" t="s">
        <v>74</v>
      </c>
      <c r="V692" s="1" t="s">
        <v>7022</v>
      </c>
      <c r="W692" s="1" t="s">
        <v>74</v>
      </c>
      <c r="X692" s="1" t="s">
        <v>74</v>
      </c>
      <c r="Y692" s="1" t="s">
        <v>74</v>
      </c>
      <c r="Z692" s="1" t="s">
        <v>74</v>
      </c>
      <c r="AA692" s="1" t="s">
        <v>7023</v>
      </c>
      <c r="AB692" s="1" t="s">
        <v>7024</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7025</v>
      </c>
      <c r="AP692" s="1" t="s">
        <v>7026</v>
      </c>
      <c r="AQ692" s="1" t="s">
        <v>74</v>
      </c>
      <c r="AR692" s="1" t="s">
        <v>74</v>
      </c>
      <c r="AS692" s="1" t="s">
        <v>74</v>
      </c>
      <c r="AT692" s="1" t="s">
        <v>1349</v>
      </c>
      <c r="AU692" s="1">
        <v>2018.0</v>
      </c>
      <c r="AV692" s="1">
        <v>864.0</v>
      </c>
      <c r="AW692" s="1">
        <v>2.0</v>
      </c>
      <c r="AX692" s="1" t="s">
        <v>74</v>
      </c>
      <c r="AY692" s="1" t="s">
        <v>74</v>
      </c>
      <c r="AZ692" s="1" t="s">
        <v>74</v>
      </c>
      <c r="BA692" s="1" t="s">
        <v>74</v>
      </c>
      <c r="BB692" s="1" t="s">
        <v>74</v>
      </c>
      <c r="BC692" s="1" t="s">
        <v>74</v>
      </c>
      <c r="BD692" s="1">
        <v>137.0</v>
      </c>
      <c r="BE692" s="1" t="s">
        <v>7027</v>
      </c>
      <c r="BF692" s="2" t="str">
        <f>HYPERLINK("http://dx.doi.org/10.3847/1538-4357/aad6eb","http://dx.doi.org/10.3847/1538-4357/aad6eb")</f>
        <v>http://dx.doi.org/10.3847/1538-4357/aad6eb</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7028</v>
      </c>
      <c r="BT692" s="1" t="str">
        <f>HYPERLINK("https%3A%2F%2Fwww.webofscience.com%2Fwos%2Fwoscc%2Ffull-record%2FWOS:000444341700008","View Full Record in Web of Science")</f>
        <v>View Full Record in Web of Science</v>
      </c>
    </row>
    <row r="693" ht="12.75" customHeight="1">
      <c r="A693" s="1" t="s">
        <v>72</v>
      </c>
      <c r="B693" s="1" t="s">
        <v>7029</v>
      </c>
      <c r="C693" s="1" t="s">
        <v>74</v>
      </c>
      <c r="D693" s="1" t="s">
        <v>74</v>
      </c>
      <c r="E693" s="1" t="s">
        <v>74</v>
      </c>
      <c r="F693" s="1" t="s">
        <v>7030</v>
      </c>
      <c r="G693" s="1" t="s">
        <v>74</v>
      </c>
      <c r="H693" s="1" t="s">
        <v>74</v>
      </c>
      <c r="I693" s="1" t="s">
        <v>7031</v>
      </c>
      <c r="J693" s="1" t="s">
        <v>5123</v>
      </c>
      <c r="K693" s="1" t="s">
        <v>74</v>
      </c>
      <c r="L693" s="1" t="s">
        <v>74</v>
      </c>
      <c r="M693" s="1" t="s">
        <v>74</v>
      </c>
      <c r="N693" s="1" t="s">
        <v>74</v>
      </c>
      <c r="O693" s="1" t="s">
        <v>74</v>
      </c>
      <c r="P693" s="1" t="s">
        <v>74</v>
      </c>
      <c r="Q693" s="1" t="s">
        <v>74</v>
      </c>
      <c r="R693" s="1" t="s">
        <v>74</v>
      </c>
      <c r="S693" s="1" t="s">
        <v>74</v>
      </c>
      <c r="T693" s="1" t="s">
        <v>74</v>
      </c>
      <c r="U693" s="1" t="s">
        <v>74</v>
      </c>
      <c r="V693" s="1" t="s">
        <v>7032</v>
      </c>
      <c r="W693" s="1" t="s">
        <v>74</v>
      </c>
      <c r="X693" s="1" t="s">
        <v>74</v>
      </c>
      <c r="Y693" s="1" t="s">
        <v>74</v>
      </c>
      <c r="Z693" s="1" t="s">
        <v>74</v>
      </c>
      <c r="AA693" s="1" t="s">
        <v>7033</v>
      </c>
      <c r="AB693" s="1" t="s">
        <v>7034</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5127</v>
      </c>
      <c r="AP693" s="1" t="s">
        <v>5128</v>
      </c>
      <c r="AQ693" s="1" t="s">
        <v>74</v>
      </c>
      <c r="AR693" s="1" t="s">
        <v>74</v>
      </c>
      <c r="AS693" s="1" t="s">
        <v>74</v>
      </c>
      <c r="AT693" s="1" t="s">
        <v>308</v>
      </c>
      <c r="AU693" s="1">
        <v>2017.0</v>
      </c>
      <c r="AV693" s="1">
        <v>466.0</v>
      </c>
      <c r="AW693" s="1">
        <v>1.0</v>
      </c>
      <c r="AX693" s="1" t="s">
        <v>74</v>
      </c>
      <c r="AY693" s="1" t="s">
        <v>74</v>
      </c>
      <c r="AZ693" s="1" t="s">
        <v>74</v>
      </c>
      <c r="BA693" s="1" t="s">
        <v>74</v>
      </c>
      <c r="BB693" s="1">
        <v>147.0</v>
      </c>
      <c r="BC693" s="1">
        <v>162.0</v>
      </c>
      <c r="BD693" s="1" t="s">
        <v>74</v>
      </c>
      <c r="BE693" s="1" t="s">
        <v>7035</v>
      </c>
      <c r="BF693" s="2" t="str">
        <f>HYPERLINK("http://dx.doi.org/10.1093/mnras/stw3081","http://dx.doi.org/10.1093/mnras/stw3081")</f>
        <v>http://dx.doi.org/10.1093/mnras/stw3081</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7036</v>
      </c>
      <c r="BT693" s="1" t="str">
        <f>HYPERLINK("https%3A%2F%2Fwww.webofscience.com%2Fwos%2Fwoscc%2Ffull-record%2FWOS:000398112400011","View Full Record in Web of Science")</f>
        <v>View Full Record in Web of Science</v>
      </c>
    </row>
    <row r="694" ht="12.75" customHeight="1">
      <c r="A694" s="1" t="s">
        <v>72</v>
      </c>
      <c r="B694" s="1" t="s">
        <v>7037</v>
      </c>
      <c r="C694" s="1" t="s">
        <v>74</v>
      </c>
      <c r="D694" s="1" t="s">
        <v>74</v>
      </c>
      <c r="E694" s="1" t="s">
        <v>74</v>
      </c>
      <c r="F694" s="1" t="s">
        <v>7038</v>
      </c>
      <c r="G694" s="1" t="s">
        <v>74</v>
      </c>
      <c r="H694" s="1" t="s">
        <v>74</v>
      </c>
      <c r="I694" s="1" t="s">
        <v>7039</v>
      </c>
      <c r="J694" s="1" t="s">
        <v>4819</v>
      </c>
      <c r="K694" s="1" t="s">
        <v>74</v>
      </c>
      <c r="L694" s="1" t="s">
        <v>74</v>
      </c>
      <c r="M694" s="1" t="s">
        <v>74</v>
      </c>
      <c r="N694" s="1" t="s">
        <v>74</v>
      </c>
      <c r="O694" s="1" t="s">
        <v>74</v>
      </c>
      <c r="P694" s="1" t="s">
        <v>74</v>
      </c>
      <c r="Q694" s="1" t="s">
        <v>74</v>
      </c>
      <c r="R694" s="1" t="s">
        <v>74</v>
      </c>
      <c r="S694" s="1" t="s">
        <v>74</v>
      </c>
      <c r="T694" s="1" t="s">
        <v>74</v>
      </c>
      <c r="U694" s="1" t="s">
        <v>74</v>
      </c>
      <c r="V694" s="1" t="s">
        <v>7040</v>
      </c>
      <c r="W694" s="1" t="s">
        <v>74</v>
      </c>
      <c r="X694" s="1" t="s">
        <v>74</v>
      </c>
      <c r="Y694" s="1" t="s">
        <v>74</v>
      </c>
      <c r="Z694" s="1" t="s">
        <v>74</v>
      </c>
      <c r="AA694" s="1" t="s">
        <v>7041</v>
      </c>
      <c r="AB694" s="1" t="s">
        <v>7042</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4823</v>
      </c>
      <c r="AP694" s="1" t="s">
        <v>5005</v>
      </c>
      <c r="AQ694" s="1" t="s">
        <v>74</v>
      </c>
      <c r="AR694" s="1" t="s">
        <v>74</v>
      </c>
      <c r="AS694" s="1" t="s">
        <v>74</v>
      </c>
      <c r="AT694" s="1" t="s">
        <v>308</v>
      </c>
      <c r="AU694" s="1">
        <v>2016.0</v>
      </c>
      <c r="AV694" s="1">
        <v>20.0</v>
      </c>
      <c r="AW694" s="1">
        <v>4.0</v>
      </c>
      <c r="AX694" s="1" t="s">
        <v>74</v>
      </c>
      <c r="AY694" s="1" t="s">
        <v>74</v>
      </c>
      <c r="AZ694" s="1" t="s">
        <v>1350</v>
      </c>
      <c r="BA694" s="1" t="s">
        <v>74</v>
      </c>
      <c r="BB694" s="1">
        <v>1223.0</v>
      </c>
      <c r="BC694" s="1">
        <v>1227.0</v>
      </c>
      <c r="BD694" s="1" t="s">
        <v>74</v>
      </c>
      <c r="BE694" s="1" t="s">
        <v>7043</v>
      </c>
      <c r="BF694" s="2" t="str">
        <f>HYPERLINK("http://dx.doi.org/10.1007/s10008-015-2956-y","http://dx.doi.org/10.1007/s10008-015-2956-y")</f>
        <v>http://dx.doi.org/10.1007/s10008-015-2956-y</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7044</v>
      </c>
      <c r="BT694" s="1" t="str">
        <f>HYPERLINK("https%3A%2F%2Fwww.webofscience.com%2Fwos%2Fwoscc%2Ffull-record%2FWOS:000374841300041","View Full Record in Web of Science")</f>
        <v>View Full Record in Web of Science</v>
      </c>
    </row>
    <row r="695" ht="12.75" customHeight="1">
      <c r="A695" s="1" t="s">
        <v>72</v>
      </c>
      <c r="B695" s="1" t="s">
        <v>7045</v>
      </c>
      <c r="C695" s="1" t="s">
        <v>74</v>
      </c>
      <c r="D695" s="1" t="s">
        <v>74</v>
      </c>
      <c r="E695" s="1" t="s">
        <v>74</v>
      </c>
      <c r="F695" s="1" t="s">
        <v>7046</v>
      </c>
      <c r="G695" s="1" t="s">
        <v>74</v>
      </c>
      <c r="H695" s="1" t="s">
        <v>74</v>
      </c>
      <c r="I695" s="1" t="s">
        <v>7047</v>
      </c>
      <c r="J695" s="1" t="s">
        <v>182</v>
      </c>
      <c r="K695" s="1" t="s">
        <v>74</v>
      </c>
      <c r="L695" s="1" t="s">
        <v>74</v>
      </c>
      <c r="M695" s="1" t="s">
        <v>74</v>
      </c>
      <c r="N695" s="1" t="s">
        <v>74</v>
      </c>
      <c r="O695" s="1" t="s">
        <v>74</v>
      </c>
      <c r="P695" s="1" t="s">
        <v>74</v>
      </c>
      <c r="Q695" s="1" t="s">
        <v>74</v>
      </c>
      <c r="R695" s="1" t="s">
        <v>74</v>
      </c>
      <c r="S695" s="1" t="s">
        <v>74</v>
      </c>
      <c r="T695" s="1" t="s">
        <v>74</v>
      </c>
      <c r="U695" s="1" t="s">
        <v>74</v>
      </c>
      <c r="V695" s="1" t="s">
        <v>7048</v>
      </c>
      <c r="W695" s="1" t="s">
        <v>74</v>
      </c>
      <c r="X695" s="1" t="s">
        <v>74</v>
      </c>
      <c r="Y695" s="1" t="s">
        <v>74</v>
      </c>
      <c r="Z695" s="1" t="s">
        <v>74</v>
      </c>
      <c r="AA695" s="1" t="s">
        <v>7049</v>
      </c>
      <c r="AB695" s="1" t="s">
        <v>7050</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186</v>
      </c>
      <c r="AP695" s="1" t="s">
        <v>74</v>
      </c>
      <c r="AQ695" s="1" t="s">
        <v>74</v>
      </c>
      <c r="AR695" s="1" t="s">
        <v>74</v>
      </c>
      <c r="AS695" s="1" t="s">
        <v>74</v>
      </c>
      <c r="AT695" s="1" t="s">
        <v>1689</v>
      </c>
      <c r="AU695" s="1">
        <v>2014.0</v>
      </c>
      <c r="AV695" s="1">
        <v>9.0</v>
      </c>
      <c r="AW695" s="1">
        <v>3.0</v>
      </c>
      <c r="AX695" s="1" t="s">
        <v>74</v>
      </c>
      <c r="AY695" s="1" t="s">
        <v>74</v>
      </c>
      <c r="AZ695" s="1" t="s">
        <v>74</v>
      </c>
      <c r="BA695" s="1" t="s">
        <v>74</v>
      </c>
      <c r="BB695" s="1" t="s">
        <v>74</v>
      </c>
      <c r="BC695" s="1" t="s">
        <v>74</v>
      </c>
      <c r="BD695" s="1" t="s">
        <v>7051</v>
      </c>
      <c r="BE695" s="1" t="s">
        <v>7052</v>
      </c>
      <c r="BF695" s="2" t="str">
        <f>HYPERLINK("http://dx.doi.org/10.1371/journal.pone.0090705","http://dx.doi.org/10.1371/journal.pone.0090705")</f>
        <v>http://dx.doi.org/10.1371/journal.pone.0090705</v>
      </c>
      <c r="BG695" s="1" t="s">
        <v>74</v>
      </c>
      <c r="BH695" s="1" t="s">
        <v>74</v>
      </c>
      <c r="BI695" s="1" t="s">
        <v>74</v>
      </c>
      <c r="BJ695" s="1" t="s">
        <v>74</v>
      </c>
      <c r="BK695" s="1" t="s">
        <v>74</v>
      </c>
      <c r="BL695" s="1" t="s">
        <v>74</v>
      </c>
      <c r="BM695" s="1" t="s">
        <v>74</v>
      </c>
      <c r="BN695" s="1">
        <v>2.4598906E7</v>
      </c>
      <c r="BO695" s="1" t="s">
        <v>74</v>
      </c>
      <c r="BP695" s="1" t="s">
        <v>74</v>
      </c>
      <c r="BQ695" s="1" t="s">
        <v>74</v>
      </c>
      <c r="BR695" s="1" t="s">
        <v>74</v>
      </c>
      <c r="BS695" s="1" t="s">
        <v>7053</v>
      </c>
      <c r="BT695" s="1" t="str">
        <f>HYPERLINK("https%3A%2F%2Fwww.webofscience.com%2Fwos%2Fwoscc%2Ffull-record%2FWOS:000332479400122","View Full Record in Web of Science")</f>
        <v>View Full Record in Web of Science</v>
      </c>
    </row>
    <row r="696" ht="12.75" customHeight="1">
      <c r="A696" s="1" t="s">
        <v>72</v>
      </c>
      <c r="B696" s="1" t="s">
        <v>7054</v>
      </c>
      <c r="C696" s="1" t="s">
        <v>74</v>
      </c>
      <c r="D696" s="1" t="s">
        <v>74</v>
      </c>
      <c r="E696" s="1" t="s">
        <v>74</v>
      </c>
      <c r="F696" s="1" t="s">
        <v>7055</v>
      </c>
      <c r="G696" s="1" t="s">
        <v>74</v>
      </c>
      <c r="H696" s="1" t="s">
        <v>74</v>
      </c>
      <c r="I696" s="1" t="s">
        <v>7056</v>
      </c>
      <c r="J696" s="1" t="s">
        <v>7057</v>
      </c>
      <c r="K696" s="1" t="s">
        <v>74</v>
      </c>
      <c r="L696" s="1" t="s">
        <v>74</v>
      </c>
      <c r="M696" s="1" t="s">
        <v>74</v>
      </c>
      <c r="N696" s="1" t="s">
        <v>74</v>
      </c>
      <c r="O696" s="1" t="s">
        <v>74</v>
      </c>
      <c r="P696" s="1" t="s">
        <v>74</v>
      </c>
      <c r="Q696" s="1" t="s">
        <v>74</v>
      </c>
      <c r="R696" s="1" t="s">
        <v>74</v>
      </c>
      <c r="S696" s="1" t="s">
        <v>74</v>
      </c>
      <c r="T696" s="1" t="s">
        <v>74</v>
      </c>
      <c r="U696" s="1" t="s">
        <v>74</v>
      </c>
      <c r="V696" s="1" t="s">
        <v>7058</v>
      </c>
      <c r="W696" s="1" t="s">
        <v>74</v>
      </c>
      <c r="X696" s="1" t="s">
        <v>74</v>
      </c>
      <c r="Y696" s="1" t="s">
        <v>74</v>
      </c>
      <c r="Z696" s="1" t="s">
        <v>74</v>
      </c>
      <c r="AA696" s="1" t="s">
        <v>7059</v>
      </c>
      <c r="AB696" s="1" t="s">
        <v>7060</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7061</v>
      </c>
      <c r="AP696" s="1" t="s">
        <v>7062</v>
      </c>
      <c r="AQ696" s="1" t="s">
        <v>74</v>
      </c>
      <c r="AR696" s="1" t="s">
        <v>74</v>
      </c>
      <c r="AS696" s="1" t="s">
        <v>74</v>
      </c>
      <c r="AT696" s="1" t="s">
        <v>308</v>
      </c>
      <c r="AU696" s="1">
        <v>2013.0</v>
      </c>
      <c r="AV696" s="1">
        <v>36.0</v>
      </c>
      <c r="AW696" s="1">
        <v>2.0</v>
      </c>
      <c r="AX696" s="1" t="s">
        <v>74</v>
      </c>
      <c r="AY696" s="1" t="s">
        <v>74</v>
      </c>
      <c r="AZ696" s="1" t="s">
        <v>74</v>
      </c>
      <c r="BA696" s="1" t="s">
        <v>74</v>
      </c>
      <c r="BB696" s="1">
        <v>202.0</v>
      </c>
      <c r="BC696" s="1">
        <v>210.0</v>
      </c>
      <c r="BD696" s="1" t="s">
        <v>74</v>
      </c>
      <c r="BE696" s="1" t="s">
        <v>7063</v>
      </c>
      <c r="BF696" s="2" t="str">
        <f>HYPERLINK("http://dx.doi.org/10.1111/j.1745-4530.2012.00673.x","http://dx.doi.org/10.1111/j.1745-4530.2012.00673.x")</f>
        <v>http://dx.doi.org/10.1111/j.1745-4530.2012.00673.x</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7064</v>
      </c>
      <c r="BT696" s="1" t="str">
        <f>HYPERLINK("https%3A%2F%2Fwww.webofscience.com%2Fwos%2Fwoscc%2Ffull-record%2FWOS:000316811500007","View Full Record in Web of Science")</f>
        <v>View Full Record in Web of Science</v>
      </c>
    </row>
    <row r="697" ht="12.75" customHeight="1">
      <c r="A697" s="1" t="s">
        <v>72</v>
      </c>
      <c r="B697" s="1" t="s">
        <v>7065</v>
      </c>
      <c r="C697" s="1" t="s">
        <v>74</v>
      </c>
      <c r="D697" s="1" t="s">
        <v>74</v>
      </c>
      <c r="E697" s="1" t="s">
        <v>74</v>
      </c>
      <c r="F697" s="1" t="s">
        <v>7066</v>
      </c>
      <c r="G697" s="1" t="s">
        <v>74</v>
      </c>
      <c r="H697" s="1" t="s">
        <v>4898</v>
      </c>
      <c r="I697" s="1" t="s">
        <v>7067</v>
      </c>
      <c r="J697" s="1" t="s">
        <v>7068</v>
      </c>
      <c r="K697" s="1" t="s">
        <v>74</v>
      </c>
      <c r="L697" s="1" t="s">
        <v>74</v>
      </c>
      <c r="M697" s="1" t="s">
        <v>74</v>
      </c>
      <c r="N697" s="1" t="s">
        <v>74</v>
      </c>
      <c r="O697" s="1" t="s">
        <v>74</v>
      </c>
      <c r="P697" s="1" t="s">
        <v>74</v>
      </c>
      <c r="Q697" s="1" t="s">
        <v>74</v>
      </c>
      <c r="R697" s="1" t="s">
        <v>74</v>
      </c>
      <c r="S697" s="1" t="s">
        <v>74</v>
      </c>
      <c r="T697" s="1" t="s">
        <v>74</v>
      </c>
      <c r="U697" s="1" t="s">
        <v>74</v>
      </c>
      <c r="V697" s="1" t="s">
        <v>7069</v>
      </c>
      <c r="W697" s="1" t="s">
        <v>74</v>
      </c>
      <c r="X697" s="1" t="s">
        <v>74</v>
      </c>
      <c r="Y697" s="1" t="s">
        <v>74</v>
      </c>
      <c r="Z697" s="1" t="s">
        <v>74</v>
      </c>
      <c r="AA697" s="1" t="s">
        <v>7070</v>
      </c>
      <c r="AB697" s="1" t="s">
        <v>7071</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7072</v>
      </c>
      <c r="AP697" s="1" t="s">
        <v>7073</v>
      </c>
      <c r="AQ697" s="1" t="s">
        <v>74</v>
      </c>
      <c r="AR697" s="1" t="s">
        <v>74</v>
      </c>
      <c r="AS697" s="1" t="s">
        <v>74</v>
      </c>
      <c r="AT697" s="1" t="s">
        <v>1082</v>
      </c>
      <c r="AU697" s="1">
        <v>2010.0</v>
      </c>
      <c r="AV697" s="1">
        <v>65.0</v>
      </c>
      <c r="AW697" s="1">
        <v>11.0</v>
      </c>
      <c r="AX697" s="1" t="s">
        <v>74</v>
      </c>
      <c r="AY697" s="1" t="s">
        <v>74</v>
      </c>
      <c r="AZ697" s="1" t="s">
        <v>74</v>
      </c>
      <c r="BA697" s="1" t="s">
        <v>74</v>
      </c>
      <c r="BB697" s="1">
        <v>1004.0</v>
      </c>
      <c r="BC697" s="1">
        <v>1009.0</v>
      </c>
      <c r="BD697" s="1" t="s">
        <v>74</v>
      </c>
      <c r="BE697" s="1" t="s">
        <v>7074</v>
      </c>
      <c r="BF697" s="2" t="str">
        <f>HYPERLINK("http://dx.doi.org/10.1136/thx.2009.115188","http://dx.doi.org/10.1136/thx.2009.115188")</f>
        <v>http://dx.doi.org/10.1136/thx.2009.115188</v>
      </c>
      <c r="BG697" s="1" t="s">
        <v>74</v>
      </c>
      <c r="BH697" s="1" t="s">
        <v>74</v>
      </c>
      <c r="BI697" s="1" t="s">
        <v>74</v>
      </c>
      <c r="BJ697" s="1" t="s">
        <v>74</v>
      </c>
      <c r="BK697" s="1" t="s">
        <v>74</v>
      </c>
      <c r="BL697" s="1" t="s">
        <v>74</v>
      </c>
      <c r="BM697" s="1" t="s">
        <v>74</v>
      </c>
      <c r="BN697" s="1">
        <v>2.085544E7</v>
      </c>
      <c r="BO697" s="1" t="s">
        <v>74</v>
      </c>
      <c r="BP697" s="1" t="s">
        <v>74</v>
      </c>
      <c r="BQ697" s="1" t="s">
        <v>74</v>
      </c>
      <c r="BR697" s="1" t="s">
        <v>74</v>
      </c>
      <c r="BS697" s="1" t="s">
        <v>7075</v>
      </c>
      <c r="BT697" s="1" t="str">
        <f>HYPERLINK("https%3A%2F%2Fwww.webofscience.com%2Fwos%2Fwoscc%2Ffull-record%2FWOS:000283258800013","View Full Record in Web of Science")</f>
        <v>View Full Record in Web of Science</v>
      </c>
    </row>
    <row r="698" ht="12.75" customHeight="1">
      <c r="A698" s="1" t="s">
        <v>72</v>
      </c>
      <c r="B698" s="1" t="s">
        <v>7076</v>
      </c>
      <c r="C698" s="1" t="s">
        <v>74</v>
      </c>
      <c r="D698" s="1" t="s">
        <v>74</v>
      </c>
      <c r="E698" s="1" t="s">
        <v>74</v>
      </c>
      <c r="F698" s="1" t="s">
        <v>7077</v>
      </c>
      <c r="G698" s="1" t="s">
        <v>74</v>
      </c>
      <c r="H698" s="1" t="s">
        <v>74</v>
      </c>
      <c r="I698" s="1" t="s">
        <v>7078</v>
      </c>
      <c r="J698" s="1" t="s">
        <v>7079</v>
      </c>
      <c r="K698" s="1" t="s">
        <v>74</v>
      </c>
      <c r="L698" s="1" t="s">
        <v>74</v>
      </c>
      <c r="M698" s="1" t="s">
        <v>74</v>
      </c>
      <c r="N698" s="1" t="s">
        <v>74</v>
      </c>
      <c r="O698" s="1" t="s">
        <v>74</v>
      </c>
      <c r="P698" s="1" t="s">
        <v>74</v>
      </c>
      <c r="Q698" s="1" t="s">
        <v>74</v>
      </c>
      <c r="R698" s="1" t="s">
        <v>74</v>
      </c>
      <c r="S698" s="1" t="s">
        <v>74</v>
      </c>
      <c r="T698" s="1" t="s">
        <v>74</v>
      </c>
      <c r="U698" s="1" t="s">
        <v>74</v>
      </c>
      <c r="V698" s="1" t="s">
        <v>7080</v>
      </c>
      <c r="W698" s="1" t="s">
        <v>74</v>
      </c>
      <c r="X698" s="1" t="s">
        <v>74</v>
      </c>
      <c r="Y698" s="1" t="s">
        <v>74</v>
      </c>
      <c r="Z698" s="1" t="s">
        <v>74</v>
      </c>
      <c r="AA698" s="1" t="s">
        <v>7081</v>
      </c>
      <c r="AB698" s="1" t="s">
        <v>74</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7082</v>
      </c>
      <c r="AP698" s="1" t="s">
        <v>74</v>
      </c>
      <c r="AQ698" s="1" t="s">
        <v>74</v>
      </c>
      <c r="AR698" s="1" t="s">
        <v>74</v>
      </c>
      <c r="AS698" s="1" t="s">
        <v>74</v>
      </c>
      <c r="AT698" s="1" t="s">
        <v>7083</v>
      </c>
      <c r="AU698" s="1">
        <v>2007.0</v>
      </c>
      <c r="AV698" s="1">
        <v>317.0</v>
      </c>
      <c r="AW698" s="1">
        <v>5838.0</v>
      </c>
      <c r="AX698" s="1" t="s">
        <v>74</v>
      </c>
      <c r="AY698" s="1" t="s">
        <v>74</v>
      </c>
      <c r="AZ698" s="1" t="s">
        <v>74</v>
      </c>
      <c r="BA698" s="1" t="s">
        <v>74</v>
      </c>
      <c r="BB698" s="1">
        <v>650.0</v>
      </c>
      <c r="BC698" s="1">
        <v>653.0</v>
      </c>
      <c r="BD698" s="1" t="s">
        <v>74</v>
      </c>
      <c r="BE698" s="1" t="s">
        <v>7084</v>
      </c>
      <c r="BF698" s="2" t="str">
        <f>HYPERLINK("http://dx.doi.org/10.1126/science.1144616","http://dx.doi.org/10.1126/science.1144616")</f>
        <v>http://dx.doi.org/10.1126/science.1144616</v>
      </c>
      <c r="BG698" s="1" t="s">
        <v>74</v>
      </c>
      <c r="BH698" s="1" t="s">
        <v>74</v>
      </c>
      <c r="BI698" s="1" t="s">
        <v>74</v>
      </c>
      <c r="BJ698" s="1" t="s">
        <v>74</v>
      </c>
      <c r="BK698" s="1" t="s">
        <v>74</v>
      </c>
      <c r="BL698" s="1" t="s">
        <v>74</v>
      </c>
      <c r="BM698" s="1" t="s">
        <v>74</v>
      </c>
      <c r="BN698" s="1">
        <v>1.7673658E7</v>
      </c>
      <c r="BO698" s="1" t="s">
        <v>74</v>
      </c>
      <c r="BP698" s="1" t="s">
        <v>74</v>
      </c>
      <c r="BQ698" s="1" t="s">
        <v>74</v>
      </c>
      <c r="BR698" s="1" t="s">
        <v>74</v>
      </c>
      <c r="BS698" s="1" t="s">
        <v>7085</v>
      </c>
      <c r="BT698" s="1" t="str">
        <f>HYPERLINK("https%3A%2F%2Fwww.webofscience.com%2Fwos%2Fwoscc%2Ffull-record%2FWOS:000248494400042","View Full Record in Web of Science")</f>
        <v>View Full Record in Web of Science</v>
      </c>
    </row>
    <row r="699" ht="12.75" customHeight="1">
      <c r="A699" s="1" t="s">
        <v>72</v>
      </c>
      <c r="B699" s="1" t="s">
        <v>7086</v>
      </c>
      <c r="C699" s="1" t="s">
        <v>74</v>
      </c>
      <c r="D699" s="1" t="s">
        <v>74</v>
      </c>
      <c r="E699" s="1" t="s">
        <v>74</v>
      </c>
      <c r="F699" s="1" t="s">
        <v>7087</v>
      </c>
      <c r="G699" s="1" t="s">
        <v>74</v>
      </c>
      <c r="H699" s="1" t="s">
        <v>74</v>
      </c>
      <c r="I699" s="1" t="s">
        <v>7088</v>
      </c>
      <c r="J699" s="1" t="s">
        <v>194</v>
      </c>
      <c r="K699" s="1" t="s">
        <v>74</v>
      </c>
      <c r="L699" s="1" t="s">
        <v>74</v>
      </c>
      <c r="M699" s="1" t="s">
        <v>74</v>
      </c>
      <c r="N699" s="1" t="s">
        <v>74</v>
      </c>
      <c r="O699" s="1" t="s">
        <v>7089</v>
      </c>
      <c r="P699" s="1" t="s">
        <v>7090</v>
      </c>
      <c r="Q699" s="1" t="s">
        <v>7091</v>
      </c>
      <c r="R699" s="1" t="s">
        <v>7092</v>
      </c>
      <c r="S699" s="1" t="s">
        <v>74</v>
      </c>
      <c r="T699" s="1" t="s">
        <v>74</v>
      </c>
      <c r="U699" s="1" t="s">
        <v>74</v>
      </c>
      <c r="V699" s="1" t="s">
        <v>7093</v>
      </c>
      <c r="W699" s="1" t="s">
        <v>74</v>
      </c>
      <c r="X699" s="1" t="s">
        <v>74</v>
      </c>
      <c r="Y699" s="1" t="s">
        <v>74</v>
      </c>
      <c r="Z699" s="1" t="s">
        <v>74</v>
      </c>
      <c r="AA699" s="1" t="s">
        <v>1274</v>
      </c>
      <c r="AB699" s="1" t="s">
        <v>7094</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198</v>
      </c>
      <c r="AP699" s="1" t="s">
        <v>199</v>
      </c>
      <c r="AQ699" s="1" t="s">
        <v>74</v>
      </c>
      <c r="AR699" s="1" t="s">
        <v>74</v>
      </c>
      <c r="AS699" s="1" t="s">
        <v>74</v>
      </c>
      <c r="AT699" s="1" t="s">
        <v>1542</v>
      </c>
      <c r="AU699" s="1">
        <v>2007.0</v>
      </c>
      <c r="AV699" s="1">
        <v>139.0</v>
      </c>
      <c r="AW699" s="1">
        <v>3.0</v>
      </c>
      <c r="AX699" s="1" t="s">
        <v>74</v>
      </c>
      <c r="AY699" s="1" t="s">
        <v>74</v>
      </c>
      <c r="AZ699" s="1" t="s">
        <v>1350</v>
      </c>
      <c r="BA699" s="1" t="s">
        <v>74</v>
      </c>
      <c r="BB699" s="1">
        <v>550.0</v>
      </c>
      <c r="BC699" s="1">
        <v>555.0</v>
      </c>
      <c r="BD699" s="1" t="s">
        <v>74</v>
      </c>
      <c r="BE699" s="1" t="s">
        <v>7095</v>
      </c>
      <c r="BF699" s="2" t="str">
        <f>HYPERLINK("http://dx.doi.org/10.1016/j.jhazmat.2006.02.062","http://dx.doi.org/10.1016/j.jhazmat.2006.02.062")</f>
        <v>http://dx.doi.org/10.1016/j.jhazmat.2006.02.062</v>
      </c>
      <c r="BG699" s="1" t="s">
        <v>74</v>
      </c>
      <c r="BH699" s="1" t="s">
        <v>74</v>
      </c>
      <c r="BI699" s="1" t="s">
        <v>74</v>
      </c>
      <c r="BJ699" s="1" t="s">
        <v>74</v>
      </c>
      <c r="BK699" s="1" t="s">
        <v>74</v>
      </c>
      <c r="BL699" s="1" t="s">
        <v>74</v>
      </c>
      <c r="BM699" s="1" t="s">
        <v>74</v>
      </c>
      <c r="BN699" s="1">
        <v>1.6650527E7</v>
      </c>
      <c r="BO699" s="1" t="s">
        <v>74</v>
      </c>
      <c r="BP699" s="1" t="s">
        <v>74</v>
      </c>
      <c r="BQ699" s="1" t="s">
        <v>74</v>
      </c>
      <c r="BR699" s="1" t="s">
        <v>74</v>
      </c>
      <c r="BS699" s="1" t="s">
        <v>7096</v>
      </c>
      <c r="BT699" s="1" t="str">
        <f>HYPERLINK("https%3A%2F%2Fwww.webofscience.com%2Fwos%2Fwoscc%2Ffull-record%2FWOS:000244091800022","View Full Record in Web of Science")</f>
        <v>View Full Record in Web of Science</v>
      </c>
    </row>
    <row r="700" ht="12.75" customHeight="1">
      <c r="A700" s="1" t="s">
        <v>72</v>
      </c>
      <c r="B700" s="1" t="s">
        <v>7097</v>
      </c>
      <c r="C700" s="1" t="s">
        <v>74</v>
      </c>
      <c r="D700" s="1" t="s">
        <v>74</v>
      </c>
      <c r="E700" s="1" t="s">
        <v>74</v>
      </c>
      <c r="F700" s="1" t="s">
        <v>7097</v>
      </c>
      <c r="G700" s="1" t="s">
        <v>74</v>
      </c>
      <c r="H700" s="1" t="s">
        <v>74</v>
      </c>
      <c r="I700" s="1" t="s">
        <v>7098</v>
      </c>
      <c r="J700" s="1" t="s">
        <v>7099</v>
      </c>
      <c r="K700" s="1" t="s">
        <v>74</v>
      </c>
      <c r="L700" s="1" t="s">
        <v>74</v>
      </c>
      <c r="M700" s="1" t="s">
        <v>74</v>
      </c>
      <c r="N700" s="1" t="s">
        <v>74</v>
      </c>
      <c r="O700" s="1" t="s">
        <v>74</v>
      </c>
      <c r="P700" s="1" t="s">
        <v>74</v>
      </c>
      <c r="Q700" s="1" t="s">
        <v>74</v>
      </c>
      <c r="R700" s="1" t="s">
        <v>74</v>
      </c>
      <c r="S700" s="1" t="s">
        <v>74</v>
      </c>
      <c r="T700" s="1" t="s">
        <v>74</v>
      </c>
      <c r="U700" s="1" t="s">
        <v>74</v>
      </c>
      <c r="V700" s="1" t="s">
        <v>7100</v>
      </c>
      <c r="W700" s="1" t="s">
        <v>74</v>
      </c>
      <c r="X700" s="1" t="s">
        <v>74</v>
      </c>
      <c r="Y700" s="1" t="s">
        <v>74</v>
      </c>
      <c r="Z700" s="1" t="s">
        <v>74</v>
      </c>
      <c r="AA700" s="1" t="s">
        <v>7101</v>
      </c>
      <c r="AB700" s="1" t="s">
        <v>7102</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7103</v>
      </c>
      <c r="AP700" s="1" t="s">
        <v>7104</v>
      </c>
      <c r="AQ700" s="1" t="s">
        <v>74</v>
      </c>
      <c r="AR700" s="1" t="s">
        <v>74</v>
      </c>
      <c r="AS700" s="1" t="s">
        <v>74</v>
      </c>
      <c r="AT700" s="1" t="s">
        <v>5449</v>
      </c>
      <c r="AU700" s="1">
        <v>2006.0</v>
      </c>
      <c r="AV700" s="1">
        <v>110.0</v>
      </c>
      <c r="AW700" s="1">
        <v>15.0</v>
      </c>
      <c r="AX700" s="1" t="s">
        <v>74</v>
      </c>
      <c r="AY700" s="1" t="s">
        <v>74</v>
      </c>
      <c r="AZ700" s="1" t="s">
        <v>74</v>
      </c>
      <c r="BA700" s="1" t="s">
        <v>74</v>
      </c>
      <c r="BB700" s="1">
        <v>5102.0</v>
      </c>
      <c r="BC700" s="1">
        <v>5107.0</v>
      </c>
      <c r="BD700" s="1" t="s">
        <v>74</v>
      </c>
      <c r="BE700" s="1" t="s">
        <v>7105</v>
      </c>
      <c r="BF700" s="2" t="str">
        <f>HYPERLINK("http://dx.doi.org/10.1021/jp057139m","http://dx.doi.org/10.1021/jp057139m")</f>
        <v>http://dx.doi.org/10.1021/jp057139m</v>
      </c>
      <c r="BG700" s="1" t="s">
        <v>74</v>
      </c>
      <c r="BH700" s="1" t="s">
        <v>74</v>
      </c>
      <c r="BI700" s="1" t="s">
        <v>74</v>
      </c>
      <c r="BJ700" s="1" t="s">
        <v>74</v>
      </c>
      <c r="BK700" s="1" t="s">
        <v>74</v>
      </c>
      <c r="BL700" s="1" t="s">
        <v>74</v>
      </c>
      <c r="BM700" s="1" t="s">
        <v>74</v>
      </c>
      <c r="BN700" s="1">
        <v>1.6610831E7</v>
      </c>
      <c r="BO700" s="1" t="s">
        <v>74</v>
      </c>
      <c r="BP700" s="1" t="s">
        <v>74</v>
      </c>
      <c r="BQ700" s="1" t="s">
        <v>74</v>
      </c>
      <c r="BR700" s="1" t="s">
        <v>74</v>
      </c>
      <c r="BS700" s="1" t="s">
        <v>7106</v>
      </c>
      <c r="BT700" s="1" t="str">
        <f>HYPERLINK("https%3A%2F%2Fwww.webofscience.com%2Fwos%2Fwoscc%2Ffull-record%2FWOS:000236991900021","View Full Record in Web of Science")</f>
        <v>View Full Record in Web of Science</v>
      </c>
    </row>
    <row r="701" ht="12.75" customHeight="1">
      <c r="A701" s="1" t="s">
        <v>72</v>
      </c>
      <c r="B701" s="1" t="s">
        <v>7107</v>
      </c>
      <c r="C701" s="1" t="s">
        <v>74</v>
      </c>
      <c r="D701" s="1" t="s">
        <v>74</v>
      </c>
      <c r="E701" s="1" t="s">
        <v>74</v>
      </c>
      <c r="F701" s="1" t="s">
        <v>7107</v>
      </c>
      <c r="G701" s="1" t="s">
        <v>74</v>
      </c>
      <c r="H701" s="1" t="s">
        <v>74</v>
      </c>
      <c r="I701" s="1" t="s">
        <v>7108</v>
      </c>
      <c r="J701" s="1" t="s">
        <v>1357</v>
      </c>
      <c r="K701" s="1" t="s">
        <v>74</v>
      </c>
      <c r="L701" s="1" t="s">
        <v>74</v>
      </c>
      <c r="M701" s="1" t="s">
        <v>74</v>
      </c>
      <c r="N701" s="1" t="s">
        <v>74</v>
      </c>
      <c r="O701" s="1" t="s">
        <v>74</v>
      </c>
      <c r="P701" s="1" t="s">
        <v>74</v>
      </c>
      <c r="Q701" s="1" t="s">
        <v>74</v>
      </c>
      <c r="R701" s="1" t="s">
        <v>74</v>
      </c>
      <c r="S701" s="1" t="s">
        <v>74</v>
      </c>
      <c r="T701" s="1" t="s">
        <v>74</v>
      </c>
      <c r="U701" s="1" t="s">
        <v>74</v>
      </c>
      <c r="V701" s="1" t="s">
        <v>7109</v>
      </c>
      <c r="W701" s="1" t="s">
        <v>74</v>
      </c>
      <c r="X701" s="1" t="s">
        <v>74</v>
      </c>
      <c r="Y701" s="1" t="s">
        <v>74</v>
      </c>
      <c r="Z701" s="1" t="s">
        <v>74</v>
      </c>
      <c r="AA701" s="1" t="s">
        <v>74</v>
      </c>
      <c r="AB701" s="1" t="s">
        <v>7110</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1361</v>
      </c>
      <c r="AP701" s="1" t="s">
        <v>1362</v>
      </c>
      <c r="AQ701" s="1" t="s">
        <v>74</v>
      </c>
      <c r="AR701" s="1" t="s">
        <v>74</v>
      </c>
      <c r="AS701" s="1" t="s">
        <v>74</v>
      </c>
      <c r="AT701" s="1" t="s">
        <v>1363</v>
      </c>
      <c r="AU701" s="1">
        <v>2005.0</v>
      </c>
      <c r="AV701" s="1">
        <v>20.0</v>
      </c>
      <c r="AW701" s="1">
        <v>5.0</v>
      </c>
      <c r="AX701" s="1" t="s">
        <v>74</v>
      </c>
      <c r="AY701" s="1" t="s">
        <v>74</v>
      </c>
      <c r="AZ701" s="1" t="s">
        <v>74</v>
      </c>
      <c r="BA701" s="1" t="s">
        <v>74</v>
      </c>
      <c r="BB701" s="1">
        <v>319.0</v>
      </c>
      <c r="BC701" s="1">
        <v>327.0</v>
      </c>
      <c r="BD701" s="1" t="s">
        <v>74</v>
      </c>
      <c r="BE701" s="1" t="s">
        <v>7111</v>
      </c>
      <c r="BF701" s="2" t="str">
        <f>HYPERLINK("http://dx.doi.org/10.1142/S0217732305016099","http://dx.doi.org/10.1142/S0217732305016099")</f>
        <v>http://dx.doi.org/10.1142/S0217732305016099</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7112</v>
      </c>
      <c r="BT701" s="1" t="str">
        <f>HYPERLINK("https%3A%2F%2Fwww.webofscience.com%2Fwos%2Fwoscc%2Ffull-record%2FWOS:000227343000003","View Full Record in Web of Science")</f>
        <v>View Full Record in Web of Science</v>
      </c>
    </row>
    <row r="702" ht="12.75" customHeight="1">
      <c r="A702" s="1" t="s">
        <v>72</v>
      </c>
      <c r="B702" s="1" t="s">
        <v>7113</v>
      </c>
      <c r="C702" s="1" t="s">
        <v>74</v>
      </c>
      <c r="D702" s="1" t="s">
        <v>74</v>
      </c>
      <c r="E702" s="1" t="s">
        <v>74</v>
      </c>
      <c r="F702" s="1" t="s">
        <v>7113</v>
      </c>
      <c r="G702" s="1" t="s">
        <v>74</v>
      </c>
      <c r="H702" s="1" t="s">
        <v>74</v>
      </c>
      <c r="I702" s="1" t="s">
        <v>7114</v>
      </c>
      <c r="J702" s="1" t="s">
        <v>6737</v>
      </c>
      <c r="K702" s="1" t="s">
        <v>74</v>
      </c>
      <c r="L702" s="1" t="s">
        <v>74</v>
      </c>
      <c r="M702" s="1" t="s">
        <v>74</v>
      </c>
      <c r="N702" s="1" t="s">
        <v>74</v>
      </c>
      <c r="O702" s="1" t="s">
        <v>74</v>
      </c>
      <c r="P702" s="1" t="s">
        <v>74</v>
      </c>
      <c r="Q702" s="1" t="s">
        <v>74</v>
      </c>
      <c r="R702" s="1" t="s">
        <v>74</v>
      </c>
      <c r="S702" s="1" t="s">
        <v>74</v>
      </c>
      <c r="T702" s="1" t="s">
        <v>74</v>
      </c>
      <c r="U702" s="1" t="s">
        <v>74</v>
      </c>
      <c r="V702" s="1" t="s">
        <v>7115</v>
      </c>
      <c r="W702" s="1" t="s">
        <v>74</v>
      </c>
      <c r="X702" s="1" t="s">
        <v>74</v>
      </c>
      <c r="Y702" s="1" t="s">
        <v>74</v>
      </c>
      <c r="Z702" s="1" t="s">
        <v>74</v>
      </c>
      <c r="AA702" s="1" t="s">
        <v>7116</v>
      </c>
      <c r="AB702" s="1" t="s">
        <v>7117</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6741</v>
      </c>
      <c r="AP702" s="1" t="s">
        <v>74</v>
      </c>
      <c r="AQ702" s="1" t="s">
        <v>74</v>
      </c>
      <c r="AR702" s="1" t="s">
        <v>74</v>
      </c>
      <c r="AS702" s="1" t="s">
        <v>74</v>
      </c>
      <c r="AT702" s="1" t="s">
        <v>877</v>
      </c>
      <c r="AU702" s="1">
        <v>2002.0</v>
      </c>
      <c r="AV702" s="1">
        <v>43.0</v>
      </c>
      <c r="AW702" s="1">
        <v>17.0</v>
      </c>
      <c r="AX702" s="1" t="s">
        <v>74</v>
      </c>
      <c r="AY702" s="1" t="s">
        <v>74</v>
      </c>
      <c r="AZ702" s="1" t="s">
        <v>74</v>
      </c>
      <c r="BA702" s="1" t="s">
        <v>74</v>
      </c>
      <c r="BB702" s="1">
        <v>4591.0</v>
      </c>
      <c r="BC702" s="1">
        <v>4597.0</v>
      </c>
      <c r="BD702" s="1" t="s">
        <v>7118</v>
      </c>
      <c r="BE702" s="1" t="s">
        <v>7119</v>
      </c>
      <c r="BF702" s="2" t="str">
        <f>HYPERLINK("http://dx.doi.org/10.1016/S0032-3861(02)00310-5","http://dx.doi.org/10.1016/S0032-3861(02)00310-5")</f>
        <v>http://dx.doi.org/10.1016/S0032-3861(02)00310-5</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7120</v>
      </c>
      <c r="BT702" s="1" t="str">
        <f>HYPERLINK("https%3A%2F%2Fwww.webofscience.com%2Fwos%2Fwoscc%2Ffull-record%2FWOS:000176691800005","View Full Record in Web of Science")</f>
        <v>View Full Record in Web of Science</v>
      </c>
    </row>
    <row r="703" ht="12.75" customHeight="1">
      <c r="A703" s="1" t="s">
        <v>72</v>
      </c>
      <c r="B703" s="1" t="s">
        <v>7121</v>
      </c>
      <c r="C703" s="1" t="s">
        <v>74</v>
      </c>
      <c r="D703" s="1" t="s">
        <v>74</v>
      </c>
      <c r="E703" s="1" t="s">
        <v>74</v>
      </c>
      <c r="F703" s="1" t="s">
        <v>7121</v>
      </c>
      <c r="G703" s="1" t="s">
        <v>74</v>
      </c>
      <c r="H703" s="1" t="s">
        <v>74</v>
      </c>
      <c r="I703" s="1" t="s">
        <v>7122</v>
      </c>
      <c r="J703" s="1" t="s">
        <v>3593</v>
      </c>
      <c r="K703" s="1" t="s">
        <v>74</v>
      </c>
      <c r="L703" s="1" t="s">
        <v>74</v>
      </c>
      <c r="M703" s="1" t="s">
        <v>74</v>
      </c>
      <c r="N703" s="1" t="s">
        <v>74</v>
      </c>
      <c r="O703" s="1" t="s">
        <v>74</v>
      </c>
      <c r="P703" s="1" t="s">
        <v>74</v>
      </c>
      <c r="Q703" s="1" t="s">
        <v>74</v>
      </c>
      <c r="R703" s="1" t="s">
        <v>74</v>
      </c>
      <c r="S703" s="1" t="s">
        <v>74</v>
      </c>
      <c r="T703" s="1" t="s">
        <v>74</v>
      </c>
      <c r="U703" s="1" t="s">
        <v>74</v>
      </c>
      <c r="V703" s="1" t="s">
        <v>7123</v>
      </c>
      <c r="W703" s="1" t="s">
        <v>74</v>
      </c>
      <c r="X703" s="1" t="s">
        <v>74</v>
      </c>
      <c r="Y703" s="1" t="s">
        <v>74</v>
      </c>
      <c r="Z703" s="1" t="s">
        <v>74</v>
      </c>
      <c r="AA703" s="1" t="s">
        <v>7124</v>
      </c>
      <c r="AB703" s="1" t="s">
        <v>7125</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3597</v>
      </c>
      <c r="AP703" s="1" t="s">
        <v>3598</v>
      </c>
      <c r="AQ703" s="1" t="s">
        <v>74</v>
      </c>
      <c r="AR703" s="1" t="s">
        <v>74</v>
      </c>
      <c r="AS703" s="1" t="s">
        <v>74</v>
      </c>
      <c r="AT703" s="1" t="s">
        <v>5349</v>
      </c>
      <c r="AU703" s="1">
        <v>2002.0</v>
      </c>
      <c r="AV703" s="1">
        <v>88.0</v>
      </c>
      <c r="AW703" s="1">
        <v>23.0</v>
      </c>
      <c r="AX703" s="1" t="s">
        <v>74</v>
      </c>
      <c r="AY703" s="1" t="s">
        <v>74</v>
      </c>
      <c r="AZ703" s="1" t="s">
        <v>74</v>
      </c>
      <c r="BA703" s="1" t="s">
        <v>74</v>
      </c>
      <c r="BB703" s="1" t="s">
        <v>74</v>
      </c>
      <c r="BC703" s="1" t="s">
        <v>74</v>
      </c>
      <c r="BD703" s="1">
        <v>237202.0</v>
      </c>
      <c r="BE703" s="1" t="s">
        <v>7126</v>
      </c>
      <c r="BF703" s="2" t="str">
        <f>HYPERLINK("http://dx.doi.org/10.1103/PhysRevLett.88.237202","http://dx.doi.org/10.1103/PhysRevLett.88.237202")</f>
        <v>http://dx.doi.org/10.1103/PhysRevLett.88.237202</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7127</v>
      </c>
      <c r="BT703" s="1" t="str">
        <f>HYPERLINK("https%3A%2F%2Fwww.webofscience.com%2Fwos%2Fwoscc%2Ffull-record%2FWOS:000175860500054","View Full Record in Web of Science")</f>
        <v>View Full Record in Web of Science</v>
      </c>
    </row>
    <row r="704" ht="12.75" customHeight="1">
      <c r="A704" s="1" t="s">
        <v>72</v>
      </c>
      <c r="B704" s="1" t="s">
        <v>7128</v>
      </c>
      <c r="C704" s="1" t="s">
        <v>74</v>
      </c>
      <c r="D704" s="1" t="s">
        <v>74</v>
      </c>
      <c r="E704" s="1" t="s">
        <v>74</v>
      </c>
      <c r="F704" s="1" t="s">
        <v>7128</v>
      </c>
      <c r="G704" s="1" t="s">
        <v>74</v>
      </c>
      <c r="H704" s="1" t="s">
        <v>74</v>
      </c>
      <c r="I704" s="1" t="s">
        <v>7129</v>
      </c>
      <c r="J704" s="1" t="s">
        <v>1068</v>
      </c>
      <c r="K704" s="1" t="s">
        <v>74</v>
      </c>
      <c r="L704" s="1" t="s">
        <v>74</v>
      </c>
      <c r="M704" s="1" t="s">
        <v>74</v>
      </c>
      <c r="N704" s="1" t="s">
        <v>74</v>
      </c>
      <c r="O704" s="1" t="s">
        <v>74</v>
      </c>
      <c r="P704" s="1" t="s">
        <v>74</v>
      </c>
      <c r="Q704" s="1" t="s">
        <v>74</v>
      </c>
      <c r="R704" s="1" t="s">
        <v>74</v>
      </c>
      <c r="S704" s="1" t="s">
        <v>74</v>
      </c>
      <c r="T704" s="1" t="s">
        <v>74</v>
      </c>
      <c r="U704" s="1" t="s">
        <v>74</v>
      </c>
      <c r="V704" s="1" t="s">
        <v>7130</v>
      </c>
      <c r="W704" s="1" t="s">
        <v>74</v>
      </c>
      <c r="X704" s="1" t="s">
        <v>74</v>
      </c>
      <c r="Y704" s="1" t="s">
        <v>74</v>
      </c>
      <c r="Z704" s="1" t="s">
        <v>74</v>
      </c>
      <c r="AA704" s="1" t="s">
        <v>74</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1072</v>
      </c>
      <c r="AP704" s="1" t="s">
        <v>74</v>
      </c>
      <c r="AQ704" s="1" t="s">
        <v>74</v>
      </c>
      <c r="AR704" s="1" t="s">
        <v>74</v>
      </c>
      <c r="AS704" s="1" t="s">
        <v>74</v>
      </c>
      <c r="AT704" s="1" t="s">
        <v>385</v>
      </c>
      <c r="AU704" s="1">
        <v>1997.0</v>
      </c>
      <c r="AV704" s="1">
        <v>42.0</v>
      </c>
      <c r="AW704" s="1">
        <v>2.0</v>
      </c>
      <c r="AX704" s="1" t="s">
        <v>74</v>
      </c>
      <c r="AY704" s="1" t="s">
        <v>74</v>
      </c>
      <c r="AZ704" s="1" t="s">
        <v>74</v>
      </c>
      <c r="BA704" s="1" t="s">
        <v>74</v>
      </c>
      <c r="BB704" s="1">
        <v>147.0</v>
      </c>
      <c r="BC704" s="1">
        <v>155.0</v>
      </c>
      <c r="BD704" s="1" t="s">
        <v>74</v>
      </c>
      <c r="BE704" s="1" t="s">
        <v>74</v>
      </c>
      <c r="BF704" s="1" t="s">
        <v>74</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7131</v>
      </c>
      <c r="BT704" s="1" t="str">
        <f>HYPERLINK("https%3A%2F%2Fwww.webofscience.com%2Fwos%2Fwoscc%2Ffull-record%2FWOS:A1997XH41800003","View Full Record in Web of Science")</f>
        <v>View Full Record in Web of Science</v>
      </c>
    </row>
    <row r="705" ht="12.75" customHeight="1">
      <c r="A705" s="1" t="s">
        <v>72</v>
      </c>
      <c r="B705" s="1" t="s">
        <v>7132</v>
      </c>
      <c r="C705" s="1" t="s">
        <v>74</v>
      </c>
      <c r="D705" s="1" t="s">
        <v>74</v>
      </c>
      <c r="E705" s="1" t="s">
        <v>74</v>
      </c>
      <c r="F705" s="1" t="s">
        <v>7132</v>
      </c>
      <c r="G705" s="1" t="s">
        <v>74</v>
      </c>
      <c r="H705" s="1" t="s">
        <v>74</v>
      </c>
      <c r="I705" s="1" t="s">
        <v>7133</v>
      </c>
      <c r="J705" s="1" t="s">
        <v>5857</v>
      </c>
      <c r="K705" s="1" t="s">
        <v>74</v>
      </c>
      <c r="L705" s="1" t="s">
        <v>74</v>
      </c>
      <c r="M705" s="1" t="s">
        <v>74</v>
      </c>
      <c r="N705" s="1" t="s">
        <v>74</v>
      </c>
      <c r="O705" s="1" t="s">
        <v>74</v>
      </c>
      <c r="P705" s="1" t="s">
        <v>74</v>
      </c>
      <c r="Q705" s="1" t="s">
        <v>74</v>
      </c>
      <c r="R705" s="1" t="s">
        <v>74</v>
      </c>
      <c r="S705" s="1" t="s">
        <v>74</v>
      </c>
      <c r="T705" s="1" t="s">
        <v>74</v>
      </c>
      <c r="U705" s="1" t="s">
        <v>74</v>
      </c>
      <c r="V705" s="1" t="s">
        <v>74</v>
      </c>
      <c r="W705" s="1" t="s">
        <v>74</v>
      </c>
      <c r="X705" s="1" t="s">
        <v>74</v>
      </c>
      <c r="Y705" s="1" t="s">
        <v>74</v>
      </c>
      <c r="Z705" s="1" t="s">
        <v>74</v>
      </c>
      <c r="AA705" s="1" t="s">
        <v>7134</v>
      </c>
      <c r="AB705" s="1" t="s">
        <v>5457</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5859</v>
      </c>
      <c r="AP705" s="1" t="s">
        <v>74</v>
      </c>
      <c r="AQ705" s="1" t="s">
        <v>74</v>
      </c>
      <c r="AR705" s="1" t="s">
        <v>74</v>
      </c>
      <c r="AS705" s="1" t="s">
        <v>74</v>
      </c>
      <c r="AT705" s="1" t="s">
        <v>74</v>
      </c>
      <c r="AU705" s="1">
        <v>1983.0</v>
      </c>
      <c r="AV705" s="1" t="s">
        <v>74</v>
      </c>
      <c r="AW705" s="1">
        <v>15.0</v>
      </c>
      <c r="AX705" s="1" t="s">
        <v>74</v>
      </c>
      <c r="AY705" s="1" t="s">
        <v>74</v>
      </c>
      <c r="AZ705" s="1" t="s">
        <v>74</v>
      </c>
      <c r="BA705" s="1" t="s">
        <v>74</v>
      </c>
      <c r="BB705" s="1">
        <v>799.0</v>
      </c>
      <c r="BC705" s="1">
        <v>800.0</v>
      </c>
      <c r="BD705" s="1" t="s">
        <v>74</v>
      </c>
      <c r="BE705" s="1" t="s">
        <v>7135</v>
      </c>
      <c r="BF705" s="2" t="str">
        <f>HYPERLINK("http://dx.doi.org/10.1039/c39830000799","http://dx.doi.org/10.1039/c39830000799")</f>
        <v>http://dx.doi.org/10.1039/c39830000799</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7136</v>
      </c>
      <c r="BT705" s="1" t="str">
        <f>HYPERLINK("https%3A%2F%2Fwww.webofscience.com%2Fwos%2Fwoscc%2Ffull-record%2FWOS:A1983RC03300005","View Full Record in Web of Science")</f>
        <v>View Full Record in Web of Science</v>
      </c>
    </row>
    <row r="706" ht="12.75" customHeight="1">
      <c r="A706" s="1" t="s">
        <v>72</v>
      </c>
      <c r="B706" s="1" t="s">
        <v>7137</v>
      </c>
      <c r="C706" s="1" t="s">
        <v>74</v>
      </c>
      <c r="D706" s="1" t="s">
        <v>74</v>
      </c>
      <c r="E706" s="1" t="s">
        <v>74</v>
      </c>
      <c r="F706" s="1" t="s">
        <v>7138</v>
      </c>
      <c r="G706" s="1" t="s">
        <v>74</v>
      </c>
      <c r="H706" s="1" t="s">
        <v>74</v>
      </c>
      <c r="I706" s="1" t="s">
        <v>7139</v>
      </c>
      <c r="J706" s="1" t="s">
        <v>1643</v>
      </c>
      <c r="K706" s="1" t="s">
        <v>74</v>
      </c>
      <c r="L706" s="1" t="s">
        <v>74</v>
      </c>
      <c r="M706" s="1" t="s">
        <v>74</v>
      </c>
      <c r="N706" s="1" t="s">
        <v>74</v>
      </c>
      <c r="O706" s="1" t="s">
        <v>74</v>
      </c>
      <c r="P706" s="1" t="s">
        <v>74</v>
      </c>
      <c r="Q706" s="1" t="s">
        <v>74</v>
      </c>
      <c r="R706" s="1" t="s">
        <v>74</v>
      </c>
      <c r="S706" s="1" t="s">
        <v>74</v>
      </c>
      <c r="T706" s="1" t="s">
        <v>74</v>
      </c>
      <c r="U706" s="1" t="s">
        <v>74</v>
      </c>
      <c r="V706" s="1" t="s">
        <v>7140</v>
      </c>
      <c r="W706" s="1" t="s">
        <v>74</v>
      </c>
      <c r="X706" s="1" t="s">
        <v>74</v>
      </c>
      <c r="Y706" s="1" t="s">
        <v>74</v>
      </c>
      <c r="Z706" s="1" t="s">
        <v>74</v>
      </c>
      <c r="AA706" s="1" t="s">
        <v>7141</v>
      </c>
      <c r="AB706" s="1" t="s">
        <v>7142</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1647</v>
      </c>
      <c r="AP706" s="1" t="s">
        <v>74</v>
      </c>
      <c r="AQ706" s="1" t="s">
        <v>74</v>
      </c>
      <c r="AR706" s="1" t="s">
        <v>74</v>
      </c>
      <c r="AS706" s="1" t="s">
        <v>74</v>
      </c>
      <c r="AT706" s="1" t="s">
        <v>176</v>
      </c>
      <c r="AU706" s="1">
        <v>2025.0</v>
      </c>
      <c r="AV706" s="1">
        <v>25.0</v>
      </c>
      <c r="AW706" s="1" t="s">
        <v>74</v>
      </c>
      <c r="AX706" s="1" t="s">
        <v>74</v>
      </c>
      <c r="AY706" s="1" t="s">
        <v>74</v>
      </c>
      <c r="AZ706" s="1" t="s">
        <v>74</v>
      </c>
      <c r="BA706" s="1" t="s">
        <v>74</v>
      </c>
      <c r="BB706" s="1" t="s">
        <v>74</v>
      </c>
      <c r="BC706" s="1" t="s">
        <v>74</v>
      </c>
      <c r="BD706" s="1">
        <v>104593.0</v>
      </c>
      <c r="BE706" s="1" t="s">
        <v>7143</v>
      </c>
      <c r="BF706" s="2" t="str">
        <f>HYPERLINK("http://dx.doi.org/10.1016/j.rineng.2025.104593","http://dx.doi.org/10.1016/j.rineng.2025.104593")</f>
        <v>http://dx.doi.org/10.1016/j.rineng.2025.104593</v>
      </c>
      <c r="BG706" s="1" t="s">
        <v>74</v>
      </c>
      <c r="BH706" s="1" t="s">
        <v>1095</v>
      </c>
      <c r="BI706" s="1" t="s">
        <v>74</v>
      </c>
      <c r="BJ706" s="1" t="s">
        <v>74</v>
      </c>
      <c r="BK706" s="1" t="s">
        <v>74</v>
      </c>
      <c r="BL706" s="1" t="s">
        <v>74</v>
      </c>
      <c r="BM706" s="1" t="s">
        <v>74</v>
      </c>
      <c r="BN706" s="1" t="s">
        <v>74</v>
      </c>
      <c r="BO706" s="1" t="s">
        <v>74</v>
      </c>
      <c r="BP706" s="1" t="s">
        <v>74</v>
      </c>
      <c r="BQ706" s="1" t="s">
        <v>74</v>
      </c>
      <c r="BR706" s="1" t="s">
        <v>74</v>
      </c>
      <c r="BS706" s="1" t="s">
        <v>7144</v>
      </c>
      <c r="BT706" s="1" t="str">
        <f>HYPERLINK("https%3A%2F%2Fwww.webofscience.com%2Fwos%2Fwoscc%2Ffull-record%2FWOS:001447890000001","View Full Record in Web of Science")</f>
        <v>View Full Record in Web of Science</v>
      </c>
    </row>
    <row r="707" ht="12.75" customHeight="1">
      <c r="A707" s="1" t="s">
        <v>72</v>
      </c>
      <c r="B707" s="1" t="s">
        <v>7145</v>
      </c>
      <c r="C707" s="1" t="s">
        <v>74</v>
      </c>
      <c r="D707" s="1" t="s">
        <v>74</v>
      </c>
      <c r="E707" s="1" t="s">
        <v>74</v>
      </c>
      <c r="F707" s="1" t="s">
        <v>7146</v>
      </c>
      <c r="G707" s="1" t="s">
        <v>74</v>
      </c>
      <c r="H707" s="1" t="s">
        <v>74</v>
      </c>
      <c r="I707" s="1" t="s">
        <v>7147</v>
      </c>
      <c r="J707" s="1" t="s">
        <v>7148</v>
      </c>
      <c r="K707" s="1" t="s">
        <v>74</v>
      </c>
      <c r="L707" s="1" t="s">
        <v>74</v>
      </c>
      <c r="M707" s="1" t="s">
        <v>74</v>
      </c>
      <c r="N707" s="1" t="s">
        <v>74</v>
      </c>
      <c r="O707" s="1" t="s">
        <v>74</v>
      </c>
      <c r="P707" s="1" t="s">
        <v>74</v>
      </c>
      <c r="Q707" s="1" t="s">
        <v>74</v>
      </c>
      <c r="R707" s="1" t="s">
        <v>74</v>
      </c>
      <c r="S707" s="1" t="s">
        <v>74</v>
      </c>
      <c r="T707" s="1" t="s">
        <v>74</v>
      </c>
      <c r="U707" s="1" t="s">
        <v>74</v>
      </c>
      <c r="V707" s="1" t="s">
        <v>7149</v>
      </c>
      <c r="W707" s="1" t="s">
        <v>74</v>
      </c>
      <c r="X707" s="1" t="s">
        <v>74</v>
      </c>
      <c r="Y707" s="1" t="s">
        <v>74</v>
      </c>
      <c r="Z707" s="1" t="s">
        <v>74</v>
      </c>
      <c r="AA707" s="1" t="s">
        <v>7150</v>
      </c>
      <c r="AB707" s="1" t="s">
        <v>7151</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74</v>
      </c>
      <c r="AP707" s="1" t="s">
        <v>7152</v>
      </c>
      <c r="AQ707" s="1" t="s">
        <v>74</v>
      </c>
      <c r="AR707" s="1" t="s">
        <v>74</v>
      </c>
      <c r="AS707" s="1" t="s">
        <v>74</v>
      </c>
      <c r="AT707" s="1" t="s">
        <v>241</v>
      </c>
      <c r="AU707" s="1">
        <v>2024.0</v>
      </c>
      <c r="AV707" s="1">
        <v>10.0</v>
      </c>
      <c r="AW707" s="1">
        <v>3.0</v>
      </c>
      <c r="AX707" s="1" t="s">
        <v>74</v>
      </c>
      <c r="AY707" s="1" t="s">
        <v>74</v>
      </c>
      <c r="AZ707" s="1" t="s">
        <v>74</v>
      </c>
      <c r="BA707" s="1" t="s">
        <v>74</v>
      </c>
      <c r="BB707" s="1" t="s">
        <v>74</v>
      </c>
      <c r="BC707" s="1" t="s">
        <v>74</v>
      </c>
      <c r="BD707" s="1">
        <v>57.0</v>
      </c>
      <c r="BE707" s="1" t="s">
        <v>7153</v>
      </c>
      <c r="BF707" s="2" t="str">
        <f>HYPERLINK("http://dx.doi.org/10.3390/c10030057","http://dx.doi.org/10.3390/c10030057")</f>
        <v>http://dx.doi.org/10.3390/c10030057</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7154</v>
      </c>
      <c r="BT707" s="1" t="str">
        <f>HYPERLINK("https%3A%2F%2Fwww.webofscience.com%2Fwos%2Fwoscc%2Ffull-record%2FWOS:001323974200001","View Full Record in Web of Science")</f>
        <v>View Full Record in Web of Science</v>
      </c>
    </row>
    <row r="708" ht="12.75" customHeight="1">
      <c r="A708" s="1" t="s">
        <v>72</v>
      </c>
      <c r="B708" s="1" t="s">
        <v>7155</v>
      </c>
      <c r="C708" s="1" t="s">
        <v>74</v>
      </c>
      <c r="D708" s="1" t="s">
        <v>74</v>
      </c>
      <c r="E708" s="1" t="s">
        <v>74</v>
      </c>
      <c r="F708" s="1" t="s">
        <v>7156</v>
      </c>
      <c r="G708" s="1" t="s">
        <v>74</v>
      </c>
      <c r="H708" s="1" t="s">
        <v>74</v>
      </c>
      <c r="I708" s="1" t="s">
        <v>7157</v>
      </c>
      <c r="J708" s="1" t="s">
        <v>3196</v>
      </c>
      <c r="K708" s="1" t="s">
        <v>74</v>
      </c>
      <c r="L708" s="1" t="s">
        <v>74</v>
      </c>
      <c r="M708" s="1" t="s">
        <v>74</v>
      </c>
      <c r="N708" s="1" t="s">
        <v>74</v>
      </c>
      <c r="O708" s="1" t="s">
        <v>74</v>
      </c>
      <c r="P708" s="1" t="s">
        <v>74</v>
      </c>
      <c r="Q708" s="1" t="s">
        <v>74</v>
      </c>
      <c r="R708" s="1" t="s">
        <v>74</v>
      </c>
      <c r="S708" s="1" t="s">
        <v>74</v>
      </c>
      <c r="T708" s="1" t="s">
        <v>74</v>
      </c>
      <c r="U708" s="1" t="s">
        <v>74</v>
      </c>
      <c r="V708" s="1" t="s">
        <v>7158</v>
      </c>
      <c r="W708" s="1" t="s">
        <v>74</v>
      </c>
      <c r="X708" s="1" t="s">
        <v>74</v>
      </c>
      <c r="Y708" s="1" t="s">
        <v>74</v>
      </c>
      <c r="Z708" s="1" t="s">
        <v>74</v>
      </c>
      <c r="AA708" s="1" t="s">
        <v>7159</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74</v>
      </c>
      <c r="AP708" s="1" t="s">
        <v>3200</v>
      </c>
      <c r="AQ708" s="1" t="s">
        <v>74</v>
      </c>
      <c r="AR708" s="1" t="s">
        <v>74</v>
      </c>
      <c r="AS708" s="1" t="s">
        <v>74</v>
      </c>
      <c r="AT708" s="1" t="s">
        <v>1996</v>
      </c>
      <c r="AU708" s="1">
        <v>2024.0</v>
      </c>
      <c r="AV708" s="1">
        <v>24.0</v>
      </c>
      <c r="AW708" s="1">
        <v>1.0</v>
      </c>
      <c r="AX708" s="1" t="s">
        <v>74</v>
      </c>
      <c r="AY708" s="1" t="s">
        <v>74</v>
      </c>
      <c r="AZ708" s="1" t="s">
        <v>74</v>
      </c>
      <c r="BA708" s="1" t="s">
        <v>74</v>
      </c>
      <c r="BB708" s="1" t="s">
        <v>74</v>
      </c>
      <c r="BC708" s="1" t="s">
        <v>74</v>
      </c>
      <c r="BD708" s="1">
        <v>167.0</v>
      </c>
      <c r="BE708" s="1" t="s">
        <v>7160</v>
      </c>
      <c r="BF708" s="2" t="str">
        <f>HYPERLINK("http://dx.doi.org/10.1186/s12887-024-04657-7","http://dx.doi.org/10.1186/s12887-024-04657-7")</f>
        <v>http://dx.doi.org/10.1186/s12887-024-04657-7</v>
      </c>
      <c r="BG708" s="1" t="s">
        <v>74</v>
      </c>
      <c r="BH708" s="1" t="s">
        <v>74</v>
      </c>
      <c r="BI708" s="1" t="s">
        <v>74</v>
      </c>
      <c r="BJ708" s="1" t="s">
        <v>74</v>
      </c>
      <c r="BK708" s="1" t="s">
        <v>74</v>
      </c>
      <c r="BL708" s="1" t="s">
        <v>74</v>
      </c>
      <c r="BM708" s="1" t="s">
        <v>74</v>
      </c>
      <c r="BN708" s="1">
        <v>3.8459452E7</v>
      </c>
      <c r="BO708" s="1" t="s">
        <v>74</v>
      </c>
      <c r="BP708" s="1" t="s">
        <v>74</v>
      </c>
      <c r="BQ708" s="1" t="s">
        <v>74</v>
      </c>
      <c r="BR708" s="1" t="s">
        <v>74</v>
      </c>
      <c r="BS708" s="1" t="s">
        <v>7161</v>
      </c>
      <c r="BT708" s="1" t="str">
        <f>HYPERLINK("https%3A%2F%2Fwww.webofscience.com%2Fwos%2Fwoscc%2Ffull-record%2FWOS:001181318000010","View Full Record in Web of Science")</f>
        <v>View Full Record in Web of Science</v>
      </c>
    </row>
    <row r="709" ht="12.75" customHeight="1">
      <c r="A709" s="1" t="s">
        <v>72</v>
      </c>
      <c r="B709" s="1" t="s">
        <v>7162</v>
      </c>
      <c r="C709" s="1" t="s">
        <v>74</v>
      </c>
      <c r="D709" s="1" t="s">
        <v>74</v>
      </c>
      <c r="E709" s="1" t="s">
        <v>74</v>
      </c>
      <c r="F709" s="1" t="s">
        <v>7163</v>
      </c>
      <c r="G709" s="1" t="s">
        <v>74</v>
      </c>
      <c r="H709" s="1" t="s">
        <v>74</v>
      </c>
      <c r="I709" s="1" t="s">
        <v>7164</v>
      </c>
      <c r="J709" s="1" t="s">
        <v>7165</v>
      </c>
      <c r="K709" s="1" t="s">
        <v>74</v>
      </c>
      <c r="L709" s="1" t="s">
        <v>74</v>
      </c>
      <c r="M709" s="1" t="s">
        <v>74</v>
      </c>
      <c r="N709" s="1" t="s">
        <v>74</v>
      </c>
      <c r="O709" s="1" t="s">
        <v>74</v>
      </c>
      <c r="P709" s="1" t="s">
        <v>74</v>
      </c>
      <c r="Q709" s="1" t="s">
        <v>74</v>
      </c>
      <c r="R709" s="1" t="s">
        <v>74</v>
      </c>
      <c r="S709" s="1" t="s">
        <v>74</v>
      </c>
      <c r="T709" s="1" t="s">
        <v>74</v>
      </c>
      <c r="U709" s="1" t="s">
        <v>74</v>
      </c>
      <c r="V709" s="1" t="s">
        <v>7166</v>
      </c>
      <c r="W709" s="1" t="s">
        <v>74</v>
      </c>
      <c r="X709" s="1" t="s">
        <v>74</v>
      </c>
      <c r="Y709" s="1" t="s">
        <v>74</v>
      </c>
      <c r="Z709" s="1" t="s">
        <v>74</v>
      </c>
      <c r="AA709" s="1" t="s">
        <v>7167</v>
      </c>
      <c r="AB709" s="1" t="s">
        <v>7168</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7169</v>
      </c>
      <c r="AP709" s="1" t="s">
        <v>7170</v>
      </c>
      <c r="AQ709" s="1" t="s">
        <v>74</v>
      </c>
      <c r="AR709" s="1" t="s">
        <v>74</v>
      </c>
      <c r="AS709" s="1" t="s">
        <v>74</v>
      </c>
      <c r="AT709" s="1" t="s">
        <v>877</v>
      </c>
      <c r="AU709" s="1">
        <v>2024.0</v>
      </c>
      <c r="AV709" s="1">
        <v>52.0</v>
      </c>
      <c r="AW709" s="1">
        <v>3.0</v>
      </c>
      <c r="AX709" s="1" t="s">
        <v>74</v>
      </c>
      <c r="AY709" s="1" t="s">
        <v>74</v>
      </c>
      <c r="AZ709" s="1" t="s">
        <v>74</v>
      </c>
      <c r="BA709" s="1" t="s">
        <v>74</v>
      </c>
      <c r="BB709" s="1">
        <v>583.0</v>
      </c>
      <c r="BC709" s="1">
        <v>602.0</v>
      </c>
      <c r="BD709" s="1" t="s">
        <v>74</v>
      </c>
      <c r="BE709" s="1" t="s">
        <v>7171</v>
      </c>
      <c r="BF709" s="2" t="str">
        <f>HYPERLINK("http://dx.doi.org/10.1111/psj.12527","http://dx.doi.org/10.1111/psj.12527")</f>
        <v>http://dx.doi.org/10.1111/psj.12527</v>
      </c>
      <c r="BG709" s="1" t="s">
        <v>74</v>
      </c>
      <c r="BH709" s="1" t="s">
        <v>5737</v>
      </c>
      <c r="BI709" s="1" t="s">
        <v>74</v>
      </c>
      <c r="BJ709" s="1" t="s">
        <v>74</v>
      </c>
      <c r="BK709" s="1" t="s">
        <v>74</v>
      </c>
      <c r="BL709" s="1" t="s">
        <v>74</v>
      </c>
      <c r="BM709" s="1" t="s">
        <v>74</v>
      </c>
      <c r="BN709" s="1" t="s">
        <v>74</v>
      </c>
      <c r="BO709" s="1" t="s">
        <v>74</v>
      </c>
      <c r="BP709" s="1" t="s">
        <v>74</v>
      </c>
      <c r="BQ709" s="1" t="s">
        <v>74</v>
      </c>
      <c r="BR709" s="1" t="s">
        <v>74</v>
      </c>
      <c r="BS709" s="1" t="s">
        <v>7172</v>
      </c>
      <c r="BT709" s="1" t="str">
        <f>HYPERLINK("https%3A%2F%2Fwww.webofscience.com%2Fwos%2Fwoscc%2Ffull-record%2FWOS:001149968700001","View Full Record in Web of Science")</f>
        <v>View Full Record in Web of Science</v>
      </c>
    </row>
    <row r="710" ht="12.75" customHeight="1">
      <c r="A710" s="1" t="s">
        <v>1844</v>
      </c>
      <c r="B710" s="1" t="s">
        <v>5304</v>
      </c>
      <c r="C710" s="1" t="s">
        <v>74</v>
      </c>
      <c r="D710" s="1" t="s">
        <v>5304</v>
      </c>
      <c r="E710" s="1" t="s">
        <v>74</v>
      </c>
      <c r="F710" s="1" t="s">
        <v>5305</v>
      </c>
      <c r="G710" s="1" t="s">
        <v>74</v>
      </c>
      <c r="H710" s="1" t="s">
        <v>74</v>
      </c>
      <c r="I710" s="1" t="s">
        <v>7173</v>
      </c>
      <c r="J710" s="1" t="s">
        <v>5307</v>
      </c>
      <c r="K710" s="1" t="s">
        <v>74</v>
      </c>
      <c r="L710" s="1" t="s">
        <v>74</v>
      </c>
      <c r="M710" s="1" t="s">
        <v>74</v>
      </c>
      <c r="N710" s="1" t="s">
        <v>74</v>
      </c>
      <c r="O710" s="1" t="s">
        <v>74</v>
      </c>
      <c r="P710" s="1" t="s">
        <v>74</v>
      </c>
      <c r="Q710" s="1" t="s">
        <v>74</v>
      </c>
      <c r="R710" s="1" t="s">
        <v>74</v>
      </c>
      <c r="S710" s="1" t="s">
        <v>74</v>
      </c>
      <c r="T710" s="1" t="s">
        <v>74</v>
      </c>
      <c r="U710" s="1" t="s">
        <v>74</v>
      </c>
      <c r="V710" s="1" t="s">
        <v>74</v>
      </c>
      <c r="W710" s="1" t="s">
        <v>74</v>
      </c>
      <c r="X710" s="1" t="s">
        <v>74</v>
      </c>
      <c r="Y710" s="1" t="s">
        <v>74</v>
      </c>
      <c r="Z710" s="1" t="s">
        <v>74</v>
      </c>
      <c r="AA710" s="1" t="s">
        <v>7174</v>
      </c>
      <c r="AB710" s="1" t="s">
        <v>74</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74</v>
      </c>
      <c r="AP710" s="1" t="s">
        <v>74</v>
      </c>
      <c r="AQ710" s="1" t="s">
        <v>5309</v>
      </c>
      <c r="AR710" s="1" t="s">
        <v>74</v>
      </c>
      <c r="AS710" s="1" t="s">
        <v>74</v>
      </c>
      <c r="AT710" s="1" t="s">
        <v>74</v>
      </c>
      <c r="AU710" s="1">
        <v>2024.0</v>
      </c>
      <c r="AV710" s="1" t="s">
        <v>74</v>
      </c>
      <c r="AW710" s="1" t="s">
        <v>74</v>
      </c>
      <c r="AX710" s="1" t="s">
        <v>74</v>
      </c>
      <c r="AY710" s="1" t="s">
        <v>74</v>
      </c>
      <c r="AZ710" s="1" t="s">
        <v>74</v>
      </c>
      <c r="BA710" s="1" t="s">
        <v>74</v>
      </c>
      <c r="BB710" s="1">
        <v>1.0</v>
      </c>
      <c r="BC710" s="1">
        <v>10.0</v>
      </c>
      <c r="BD710" s="1" t="s">
        <v>74</v>
      </c>
      <c r="BE710" s="1" t="s">
        <v>74</v>
      </c>
      <c r="BF710" s="1" t="s">
        <v>74</v>
      </c>
      <c r="BG710" s="1" t="s">
        <v>74</v>
      </c>
      <c r="BH710" s="1" t="s">
        <v>74</v>
      </c>
      <c r="BI710" s="1" t="s">
        <v>74</v>
      </c>
      <c r="BJ710" s="1" t="s">
        <v>74</v>
      </c>
      <c r="BK710" s="1" t="s">
        <v>74</v>
      </c>
      <c r="BL710" s="1" t="s">
        <v>74</v>
      </c>
      <c r="BM710" s="1" t="s">
        <v>74</v>
      </c>
      <c r="BN710" s="1" t="s">
        <v>74</v>
      </c>
      <c r="BO710" s="1" t="s">
        <v>74</v>
      </c>
      <c r="BP710" s="1" t="s">
        <v>74</v>
      </c>
      <c r="BQ710" s="1" t="s">
        <v>74</v>
      </c>
      <c r="BR710" s="1" t="s">
        <v>74</v>
      </c>
      <c r="BS710" s="1" t="s">
        <v>7175</v>
      </c>
      <c r="BT710" s="1" t="str">
        <f>HYPERLINK("https%3A%2F%2Fwww.webofscience.com%2Fwos%2Fwoscc%2Ffull-record%2FWOS:001356039600002","View Full Record in Web of Science")</f>
        <v>View Full Record in Web of Science</v>
      </c>
    </row>
    <row r="711" ht="12.75" customHeight="1">
      <c r="A711" s="1" t="s">
        <v>72</v>
      </c>
      <c r="B711" s="1" t="s">
        <v>7176</v>
      </c>
      <c r="C711" s="1" t="s">
        <v>74</v>
      </c>
      <c r="D711" s="1" t="s">
        <v>74</v>
      </c>
      <c r="E711" s="1" t="s">
        <v>74</v>
      </c>
      <c r="F711" s="1" t="s">
        <v>7177</v>
      </c>
      <c r="G711" s="1" t="s">
        <v>74</v>
      </c>
      <c r="H711" s="1" t="s">
        <v>74</v>
      </c>
      <c r="I711" s="1" t="s">
        <v>7178</v>
      </c>
      <c r="J711" s="1" t="s">
        <v>7179</v>
      </c>
      <c r="K711" s="1" t="s">
        <v>74</v>
      </c>
      <c r="L711" s="1" t="s">
        <v>74</v>
      </c>
      <c r="M711" s="1" t="s">
        <v>74</v>
      </c>
      <c r="N711" s="1" t="s">
        <v>74</v>
      </c>
      <c r="O711" s="1" t="s">
        <v>74</v>
      </c>
      <c r="P711" s="1" t="s">
        <v>74</v>
      </c>
      <c r="Q711" s="1" t="s">
        <v>74</v>
      </c>
      <c r="R711" s="1" t="s">
        <v>74</v>
      </c>
      <c r="S711" s="1" t="s">
        <v>74</v>
      </c>
      <c r="T711" s="1" t="s">
        <v>74</v>
      </c>
      <c r="U711" s="1" t="s">
        <v>74</v>
      </c>
      <c r="V711" s="1" t="s">
        <v>7180</v>
      </c>
      <c r="W711" s="1" t="s">
        <v>74</v>
      </c>
      <c r="X711" s="1" t="s">
        <v>74</v>
      </c>
      <c r="Y711" s="1" t="s">
        <v>74</v>
      </c>
      <c r="Z711" s="1" t="s">
        <v>74</v>
      </c>
      <c r="AA711" s="1" t="s">
        <v>5951</v>
      </c>
      <c r="AB711" s="1" t="s">
        <v>7181</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74</v>
      </c>
      <c r="AP711" s="1" t="s">
        <v>7182</v>
      </c>
      <c r="AQ711" s="1" t="s">
        <v>74</v>
      </c>
      <c r="AR711" s="1" t="s">
        <v>74</v>
      </c>
      <c r="AS711" s="1" t="s">
        <v>74</v>
      </c>
      <c r="AT711" s="1" t="s">
        <v>7183</v>
      </c>
      <c r="AU711" s="1">
        <v>2023.0</v>
      </c>
      <c r="AV711" s="1">
        <v>5.0</v>
      </c>
      <c r="AW711" s="1">
        <v>1.0</v>
      </c>
      <c r="AX711" s="1" t="s">
        <v>74</v>
      </c>
      <c r="AY711" s="1" t="s">
        <v>74</v>
      </c>
      <c r="AZ711" s="1" t="s">
        <v>74</v>
      </c>
      <c r="BA711" s="1" t="s">
        <v>74</v>
      </c>
      <c r="BB711" s="1" t="s">
        <v>74</v>
      </c>
      <c r="BC711" s="1" t="s">
        <v>74</v>
      </c>
      <c r="BD711" s="1">
        <v>2194369.0</v>
      </c>
      <c r="BE711" s="1" t="s">
        <v>7184</v>
      </c>
      <c r="BF711" s="2" t="str">
        <f>HYPERLINK("http://dx.doi.org/10.1080/2474736X.2023.2194369","http://dx.doi.org/10.1080/2474736X.2023.2194369")</f>
        <v>http://dx.doi.org/10.1080/2474736X.2023.2194369</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7185</v>
      </c>
      <c r="BT711" s="1" t="str">
        <f>HYPERLINK("https%3A%2F%2Fwww.webofscience.com%2Fwos%2Fwoscc%2Ffull-record%2FWOS:000960584700001","View Full Record in Web of Science")</f>
        <v>View Full Record in Web of Science</v>
      </c>
    </row>
    <row r="712" ht="12.75" customHeight="1">
      <c r="A712" s="1" t="s">
        <v>72</v>
      </c>
      <c r="B712" s="1" t="s">
        <v>7186</v>
      </c>
      <c r="C712" s="1" t="s">
        <v>74</v>
      </c>
      <c r="D712" s="1" t="s">
        <v>74</v>
      </c>
      <c r="E712" s="1" t="s">
        <v>74</v>
      </c>
      <c r="F712" s="1" t="s">
        <v>7187</v>
      </c>
      <c r="G712" s="1" t="s">
        <v>74</v>
      </c>
      <c r="H712" s="1" t="s">
        <v>74</v>
      </c>
      <c r="I712" s="1" t="s">
        <v>7188</v>
      </c>
      <c r="J712" s="1" t="s">
        <v>1140</v>
      </c>
      <c r="K712" s="1" t="s">
        <v>74</v>
      </c>
      <c r="L712" s="1" t="s">
        <v>74</v>
      </c>
      <c r="M712" s="1" t="s">
        <v>74</v>
      </c>
      <c r="N712" s="1" t="s">
        <v>74</v>
      </c>
      <c r="O712" s="1" t="s">
        <v>74</v>
      </c>
      <c r="P712" s="1" t="s">
        <v>74</v>
      </c>
      <c r="Q712" s="1" t="s">
        <v>74</v>
      </c>
      <c r="R712" s="1" t="s">
        <v>74</v>
      </c>
      <c r="S712" s="1" t="s">
        <v>74</v>
      </c>
      <c r="T712" s="1" t="s">
        <v>74</v>
      </c>
      <c r="U712" s="1" t="s">
        <v>74</v>
      </c>
      <c r="V712" s="1" t="s">
        <v>7189</v>
      </c>
      <c r="W712" s="1" t="s">
        <v>74</v>
      </c>
      <c r="X712" s="1" t="s">
        <v>74</v>
      </c>
      <c r="Y712" s="1" t="s">
        <v>74</v>
      </c>
      <c r="Z712" s="1" t="s">
        <v>74</v>
      </c>
      <c r="AA712" s="1" t="s">
        <v>7190</v>
      </c>
      <c r="AB712" s="1" t="s">
        <v>7191</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1144</v>
      </c>
      <c r="AP712" s="1" t="s">
        <v>1145</v>
      </c>
      <c r="AQ712" s="1" t="s">
        <v>74</v>
      </c>
      <c r="AR712" s="1" t="s">
        <v>74</v>
      </c>
      <c r="AS712" s="1" t="s">
        <v>74</v>
      </c>
      <c r="AT712" s="1" t="s">
        <v>241</v>
      </c>
      <c r="AU712" s="1">
        <v>2023.0</v>
      </c>
      <c r="AV712" s="1">
        <v>144.0</v>
      </c>
      <c r="AW712" s="1" t="s">
        <v>74</v>
      </c>
      <c r="AX712" s="1" t="s">
        <v>74</v>
      </c>
      <c r="AY712" s="1" t="s">
        <v>74</v>
      </c>
      <c r="AZ712" s="1" t="s">
        <v>74</v>
      </c>
      <c r="BA712" s="1" t="s">
        <v>74</v>
      </c>
      <c r="BB712" s="1" t="s">
        <v>74</v>
      </c>
      <c r="BC712" s="1" t="s">
        <v>74</v>
      </c>
      <c r="BD712" s="1">
        <v>110474.0</v>
      </c>
      <c r="BE712" s="1" t="s">
        <v>7192</v>
      </c>
      <c r="BF712" s="2" t="str">
        <f>HYPERLINK("http://dx.doi.org/10.1016/j.asoc.2023.110474","http://dx.doi.org/10.1016/j.asoc.2023.110474")</f>
        <v>http://dx.doi.org/10.1016/j.asoc.2023.110474</v>
      </c>
      <c r="BG712" s="1" t="s">
        <v>74</v>
      </c>
      <c r="BH712" s="1" t="s">
        <v>4951</v>
      </c>
      <c r="BI712" s="1" t="s">
        <v>74</v>
      </c>
      <c r="BJ712" s="1" t="s">
        <v>74</v>
      </c>
      <c r="BK712" s="1" t="s">
        <v>74</v>
      </c>
      <c r="BL712" s="1" t="s">
        <v>74</v>
      </c>
      <c r="BM712" s="1" t="s">
        <v>74</v>
      </c>
      <c r="BN712" s="1" t="s">
        <v>74</v>
      </c>
      <c r="BO712" s="1" t="s">
        <v>74</v>
      </c>
      <c r="BP712" s="1" t="s">
        <v>74</v>
      </c>
      <c r="BQ712" s="1" t="s">
        <v>74</v>
      </c>
      <c r="BR712" s="1" t="s">
        <v>74</v>
      </c>
      <c r="BS712" s="1" t="s">
        <v>7193</v>
      </c>
      <c r="BT712" s="1" t="str">
        <f>HYPERLINK("https%3A%2F%2Fwww.webofscience.com%2Fwos%2Fwoscc%2Ffull-record%2FWOS:001055511700001","View Full Record in Web of Science")</f>
        <v>View Full Record in Web of Science</v>
      </c>
    </row>
    <row r="713" ht="12.75" customHeight="1">
      <c r="A713" s="1" t="s">
        <v>72</v>
      </c>
      <c r="B713" s="1" t="s">
        <v>7194</v>
      </c>
      <c r="C713" s="1" t="s">
        <v>74</v>
      </c>
      <c r="D713" s="1" t="s">
        <v>74</v>
      </c>
      <c r="E713" s="1" t="s">
        <v>74</v>
      </c>
      <c r="F713" s="1" t="s">
        <v>7195</v>
      </c>
      <c r="G713" s="1" t="s">
        <v>74</v>
      </c>
      <c r="H713" s="1" t="s">
        <v>74</v>
      </c>
      <c r="I713" s="1" t="s">
        <v>7196</v>
      </c>
      <c r="J713" s="1" t="s">
        <v>7197</v>
      </c>
      <c r="K713" s="1" t="s">
        <v>74</v>
      </c>
      <c r="L713" s="1" t="s">
        <v>74</v>
      </c>
      <c r="M713" s="1" t="s">
        <v>74</v>
      </c>
      <c r="N713" s="1" t="s">
        <v>74</v>
      </c>
      <c r="O713" s="1" t="s">
        <v>74</v>
      </c>
      <c r="P713" s="1" t="s">
        <v>74</v>
      </c>
      <c r="Q713" s="1" t="s">
        <v>74</v>
      </c>
      <c r="R713" s="1" t="s">
        <v>74</v>
      </c>
      <c r="S713" s="1" t="s">
        <v>74</v>
      </c>
      <c r="T713" s="1" t="s">
        <v>74</v>
      </c>
      <c r="U713" s="1" t="s">
        <v>74</v>
      </c>
      <c r="V713" s="1" t="s">
        <v>7198</v>
      </c>
      <c r="W713" s="1" t="s">
        <v>74</v>
      </c>
      <c r="X713" s="1" t="s">
        <v>74</v>
      </c>
      <c r="Y713" s="1" t="s">
        <v>74</v>
      </c>
      <c r="Z713" s="1" t="s">
        <v>74</v>
      </c>
      <c r="AA713" s="1" t="s">
        <v>7199</v>
      </c>
      <c r="AB713" s="1" t="s">
        <v>7200</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7201</v>
      </c>
      <c r="AP713" s="1" t="s">
        <v>7202</v>
      </c>
      <c r="AQ713" s="1" t="s">
        <v>74</v>
      </c>
      <c r="AR713" s="1" t="s">
        <v>74</v>
      </c>
      <c r="AS713" s="1" t="s">
        <v>74</v>
      </c>
      <c r="AT713" s="1" t="s">
        <v>877</v>
      </c>
      <c r="AU713" s="1">
        <v>2022.0</v>
      </c>
      <c r="AV713" s="1">
        <v>714.0</v>
      </c>
      <c r="AW713" s="1" t="s">
        <v>74</v>
      </c>
      <c r="AX713" s="1" t="s">
        <v>74</v>
      </c>
      <c r="AY713" s="1" t="s">
        <v>74</v>
      </c>
      <c r="AZ713" s="1" t="s">
        <v>74</v>
      </c>
      <c r="BA713" s="1" t="s">
        <v>74</v>
      </c>
      <c r="BB713" s="1" t="s">
        <v>74</v>
      </c>
      <c r="BC713" s="1" t="s">
        <v>74</v>
      </c>
      <c r="BD713" s="1">
        <v>179262.0</v>
      </c>
      <c r="BE713" s="1" t="s">
        <v>7203</v>
      </c>
      <c r="BF713" s="2" t="str">
        <f>HYPERLINK("http://dx.doi.org/10.1016/j.tca.2022.179262","http://dx.doi.org/10.1016/j.tca.2022.179262")</f>
        <v>http://dx.doi.org/10.1016/j.tca.2022.179262</v>
      </c>
      <c r="BG713" s="1" t="s">
        <v>74</v>
      </c>
      <c r="BH713" s="1" t="s">
        <v>732</v>
      </c>
      <c r="BI713" s="1" t="s">
        <v>74</v>
      </c>
      <c r="BJ713" s="1" t="s">
        <v>74</v>
      </c>
      <c r="BK713" s="1" t="s">
        <v>74</v>
      </c>
      <c r="BL713" s="1" t="s">
        <v>74</v>
      </c>
      <c r="BM713" s="1" t="s">
        <v>74</v>
      </c>
      <c r="BN713" s="1" t="s">
        <v>74</v>
      </c>
      <c r="BO713" s="1" t="s">
        <v>74</v>
      </c>
      <c r="BP713" s="1" t="s">
        <v>74</v>
      </c>
      <c r="BQ713" s="1" t="s">
        <v>74</v>
      </c>
      <c r="BR713" s="1" t="s">
        <v>74</v>
      </c>
      <c r="BS713" s="1" t="s">
        <v>7204</v>
      </c>
      <c r="BT713" s="1" t="str">
        <f>HYPERLINK("https%3A%2F%2Fwww.webofscience.com%2Fwos%2Fwoscc%2Ffull-record%2FWOS:000821034700008","View Full Record in Web of Science")</f>
        <v>View Full Record in Web of Science</v>
      </c>
    </row>
    <row r="714" ht="12.75" customHeight="1">
      <c r="A714" s="1" t="s">
        <v>72</v>
      </c>
      <c r="B714" s="1" t="s">
        <v>7205</v>
      </c>
      <c r="C714" s="1" t="s">
        <v>74</v>
      </c>
      <c r="D714" s="1" t="s">
        <v>74</v>
      </c>
      <c r="E714" s="1" t="s">
        <v>74</v>
      </c>
      <c r="F714" s="1" t="s">
        <v>7206</v>
      </c>
      <c r="G714" s="1" t="s">
        <v>74</v>
      </c>
      <c r="H714" s="1" t="s">
        <v>74</v>
      </c>
      <c r="I714" s="1" t="s">
        <v>7207</v>
      </c>
      <c r="J714" s="1" t="s">
        <v>5241</v>
      </c>
      <c r="K714" s="1" t="s">
        <v>74</v>
      </c>
      <c r="L714" s="1" t="s">
        <v>74</v>
      </c>
      <c r="M714" s="1" t="s">
        <v>74</v>
      </c>
      <c r="N714" s="1" t="s">
        <v>74</v>
      </c>
      <c r="O714" s="1" t="s">
        <v>74</v>
      </c>
      <c r="P714" s="1" t="s">
        <v>74</v>
      </c>
      <c r="Q714" s="1" t="s">
        <v>74</v>
      </c>
      <c r="R714" s="1" t="s">
        <v>74</v>
      </c>
      <c r="S714" s="1" t="s">
        <v>74</v>
      </c>
      <c r="T714" s="1" t="s">
        <v>74</v>
      </c>
      <c r="U714" s="1" t="s">
        <v>74</v>
      </c>
      <c r="V714" s="1" t="s">
        <v>7208</v>
      </c>
      <c r="W714" s="1" t="s">
        <v>74</v>
      </c>
      <c r="X714" s="1" t="s">
        <v>74</v>
      </c>
      <c r="Y714" s="1" t="s">
        <v>74</v>
      </c>
      <c r="Z714" s="1" t="s">
        <v>74</v>
      </c>
      <c r="AA714" s="1" t="s">
        <v>7209</v>
      </c>
      <c r="AB714" s="1" t="s">
        <v>7210</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5245</v>
      </c>
      <c r="AP714" s="1" t="s">
        <v>5246</v>
      </c>
      <c r="AQ714" s="1" t="s">
        <v>74</v>
      </c>
      <c r="AR714" s="1" t="s">
        <v>74</v>
      </c>
      <c r="AS714" s="1" t="s">
        <v>74</v>
      </c>
      <c r="AT714" s="1" t="s">
        <v>7211</v>
      </c>
      <c r="AU714" s="1">
        <v>2022.0</v>
      </c>
      <c r="AV714" s="1">
        <v>105.0</v>
      </c>
      <c r="AW714" s="1">
        <v>10.0</v>
      </c>
      <c r="AX714" s="1" t="s">
        <v>74</v>
      </c>
      <c r="AY714" s="1" t="s">
        <v>74</v>
      </c>
      <c r="AZ714" s="1" t="s">
        <v>74</v>
      </c>
      <c r="BA714" s="1" t="s">
        <v>74</v>
      </c>
      <c r="BB714" s="1" t="s">
        <v>74</v>
      </c>
      <c r="BC714" s="1" t="s">
        <v>74</v>
      </c>
      <c r="BD714" s="1">
        <v>104430.0</v>
      </c>
      <c r="BE714" s="1" t="s">
        <v>7212</v>
      </c>
      <c r="BF714" s="2" t="str">
        <f>HYPERLINK("http://dx.doi.org/10.1103/PhysRevB.105.104430","http://dx.doi.org/10.1103/PhysRevB.105.104430")</f>
        <v>http://dx.doi.org/10.1103/PhysRevB.105.104430</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7213</v>
      </c>
      <c r="BT714" s="1" t="str">
        <f>HYPERLINK("https%3A%2F%2Fwww.webofscience.com%2Fwos%2Fwoscc%2Ffull-record%2FWOS:000800791500007","View Full Record in Web of Science")</f>
        <v>View Full Record in Web of Science</v>
      </c>
    </row>
    <row r="715" ht="12.75" customHeight="1">
      <c r="A715" s="1" t="s">
        <v>72</v>
      </c>
      <c r="B715" s="1" t="s">
        <v>7214</v>
      </c>
      <c r="C715" s="1" t="s">
        <v>74</v>
      </c>
      <c r="D715" s="1" t="s">
        <v>74</v>
      </c>
      <c r="E715" s="1" t="s">
        <v>74</v>
      </c>
      <c r="F715" s="1" t="s">
        <v>7215</v>
      </c>
      <c r="G715" s="1" t="s">
        <v>74</v>
      </c>
      <c r="H715" s="1" t="s">
        <v>74</v>
      </c>
      <c r="I715" s="1" t="s">
        <v>7216</v>
      </c>
      <c r="J715" s="1" t="s">
        <v>7217</v>
      </c>
      <c r="K715" s="1" t="s">
        <v>74</v>
      </c>
      <c r="L715" s="1" t="s">
        <v>74</v>
      </c>
      <c r="M715" s="1" t="s">
        <v>74</v>
      </c>
      <c r="N715" s="1" t="s">
        <v>74</v>
      </c>
      <c r="O715" s="1" t="s">
        <v>74</v>
      </c>
      <c r="P715" s="1" t="s">
        <v>74</v>
      </c>
      <c r="Q715" s="1" t="s">
        <v>74</v>
      </c>
      <c r="R715" s="1" t="s">
        <v>74</v>
      </c>
      <c r="S715" s="1" t="s">
        <v>74</v>
      </c>
      <c r="T715" s="1" t="s">
        <v>74</v>
      </c>
      <c r="U715" s="1" t="s">
        <v>74</v>
      </c>
      <c r="V715" s="1" t="s">
        <v>7218</v>
      </c>
      <c r="W715" s="1" t="s">
        <v>74</v>
      </c>
      <c r="X715" s="1" t="s">
        <v>74</v>
      </c>
      <c r="Y715" s="1" t="s">
        <v>74</v>
      </c>
      <c r="Z715" s="1" t="s">
        <v>74</v>
      </c>
      <c r="AA715" s="1" t="s">
        <v>7219</v>
      </c>
      <c r="AB715" s="1" t="s">
        <v>7220</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7221</v>
      </c>
      <c r="AP715" s="1" t="s">
        <v>7222</v>
      </c>
      <c r="AQ715" s="1" t="s">
        <v>74</v>
      </c>
      <c r="AR715" s="1" t="s">
        <v>74</v>
      </c>
      <c r="AS715" s="1" t="s">
        <v>74</v>
      </c>
      <c r="AT715" s="1" t="s">
        <v>94</v>
      </c>
      <c r="AU715" s="1">
        <v>2022.0</v>
      </c>
      <c r="AV715" s="1">
        <v>54.0</v>
      </c>
      <c r="AW715" s="1">
        <v>4.0</v>
      </c>
      <c r="AX715" s="1" t="s">
        <v>74</v>
      </c>
      <c r="AY715" s="1" t="s">
        <v>74</v>
      </c>
      <c r="AZ715" s="1" t="s">
        <v>74</v>
      </c>
      <c r="BA715" s="1" t="s">
        <v>74</v>
      </c>
      <c r="BB715" s="1">
        <v>711.0</v>
      </c>
      <c r="BC715" s="1">
        <v>743.0</v>
      </c>
      <c r="BD715" s="1" t="s">
        <v>74</v>
      </c>
      <c r="BE715" s="1" t="s">
        <v>7223</v>
      </c>
      <c r="BF715" s="2" t="str">
        <f>HYPERLINK("http://dx.doi.org/10.1007/s11004-021-09984-4","http://dx.doi.org/10.1007/s11004-021-09984-4")</f>
        <v>http://dx.doi.org/10.1007/s11004-021-09984-4</v>
      </c>
      <c r="BG715" s="1" t="s">
        <v>74</v>
      </c>
      <c r="BH715" s="1" t="s">
        <v>345</v>
      </c>
      <c r="BI715" s="1" t="s">
        <v>74</v>
      </c>
      <c r="BJ715" s="1" t="s">
        <v>74</v>
      </c>
      <c r="BK715" s="1" t="s">
        <v>74</v>
      </c>
      <c r="BL715" s="1" t="s">
        <v>74</v>
      </c>
      <c r="BM715" s="1" t="s">
        <v>74</v>
      </c>
      <c r="BN715" s="1" t="s">
        <v>74</v>
      </c>
      <c r="BO715" s="1" t="s">
        <v>74</v>
      </c>
      <c r="BP715" s="1" t="s">
        <v>74</v>
      </c>
      <c r="BQ715" s="1" t="s">
        <v>74</v>
      </c>
      <c r="BR715" s="1" t="s">
        <v>74</v>
      </c>
      <c r="BS715" s="1" t="s">
        <v>7224</v>
      </c>
      <c r="BT715" s="1" t="str">
        <f>HYPERLINK("https%3A%2F%2Fwww.webofscience.com%2Fwos%2Fwoscc%2Ffull-record%2FWOS:000725900700001","View Full Record in Web of Science")</f>
        <v>View Full Record in Web of Science</v>
      </c>
    </row>
    <row r="716" ht="12.75" customHeight="1">
      <c r="A716" s="1" t="s">
        <v>72</v>
      </c>
      <c r="B716" s="1" t="s">
        <v>3884</v>
      </c>
      <c r="C716" s="1" t="s">
        <v>74</v>
      </c>
      <c r="D716" s="1" t="s">
        <v>74</v>
      </c>
      <c r="E716" s="1" t="s">
        <v>74</v>
      </c>
      <c r="F716" s="1" t="s">
        <v>7225</v>
      </c>
      <c r="G716" s="1" t="s">
        <v>74</v>
      </c>
      <c r="H716" s="1" t="s">
        <v>74</v>
      </c>
      <c r="I716" s="1" t="s">
        <v>7226</v>
      </c>
      <c r="J716" s="1" t="s">
        <v>3887</v>
      </c>
      <c r="K716" s="1" t="s">
        <v>74</v>
      </c>
      <c r="L716" s="1" t="s">
        <v>74</v>
      </c>
      <c r="M716" s="1" t="s">
        <v>74</v>
      </c>
      <c r="N716" s="1" t="s">
        <v>74</v>
      </c>
      <c r="O716" s="1" t="s">
        <v>74</v>
      </c>
      <c r="P716" s="1" t="s">
        <v>74</v>
      </c>
      <c r="Q716" s="1" t="s">
        <v>74</v>
      </c>
      <c r="R716" s="1" t="s">
        <v>74</v>
      </c>
      <c r="S716" s="1" t="s">
        <v>74</v>
      </c>
      <c r="T716" s="1" t="s">
        <v>74</v>
      </c>
      <c r="U716" s="1" t="s">
        <v>74</v>
      </c>
      <c r="V716" s="1" t="s">
        <v>7227</v>
      </c>
      <c r="W716" s="1" t="s">
        <v>74</v>
      </c>
      <c r="X716" s="1" t="s">
        <v>74</v>
      </c>
      <c r="Y716" s="1" t="s">
        <v>74</v>
      </c>
      <c r="Z716" s="1" t="s">
        <v>74</v>
      </c>
      <c r="AA716" s="1" t="s">
        <v>362</v>
      </c>
      <c r="AB716" s="1" t="s">
        <v>7228</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3891</v>
      </c>
      <c r="AP716" s="1" t="s">
        <v>3892</v>
      </c>
      <c r="AQ716" s="1" t="s">
        <v>74</v>
      </c>
      <c r="AR716" s="1" t="s">
        <v>74</v>
      </c>
      <c r="AS716" s="1" t="s">
        <v>74</v>
      </c>
      <c r="AT716" s="1" t="s">
        <v>7229</v>
      </c>
      <c r="AU716" s="1">
        <v>2021.0</v>
      </c>
      <c r="AV716" s="1">
        <v>21.0</v>
      </c>
      <c r="AW716" s="1">
        <v>6.0</v>
      </c>
      <c r="AX716" s="1" t="s">
        <v>74</v>
      </c>
      <c r="AY716" s="1" t="s">
        <v>74</v>
      </c>
      <c r="AZ716" s="1" t="s">
        <v>74</v>
      </c>
      <c r="BA716" s="1" t="s">
        <v>74</v>
      </c>
      <c r="BB716" s="1">
        <v>1140.0</v>
      </c>
      <c r="BC716" s="1">
        <v>1148.0</v>
      </c>
      <c r="BD716" s="1" t="s">
        <v>74</v>
      </c>
      <c r="BE716" s="1" t="s">
        <v>7230</v>
      </c>
      <c r="BF716" s="2" t="str">
        <f>HYPERLINK("http://dx.doi.org/10.1080/24748668.2021.1979839","http://dx.doi.org/10.1080/24748668.2021.1979839")</f>
        <v>http://dx.doi.org/10.1080/24748668.2021.1979839</v>
      </c>
      <c r="BG716" s="1" t="s">
        <v>74</v>
      </c>
      <c r="BH716" s="1" t="s">
        <v>2817</v>
      </c>
      <c r="BI716" s="1" t="s">
        <v>74</v>
      </c>
      <c r="BJ716" s="1" t="s">
        <v>74</v>
      </c>
      <c r="BK716" s="1" t="s">
        <v>74</v>
      </c>
      <c r="BL716" s="1" t="s">
        <v>74</v>
      </c>
      <c r="BM716" s="1" t="s">
        <v>74</v>
      </c>
      <c r="BN716" s="1" t="s">
        <v>74</v>
      </c>
      <c r="BO716" s="1" t="s">
        <v>74</v>
      </c>
      <c r="BP716" s="1" t="s">
        <v>74</v>
      </c>
      <c r="BQ716" s="1" t="s">
        <v>74</v>
      </c>
      <c r="BR716" s="1" t="s">
        <v>74</v>
      </c>
      <c r="BS716" s="1" t="s">
        <v>7231</v>
      </c>
      <c r="BT716" s="1" t="str">
        <f>HYPERLINK("https%3A%2F%2Fwww.webofscience.com%2Fwos%2Fwoscc%2Ffull-record%2FWOS:000713961200001","View Full Record in Web of Science")</f>
        <v>View Full Record in Web of Science</v>
      </c>
    </row>
    <row r="717" ht="12.75" customHeight="1">
      <c r="A717" s="1" t="s">
        <v>72</v>
      </c>
      <c r="B717" s="1" t="s">
        <v>7232</v>
      </c>
      <c r="C717" s="1" t="s">
        <v>74</v>
      </c>
      <c r="D717" s="1" t="s">
        <v>74</v>
      </c>
      <c r="E717" s="1" t="s">
        <v>74</v>
      </c>
      <c r="F717" s="1" t="s">
        <v>7233</v>
      </c>
      <c r="G717" s="1" t="s">
        <v>74</v>
      </c>
      <c r="H717" s="1" t="s">
        <v>74</v>
      </c>
      <c r="I717" s="1" t="s">
        <v>7234</v>
      </c>
      <c r="J717" s="1" t="s">
        <v>1695</v>
      </c>
      <c r="K717" s="1" t="s">
        <v>74</v>
      </c>
      <c r="L717" s="1" t="s">
        <v>74</v>
      </c>
      <c r="M717" s="1" t="s">
        <v>74</v>
      </c>
      <c r="N717" s="1" t="s">
        <v>74</v>
      </c>
      <c r="O717" s="1" t="s">
        <v>74</v>
      </c>
      <c r="P717" s="1" t="s">
        <v>74</v>
      </c>
      <c r="Q717" s="1" t="s">
        <v>74</v>
      </c>
      <c r="R717" s="1" t="s">
        <v>74</v>
      </c>
      <c r="S717" s="1" t="s">
        <v>74</v>
      </c>
      <c r="T717" s="1" t="s">
        <v>74</v>
      </c>
      <c r="U717" s="1" t="s">
        <v>74</v>
      </c>
      <c r="V717" s="1" t="s">
        <v>7235</v>
      </c>
      <c r="W717" s="1" t="s">
        <v>74</v>
      </c>
      <c r="X717" s="1" t="s">
        <v>74</v>
      </c>
      <c r="Y717" s="1" t="s">
        <v>74</v>
      </c>
      <c r="Z717" s="1" t="s">
        <v>74</v>
      </c>
      <c r="AA717" s="1" t="s">
        <v>7236</v>
      </c>
      <c r="AB717" s="1" t="s">
        <v>7237</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74</v>
      </c>
      <c r="AP717" s="1" t="s">
        <v>1699</v>
      </c>
      <c r="AQ717" s="1" t="s">
        <v>74</v>
      </c>
      <c r="AR717" s="1" t="s">
        <v>74</v>
      </c>
      <c r="AS717" s="1" t="s">
        <v>74</v>
      </c>
      <c r="AT717" s="1" t="s">
        <v>385</v>
      </c>
      <c r="AU717" s="1">
        <v>2021.0</v>
      </c>
      <c r="AV717" s="1">
        <v>26.0</v>
      </c>
      <c r="AW717" s="1">
        <v>12.0</v>
      </c>
      <c r="AX717" s="1" t="s">
        <v>74</v>
      </c>
      <c r="AY717" s="1" t="s">
        <v>74</v>
      </c>
      <c r="AZ717" s="1" t="s">
        <v>74</v>
      </c>
      <c r="BA717" s="1" t="s">
        <v>74</v>
      </c>
      <c r="BB717" s="1" t="s">
        <v>74</v>
      </c>
      <c r="BC717" s="1" t="s">
        <v>74</v>
      </c>
      <c r="BD717" s="1">
        <v>3760.0</v>
      </c>
      <c r="BE717" s="1" t="s">
        <v>7238</v>
      </c>
      <c r="BF717" s="2" t="str">
        <f>HYPERLINK("http://dx.doi.org/10.3390/molecules26123760","http://dx.doi.org/10.3390/molecules26123760")</f>
        <v>http://dx.doi.org/10.3390/molecules26123760</v>
      </c>
      <c r="BG717" s="1" t="s">
        <v>74</v>
      </c>
      <c r="BH717" s="1" t="s">
        <v>74</v>
      </c>
      <c r="BI717" s="1" t="s">
        <v>74</v>
      </c>
      <c r="BJ717" s="1" t="s">
        <v>74</v>
      </c>
      <c r="BK717" s="1" t="s">
        <v>74</v>
      </c>
      <c r="BL717" s="1" t="s">
        <v>74</v>
      </c>
      <c r="BM717" s="1" t="s">
        <v>74</v>
      </c>
      <c r="BN717" s="1">
        <v>3.4205516E7</v>
      </c>
      <c r="BO717" s="1" t="s">
        <v>74</v>
      </c>
      <c r="BP717" s="1" t="s">
        <v>74</v>
      </c>
      <c r="BQ717" s="1" t="s">
        <v>74</v>
      </c>
      <c r="BR717" s="1" t="s">
        <v>74</v>
      </c>
      <c r="BS717" s="1" t="s">
        <v>7239</v>
      </c>
      <c r="BT717" s="1" t="str">
        <f>HYPERLINK("https%3A%2F%2Fwww.webofscience.com%2Fwos%2Fwoscc%2Ffull-record%2FWOS:000666504200001","View Full Record in Web of Science")</f>
        <v>View Full Record in Web of Science</v>
      </c>
    </row>
    <row r="718" ht="12.75" customHeight="1">
      <c r="A718" s="1" t="s">
        <v>72</v>
      </c>
      <c r="B718" s="1" t="s">
        <v>7240</v>
      </c>
      <c r="C718" s="1" t="s">
        <v>74</v>
      </c>
      <c r="D718" s="1" t="s">
        <v>74</v>
      </c>
      <c r="E718" s="1" t="s">
        <v>74</v>
      </c>
      <c r="F718" s="1" t="s">
        <v>7241</v>
      </c>
      <c r="G718" s="1" t="s">
        <v>74</v>
      </c>
      <c r="H718" s="1" t="s">
        <v>74</v>
      </c>
      <c r="I718" s="1" t="s">
        <v>7242</v>
      </c>
      <c r="J718" s="1" t="s">
        <v>4819</v>
      </c>
      <c r="K718" s="1" t="s">
        <v>74</v>
      </c>
      <c r="L718" s="1" t="s">
        <v>74</v>
      </c>
      <c r="M718" s="1" t="s">
        <v>74</v>
      </c>
      <c r="N718" s="1" t="s">
        <v>74</v>
      </c>
      <c r="O718" s="1" t="s">
        <v>74</v>
      </c>
      <c r="P718" s="1" t="s">
        <v>74</v>
      </c>
      <c r="Q718" s="1" t="s">
        <v>74</v>
      </c>
      <c r="R718" s="1" t="s">
        <v>74</v>
      </c>
      <c r="S718" s="1" t="s">
        <v>74</v>
      </c>
      <c r="T718" s="1" t="s">
        <v>74</v>
      </c>
      <c r="U718" s="1" t="s">
        <v>74</v>
      </c>
      <c r="V718" s="1" t="s">
        <v>7243</v>
      </c>
      <c r="W718" s="1" t="s">
        <v>74</v>
      </c>
      <c r="X718" s="1" t="s">
        <v>74</v>
      </c>
      <c r="Y718" s="1" t="s">
        <v>74</v>
      </c>
      <c r="Z718" s="1" t="s">
        <v>74</v>
      </c>
      <c r="AA718" s="1" t="s">
        <v>7244</v>
      </c>
      <c r="AB718" s="1" t="s">
        <v>7245</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4823</v>
      </c>
      <c r="AP718" s="1" t="s">
        <v>5005</v>
      </c>
      <c r="AQ718" s="1" t="s">
        <v>74</v>
      </c>
      <c r="AR718" s="1" t="s">
        <v>74</v>
      </c>
      <c r="AS718" s="1" t="s">
        <v>74</v>
      </c>
      <c r="AT718" s="1" t="s">
        <v>385</v>
      </c>
      <c r="AU718" s="1">
        <v>2021.0</v>
      </c>
      <c r="AV718" s="1">
        <v>25.0</v>
      </c>
      <c r="AW718" s="1">
        <v>6.0</v>
      </c>
      <c r="AX718" s="1" t="s">
        <v>74</v>
      </c>
      <c r="AY718" s="1" t="s">
        <v>74</v>
      </c>
      <c r="AZ718" s="1" t="s">
        <v>74</v>
      </c>
      <c r="BA718" s="1" t="s">
        <v>74</v>
      </c>
      <c r="BB718" s="1">
        <v>1881.0</v>
      </c>
      <c r="BC718" s="1">
        <v>1888.0</v>
      </c>
      <c r="BD718" s="1" t="s">
        <v>74</v>
      </c>
      <c r="BE718" s="1" t="s">
        <v>7246</v>
      </c>
      <c r="BF718" s="2" t="str">
        <f>HYPERLINK("http://dx.doi.org/10.1007/s10008-021-04960-8","http://dx.doi.org/10.1007/s10008-021-04960-8")</f>
        <v>http://dx.doi.org/10.1007/s10008-021-04960-8</v>
      </c>
      <c r="BG718" s="1" t="s">
        <v>74</v>
      </c>
      <c r="BH718" s="1" t="s">
        <v>2434</v>
      </c>
      <c r="BI718" s="1" t="s">
        <v>74</v>
      </c>
      <c r="BJ718" s="1" t="s">
        <v>74</v>
      </c>
      <c r="BK718" s="1" t="s">
        <v>74</v>
      </c>
      <c r="BL718" s="1" t="s">
        <v>74</v>
      </c>
      <c r="BM718" s="1" t="s">
        <v>74</v>
      </c>
      <c r="BN718" s="1" t="s">
        <v>74</v>
      </c>
      <c r="BO718" s="1" t="s">
        <v>74</v>
      </c>
      <c r="BP718" s="1" t="s">
        <v>74</v>
      </c>
      <c r="BQ718" s="1" t="s">
        <v>74</v>
      </c>
      <c r="BR718" s="1" t="s">
        <v>74</v>
      </c>
      <c r="BS718" s="1" t="s">
        <v>7247</v>
      </c>
      <c r="BT718" s="1" t="str">
        <f>HYPERLINK("https%3A%2F%2Fwww.webofscience.com%2Fwos%2Fwoscc%2Ffull-record%2FWOS:000645873700001","View Full Record in Web of Science")</f>
        <v>View Full Record in Web of Science</v>
      </c>
    </row>
    <row r="719" ht="12.75" customHeight="1">
      <c r="A719" s="1" t="s">
        <v>72</v>
      </c>
      <c r="B719" s="1" t="s">
        <v>7248</v>
      </c>
      <c r="C719" s="1" t="s">
        <v>74</v>
      </c>
      <c r="D719" s="1" t="s">
        <v>74</v>
      </c>
      <c r="E719" s="1" t="s">
        <v>74</v>
      </c>
      <c r="F719" s="1" t="s">
        <v>7249</v>
      </c>
      <c r="G719" s="1" t="s">
        <v>74</v>
      </c>
      <c r="H719" s="1" t="s">
        <v>74</v>
      </c>
      <c r="I719" s="1" t="s">
        <v>7250</v>
      </c>
      <c r="J719" s="1" t="s">
        <v>1229</v>
      </c>
      <c r="K719" s="1" t="s">
        <v>74</v>
      </c>
      <c r="L719" s="1" t="s">
        <v>74</v>
      </c>
      <c r="M719" s="1" t="s">
        <v>74</v>
      </c>
      <c r="N719" s="1" t="s">
        <v>74</v>
      </c>
      <c r="O719" s="1" t="s">
        <v>74</v>
      </c>
      <c r="P719" s="1" t="s">
        <v>74</v>
      </c>
      <c r="Q719" s="1" t="s">
        <v>74</v>
      </c>
      <c r="R719" s="1" t="s">
        <v>74</v>
      </c>
      <c r="S719" s="1" t="s">
        <v>74</v>
      </c>
      <c r="T719" s="1" t="s">
        <v>74</v>
      </c>
      <c r="U719" s="1" t="s">
        <v>74</v>
      </c>
      <c r="V719" s="1" t="s">
        <v>7251</v>
      </c>
      <c r="W719" s="1" t="s">
        <v>74</v>
      </c>
      <c r="X719" s="1" t="s">
        <v>74</v>
      </c>
      <c r="Y719" s="1" t="s">
        <v>74</v>
      </c>
      <c r="Z719" s="1" t="s">
        <v>74</v>
      </c>
      <c r="AA719" s="1" t="s">
        <v>7252</v>
      </c>
      <c r="AB719" s="1" t="s">
        <v>7253</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1233</v>
      </c>
      <c r="AP719" s="1" t="s">
        <v>74</v>
      </c>
      <c r="AQ719" s="1" t="s">
        <v>74</v>
      </c>
      <c r="AR719" s="1" t="s">
        <v>74</v>
      </c>
      <c r="AS719" s="1" t="s">
        <v>74</v>
      </c>
      <c r="AT719" s="1" t="s">
        <v>74</v>
      </c>
      <c r="AU719" s="1">
        <v>2021.0</v>
      </c>
      <c r="AV719" s="1">
        <v>13.0</v>
      </c>
      <c r="AW719" s="1" t="s">
        <v>74</v>
      </c>
      <c r="AX719" s="1" t="s">
        <v>74</v>
      </c>
      <c r="AY719" s="1" t="s">
        <v>1234</v>
      </c>
      <c r="AZ719" s="1" t="s">
        <v>74</v>
      </c>
      <c r="BA719" s="1" t="s">
        <v>74</v>
      </c>
      <c r="BB719" s="1">
        <v>99.0</v>
      </c>
      <c r="BC719" s="1">
        <v>106.0</v>
      </c>
      <c r="BD719" s="1" t="s">
        <v>74</v>
      </c>
      <c r="BE719" s="1" t="s">
        <v>74</v>
      </c>
      <c r="BF719" s="1" t="s">
        <v>74</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7254</v>
      </c>
      <c r="BT719" s="1" t="str">
        <f>HYPERLINK("https%3A%2F%2Fwww.webofscience.com%2Fwos%2Fwoscc%2Ffull-record%2FWOS:000709411800008","View Full Record in Web of Science")</f>
        <v>View Full Record in Web of Science</v>
      </c>
    </row>
    <row r="720" ht="12.75" customHeight="1">
      <c r="A720" s="1" t="s">
        <v>1844</v>
      </c>
      <c r="B720" s="1" t="s">
        <v>7255</v>
      </c>
      <c r="C720" s="1" t="s">
        <v>74</v>
      </c>
      <c r="D720" s="1" t="s">
        <v>7256</v>
      </c>
      <c r="E720" s="1" t="s">
        <v>74</v>
      </c>
      <c r="F720" s="1" t="s">
        <v>7257</v>
      </c>
      <c r="G720" s="1" t="s">
        <v>74</v>
      </c>
      <c r="H720" s="1" t="s">
        <v>74</v>
      </c>
      <c r="I720" s="1" t="s">
        <v>7258</v>
      </c>
      <c r="J720" s="1" t="s">
        <v>7259</v>
      </c>
      <c r="K720" s="1" t="s">
        <v>74</v>
      </c>
      <c r="L720" s="1" t="s">
        <v>74</v>
      </c>
      <c r="M720" s="1" t="s">
        <v>74</v>
      </c>
      <c r="N720" s="1" t="s">
        <v>74</v>
      </c>
      <c r="O720" s="1" t="s">
        <v>74</v>
      </c>
      <c r="P720" s="1" t="s">
        <v>74</v>
      </c>
      <c r="Q720" s="1" t="s">
        <v>74</v>
      </c>
      <c r="R720" s="1" t="s">
        <v>74</v>
      </c>
      <c r="S720" s="1" t="s">
        <v>74</v>
      </c>
      <c r="T720" s="1" t="s">
        <v>74</v>
      </c>
      <c r="U720" s="1" t="s">
        <v>74</v>
      </c>
      <c r="V720" s="1" t="s">
        <v>74</v>
      </c>
      <c r="W720" s="1" t="s">
        <v>74</v>
      </c>
      <c r="X720" s="1" t="s">
        <v>74</v>
      </c>
      <c r="Y720" s="1" t="s">
        <v>74</v>
      </c>
      <c r="Z720" s="1" t="s">
        <v>74</v>
      </c>
      <c r="AA720" s="1" t="s">
        <v>74</v>
      </c>
      <c r="AB720" s="1" t="s">
        <v>74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74</v>
      </c>
      <c r="AP720" s="1" t="s">
        <v>74</v>
      </c>
      <c r="AQ720" s="1" t="s">
        <v>7260</v>
      </c>
      <c r="AR720" s="1" t="s">
        <v>74</v>
      </c>
      <c r="AS720" s="1" t="s">
        <v>74</v>
      </c>
      <c r="AT720" s="1" t="s">
        <v>74</v>
      </c>
      <c r="AU720" s="1">
        <v>2021.0</v>
      </c>
      <c r="AV720" s="1" t="s">
        <v>74</v>
      </c>
      <c r="AW720" s="1" t="s">
        <v>74</v>
      </c>
      <c r="AX720" s="1" t="s">
        <v>74</v>
      </c>
      <c r="AY720" s="1" t="s">
        <v>74</v>
      </c>
      <c r="AZ720" s="1" t="s">
        <v>74</v>
      </c>
      <c r="BA720" s="1" t="s">
        <v>74</v>
      </c>
      <c r="BB720" s="1">
        <v>87.0</v>
      </c>
      <c r="BC720" s="1">
        <v>110.0</v>
      </c>
      <c r="BD720" s="1" t="s">
        <v>74</v>
      </c>
      <c r="BE720" s="1" t="s">
        <v>74</v>
      </c>
      <c r="BF720" s="1" t="s">
        <v>74</v>
      </c>
      <c r="BG720" s="1" t="s">
        <v>7261</v>
      </c>
      <c r="BH720" s="1" t="s">
        <v>74</v>
      </c>
      <c r="BI720" s="1" t="s">
        <v>74</v>
      </c>
      <c r="BJ720" s="1" t="s">
        <v>74</v>
      </c>
      <c r="BK720" s="1" t="s">
        <v>74</v>
      </c>
      <c r="BL720" s="1" t="s">
        <v>74</v>
      </c>
      <c r="BM720" s="1" t="s">
        <v>74</v>
      </c>
      <c r="BN720" s="1" t="s">
        <v>74</v>
      </c>
      <c r="BO720" s="1" t="s">
        <v>74</v>
      </c>
      <c r="BP720" s="1" t="s">
        <v>74</v>
      </c>
      <c r="BQ720" s="1" t="s">
        <v>74</v>
      </c>
      <c r="BR720" s="1" t="s">
        <v>74</v>
      </c>
      <c r="BS720" s="1" t="s">
        <v>7262</v>
      </c>
      <c r="BT720" s="1" t="str">
        <f>HYPERLINK("https%3A%2F%2Fwww.webofscience.com%2Fwos%2Fwoscc%2Ffull-record%2FWOS:000762754900005","View Full Record in Web of Science")</f>
        <v>View Full Record in Web of Science</v>
      </c>
    </row>
    <row r="721" ht="12.75" customHeight="1">
      <c r="A721" s="1" t="s">
        <v>72</v>
      </c>
      <c r="B721" s="1" t="s">
        <v>7263</v>
      </c>
      <c r="C721" s="1" t="s">
        <v>74</v>
      </c>
      <c r="D721" s="1" t="s">
        <v>74</v>
      </c>
      <c r="E721" s="1" t="s">
        <v>74</v>
      </c>
      <c r="F721" s="1" t="s">
        <v>7264</v>
      </c>
      <c r="G721" s="1" t="s">
        <v>74</v>
      </c>
      <c r="H721" s="1" t="s">
        <v>74</v>
      </c>
      <c r="I721" s="1" t="s">
        <v>7265</v>
      </c>
      <c r="J721" s="1" t="s">
        <v>7266</v>
      </c>
      <c r="K721" s="1" t="s">
        <v>74</v>
      </c>
      <c r="L721" s="1" t="s">
        <v>74</v>
      </c>
      <c r="M721" s="1" t="s">
        <v>74</v>
      </c>
      <c r="N721" s="1" t="s">
        <v>74</v>
      </c>
      <c r="O721" s="1" t="s">
        <v>74</v>
      </c>
      <c r="P721" s="1" t="s">
        <v>74</v>
      </c>
      <c r="Q721" s="1" t="s">
        <v>74</v>
      </c>
      <c r="R721" s="1" t="s">
        <v>74</v>
      </c>
      <c r="S721" s="1" t="s">
        <v>74</v>
      </c>
      <c r="T721" s="1" t="s">
        <v>74</v>
      </c>
      <c r="U721" s="1" t="s">
        <v>74</v>
      </c>
      <c r="V721" s="1" t="s">
        <v>7267</v>
      </c>
      <c r="W721" s="1" t="s">
        <v>74</v>
      </c>
      <c r="X721" s="1" t="s">
        <v>74</v>
      </c>
      <c r="Y721" s="1" t="s">
        <v>74</v>
      </c>
      <c r="Z721" s="1" t="s">
        <v>74</v>
      </c>
      <c r="AA721" s="1" t="s">
        <v>7268</v>
      </c>
      <c r="AB721" s="1" t="s">
        <v>7269</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7270</v>
      </c>
      <c r="AP721" s="1" t="s">
        <v>7271</v>
      </c>
      <c r="AQ721" s="1" t="s">
        <v>74</v>
      </c>
      <c r="AR721" s="1" t="s">
        <v>74</v>
      </c>
      <c r="AS721" s="1" t="s">
        <v>74</v>
      </c>
      <c r="AT721" s="1" t="s">
        <v>74</v>
      </c>
      <c r="AU721" s="1">
        <v>2021.0</v>
      </c>
      <c r="AV721" s="1">
        <v>31.0</v>
      </c>
      <c r="AW721" s="1">
        <v>1.0</v>
      </c>
      <c r="AX721" s="1" t="s">
        <v>74</v>
      </c>
      <c r="AY721" s="1" t="s">
        <v>74</v>
      </c>
      <c r="AZ721" s="1" t="s">
        <v>74</v>
      </c>
      <c r="BA721" s="1" t="s">
        <v>74</v>
      </c>
      <c r="BB721" s="1" t="s">
        <v>74</v>
      </c>
      <c r="BC721" s="1" t="s">
        <v>74</v>
      </c>
      <c r="BD721" s="1">
        <v>9630.0</v>
      </c>
      <c r="BE721" s="1" t="s">
        <v>7272</v>
      </c>
      <c r="BF721" s="2" t="str">
        <f>HYPERLINK("http://dx.doi.org/10.4081/ejtm.2021.9630","http://dx.doi.org/10.4081/ejtm.2021.9630")</f>
        <v>http://dx.doi.org/10.4081/ejtm.2021.9630</v>
      </c>
      <c r="BG721" s="1" t="s">
        <v>74</v>
      </c>
      <c r="BH721" s="1" t="s">
        <v>74</v>
      </c>
      <c r="BI721" s="1" t="s">
        <v>74</v>
      </c>
      <c r="BJ721" s="1" t="s">
        <v>74</v>
      </c>
      <c r="BK721" s="1" t="s">
        <v>74</v>
      </c>
      <c r="BL721" s="1" t="s">
        <v>74</v>
      </c>
      <c r="BM721" s="1" t="s">
        <v>74</v>
      </c>
      <c r="BN721" s="1">
        <v>3.3709647E7</v>
      </c>
      <c r="BO721" s="1" t="s">
        <v>74</v>
      </c>
      <c r="BP721" s="1" t="s">
        <v>74</v>
      </c>
      <c r="BQ721" s="1" t="s">
        <v>74</v>
      </c>
      <c r="BR721" s="1" t="s">
        <v>74</v>
      </c>
      <c r="BS721" s="1" t="s">
        <v>7273</v>
      </c>
      <c r="BT721" s="1" t="str">
        <f>HYPERLINK("https%3A%2F%2Fwww.webofscience.com%2Fwos%2Fwoscc%2Ffull-record%2FWOS:000634947900008","View Full Record in Web of Science")</f>
        <v>View Full Record in Web of Science</v>
      </c>
    </row>
    <row r="722" ht="12.75" customHeight="1">
      <c r="A722" s="1" t="s">
        <v>72</v>
      </c>
      <c r="B722" s="1" t="s">
        <v>7274</v>
      </c>
      <c r="C722" s="1" t="s">
        <v>74</v>
      </c>
      <c r="D722" s="1" t="s">
        <v>74</v>
      </c>
      <c r="E722" s="1" t="s">
        <v>74</v>
      </c>
      <c r="F722" s="1" t="s">
        <v>7275</v>
      </c>
      <c r="G722" s="1" t="s">
        <v>74</v>
      </c>
      <c r="H722" s="1" t="s">
        <v>74</v>
      </c>
      <c r="I722" s="1" t="s">
        <v>7276</v>
      </c>
      <c r="J722" s="1" t="s">
        <v>1622</v>
      </c>
      <c r="K722" s="1" t="s">
        <v>74</v>
      </c>
      <c r="L722" s="1" t="s">
        <v>74</v>
      </c>
      <c r="M722" s="1" t="s">
        <v>74</v>
      </c>
      <c r="N722" s="1" t="s">
        <v>74</v>
      </c>
      <c r="O722" s="1" t="s">
        <v>74</v>
      </c>
      <c r="P722" s="1" t="s">
        <v>74</v>
      </c>
      <c r="Q722" s="1" t="s">
        <v>74</v>
      </c>
      <c r="R722" s="1" t="s">
        <v>74</v>
      </c>
      <c r="S722" s="1" t="s">
        <v>74</v>
      </c>
      <c r="T722" s="1" t="s">
        <v>74</v>
      </c>
      <c r="U722" s="1" t="s">
        <v>74</v>
      </c>
      <c r="V722" s="1" t="s">
        <v>7277</v>
      </c>
      <c r="W722" s="1" t="s">
        <v>74</v>
      </c>
      <c r="X722" s="1" t="s">
        <v>74</v>
      </c>
      <c r="Y722" s="1" t="s">
        <v>74</v>
      </c>
      <c r="Z722" s="1" t="s">
        <v>74</v>
      </c>
      <c r="AA722" s="1" t="s">
        <v>7278</v>
      </c>
      <c r="AB722" s="1" t="s">
        <v>7279</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1627</v>
      </c>
      <c r="AP722" s="1" t="s">
        <v>74</v>
      </c>
      <c r="AQ722" s="1" t="s">
        <v>74</v>
      </c>
      <c r="AR722" s="1" t="s">
        <v>74</v>
      </c>
      <c r="AS722" s="1" t="s">
        <v>74</v>
      </c>
      <c r="AT722" s="1" t="s">
        <v>4404</v>
      </c>
      <c r="AU722" s="1">
        <v>2019.0</v>
      </c>
      <c r="AV722" s="1">
        <v>20.0</v>
      </c>
      <c r="AW722" s="1">
        <v>13.0</v>
      </c>
      <c r="AX722" s="1" t="s">
        <v>74</v>
      </c>
      <c r="AY722" s="1" t="s">
        <v>74</v>
      </c>
      <c r="AZ722" s="1" t="s">
        <v>74</v>
      </c>
      <c r="BA722" s="1" t="s">
        <v>74</v>
      </c>
      <c r="BB722" s="1" t="s">
        <v>74</v>
      </c>
      <c r="BC722" s="1" t="s">
        <v>74</v>
      </c>
      <c r="BD722" s="1">
        <v>3174.0</v>
      </c>
      <c r="BE722" s="1" t="s">
        <v>7280</v>
      </c>
      <c r="BF722" s="2" t="str">
        <f>HYPERLINK("http://dx.doi.org/10.3390/ijms20133174","http://dx.doi.org/10.3390/ijms20133174")</f>
        <v>http://dx.doi.org/10.3390/ijms20133174</v>
      </c>
      <c r="BG722" s="1" t="s">
        <v>74</v>
      </c>
      <c r="BH722" s="1" t="s">
        <v>74</v>
      </c>
      <c r="BI722" s="1" t="s">
        <v>74</v>
      </c>
      <c r="BJ722" s="1" t="s">
        <v>74</v>
      </c>
      <c r="BK722" s="1" t="s">
        <v>74</v>
      </c>
      <c r="BL722" s="1" t="s">
        <v>74</v>
      </c>
      <c r="BM722" s="1" t="s">
        <v>74</v>
      </c>
      <c r="BN722" s="1">
        <v>3.1261733E7</v>
      </c>
      <c r="BO722" s="1" t="s">
        <v>74</v>
      </c>
      <c r="BP722" s="1" t="s">
        <v>74</v>
      </c>
      <c r="BQ722" s="1" t="s">
        <v>74</v>
      </c>
      <c r="BR722" s="1" t="s">
        <v>74</v>
      </c>
      <c r="BS722" s="1" t="s">
        <v>7281</v>
      </c>
      <c r="BT722" s="1" t="str">
        <f>HYPERLINK("https%3A%2F%2Fwww.webofscience.com%2Fwos%2Fwoscc%2Ffull-record%2FWOS:000477041100062","View Full Record in Web of Science")</f>
        <v>View Full Record in Web of Science</v>
      </c>
    </row>
    <row r="723" ht="12.75" customHeight="1">
      <c r="A723" s="1" t="s">
        <v>72</v>
      </c>
      <c r="B723" s="1" t="s">
        <v>7282</v>
      </c>
      <c r="C723" s="1" t="s">
        <v>74</v>
      </c>
      <c r="D723" s="1" t="s">
        <v>74</v>
      </c>
      <c r="E723" s="1" t="s">
        <v>74</v>
      </c>
      <c r="F723" s="1" t="s">
        <v>7283</v>
      </c>
      <c r="G723" s="1" t="s">
        <v>74</v>
      </c>
      <c r="H723" s="1" t="s">
        <v>74</v>
      </c>
      <c r="I723" s="1" t="s">
        <v>7284</v>
      </c>
      <c r="J723" s="1" t="s">
        <v>7285</v>
      </c>
      <c r="K723" s="1" t="s">
        <v>74</v>
      </c>
      <c r="L723" s="1" t="s">
        <v>74</v>
      </c>
      <c r="M723" s="1" t="s">
        <v>74</v>
      </c>
      <c r="N723" s="1" t="s">
        <v>74</v>
      </c>
      <c r="O723" s="1" t="s">
        <v>74</v>
      </c>
      <c r="P723" s="1" t="s">
        <v>74</v>
      </c>
      <c r="Q723" s="1" t="s">
        <v>74</v>
      </c>
      <c r="R723" s="1" t="s">
        <v>74</v>
      </c>
      <c r="S723" s="1" t="s">
        <v>74</v>
      </c>
      <c r="T723" s="1" t="s">
        <v>74</v>
      </c>
      <c r="U723" s="1" t="s">
        <v>74</v>
      </c>
      <c r="V723" s="1" t="s">
        <v>7286</v>
      </c>
      <c r="W723" s="1" t="s">
        <v>74</v>
      </c>
      <c r="X723" s="1" t="s">
        <v>74</v>
      </c>
      <c r="Y723" s="1" t="s">
        <v>74</v>
      </c>
      <c r="Z723" s="1" t="s">
        <v>74</v>
      </c>
      <c r="AA723" s="1" t="s">
        <v>7287</v>
      </c>
      <c r="AB723" s="1" t="s">
        <v>7288</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7289</v>
      </c>
      <c r="AP723" s="1" t="s">
        <v>7290</v>
      </c>
      <c r="AQ723" s="1" t="s">
        <v>74</v>
      </c>
      <c r="AR723" s="1" t="s">
        <v>74</v>
      </c>
      <c r="AS723" s="1" t="s">
        <v>74</v>
      </c>
      <c r="AT723" s="1" t="s">
        <v>151</v>
      </c>
      <c r="AU723" s="1">
        <v>2018.0</v>
      </c>
      <c r="AV723" s="1">
        <v>28.0</v>
      </c>
      <c r="AW723" s="1">
        <v>8.0</v>
      </c>
      <c r="AX723" s="1" t="s">
        <v>74</v>
      </c>
      <c r="AY723" s="1" t="s">
        <v>74</v>
      </c>
      <c r="AZ723" s="1" t="s">
        <v>74</v>
      </c>
      <c r="BA723" s="1" t="s">
        <v>74</v>
      </c>
      <c r="BB723" s="1">
        <v>494.0</v>
      </c>
      <c r="BC723" s="1">
        <v>507.0</v>
      </c>
      <c r="BD723" s="1" t="s">
        <v>74</v>
      </c>
      <c r="BE723" s="1" t="s">
        <v>7291</v>
      </c>
      <c r="BF723" s="2" t="str">
        <f>HYPERLINK("http://dx.doi.org/10.1089/cap.2017.0151","http://dx.doi.org/10.1089/cap.2017.0151")</f>
        <v>http://dx.doi.org/10.1089/cap.2017.0151</v>
      </c>
      <c r="BG723" s="1" t="s">
        <v>74</v>
      </c>
      <c r="BH723" s="1" t="s">
        <v>74</v>
      </c>
      <c r="BI723" s="1" t="s">
        <v>74</v>
      </c>
      <c r="BJ723" s="1" t="s">
        <v>74</v>
      </c>
      <c r="BK723" s="1" t="s">
        <v>74</v>
      </c>
      <c r="BL723" s="1" t="s">
        <v>74</v>
      </c>
      <c r="BM723" s="1" t="s">
        <v>74</v>
      </c>
      <c r="BN723" s="1">
        <v>2.9897263E7</v>
      </c>
      <c r="BO723" s="1" t="s">
        <v>74</v>
      </c>
      <c r="BP723" s="1" t="s">
        <v>74</v>
      </c>
      <c r="BQ723" s="1" t="s">
        <v>74</v>
      </c>
      <c r="BR723" s="1" t="s">
        <v>74</v>
      </c>
      <c r="BS723" s="1" t="s">
        <v>7292</v>
      </c>
      <c r="BT723" s="1" t="str">
        <f>HYPERLINK("https%3A%2F%2Fwww.webofscience.com%2Fwos%2Fwoscc%2Ffull-record%2FWOS:000447002800002","View Full Record in Web of Science")</f>
        <v>View Full Record in Web of Science</v>
      </c>
    </row>
    <row r="724" ht="12.75" customHeight="1">
      <c r="A724" s="1" t="s">
        <v>72</v>
      </c>
      <c r="B724" s="1" t="s">
        <v>7293</v>
      </c>
      <c r="C724" s="1" t="s">
        <v>74</v>
      </c>
      <c r="D724" s="1" t="s">
        <v>74</v>
      </c>
      <c r="E724" s="1" t="s">
        <v>74</v>
      </c>
      <c r="F724" s="1" t="s">
        <v>7294</v>
      </c>
      <c r="G724" s="1" t="s">
        <v>74</v>
      </c>
      <c r="H724" s="1" t="s">
        <v>74</v>
      </c>
      <c r="I724" s="1" t="s">
        <v>7295</v>
      </c>
      <c r="J724" s="1" t="s">
        <v>7296</v>
      </c>
      <c r="K724" s="1" t="s">
        <v>74</v>
      </c>
      <c r="L724" s="1" t="s">
        <v>74</v>
      </c>
      <c r="M724" s="1" t="s">
        <v>74</v>
      </c>
      <c r="N724" s="1" t="s">
        <v>74</v>
      </c>
      <c r="O724" s="1" t="s">
        <v>74</v>
      </c>
      <c r="P724" s="1" t="s">
        <v>74</v>
      </c>
      <c r="Q724" s="1" t="s">
        <v>74</v>
      </c>
      <c r="R724" s="1" t="s">
        <v>74</v>
      </c>
      <c r="S724" s="1" t="s">
        <v>74</v>
      </c>
      <c r="T724" s="1" t="s">
        <v>74</v>
      </c>
      <c r="U724" s="1" t="s">
        <v>74</v>
      </c>
      <c r="V724" s="1" t="s">
        <v>7297</v>
      </c>
      <c r="W724" s="1" t="s">
        <v>74</v>
      </c>
      <c r="X724" s="1" t="s">
        <v>74</v>
      </c>
      <c r="Y724" s="1" t="s">
        <v>74</v>
      </c>
      <c r="Z724" s="1" t="s">
        <v>74</v>
      </c>
      <c r="AA724" s="1" t="s">
        <v>7298</v>
      </c>
      <c r="AB724" s="1" t="s">
        <v>7299</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7300</v>
      </c>
      <c r="AP724" s="1" t="s">
        <v>7301</v>
      </c>
      <c r="AQ724" s="1" t="s">
        <v>74</v>
      </c>
      <c r="AR724" s="1" t="s">
        <v>74</v>
      </c>
      <c r="AS724" s="1" t="s">
        <v>74</v>
      </c>
      <c r="AT724" s="1" t="s">
        <v>151</v>
      </c>
      <c r="AU724" s="1">
        <v>2014.0</v>
      </c>
      <c r="AV724" s="1">
        <v>49.0</v>
      </c>
      <c r="AW724" s="1">
        <v>2.0</v>
      </c>
      <c r="AX724" s="1" t="s">
        <v>74</v>
      </c>
      <c r="AY724" s="1" t="s">
        <v>74</v>
      </c>
      <c r="AZ724" s="1" t="s">
        <v>74</v>
      </c>
      <c r="BA724" s="1" t="s">
        <v>74</v>
      </c>
      <c r="BB724" s="1">
        <v>325.0</v>
      </c>
      <c r="BC724" s="1">
        <v>338.0</v>
      </c>
      <c r="BD724" s="1" t="s">
        <v>74</v>
      </c>
      <c r="BE724" s="1" t="s">
        <v>7302</v>
      </c>
      <c r="BF724" s="2" t="str">
        <f>HYPERLINK("http://dx.doi.org/10.1007/s11262-014-1093-5","http://dx.doi.org/10.1007/s11262-014-1093-5")</f>
        <v>http://dx.doi.org/10.1007/s11262-014-1093-5</v>
      </c>
      <c r="BG724" s="1" t="s">
        <v>74</v>
      </c>
      <c r="BH724" s="1" t="s">
        <v>74</v>
      </c>
      <c r="BI724" s="1" t="s">
        <v>74</v>
      </c>
      <c r="BJ724" s="1" t="s">
        <v>74</v>
      </c>
      <c r="BK724" s="1" t="s">
        <v>74</v>
      </c>
      <c r="BL724" s="1" t="s">
        <v>74</v>
      </c>
      <c r="BM724" s="1" t="s">
        <v>74</v>
      </c>
      <c r="BN724" s="1">
        <v>2.4964777E7</v>
      </c>
      <c r="BO724" s="1" t="s">
        <v>74</v>
      </c>
      <c r="BP724" s="1" t="s">
        <v>74</v>
      </c>
      <c r="BQ724" s="1" t="s">
        <v>74</v>
      </c>
      <c r="BR724" s="1" t="s">
        <v>74</v>
      </c>
      <c r="BS724" s="1" t="s">
        <v>7303</v>
      </c>
      <c r="BT724" s="1" t="str">
        <f>HYPERLINK("https%3A%2F%2Fwww.webofscience.com%2Fwos%2Fwoscc%2Ffull-record%2FWOS:000345094000016","View Full Record in Web of Science")</f>
        <v>View Full Record in Web of Science</v>
      </c>
    </row>
    <row r="725" ht="12.75" customHeight="1">
      <c r="A725" s="1" t="s">
        <v>72</v>
      </c>
      <c r="B725" s="1" t="s">
        <v>7304</v>
      </c>
      <c r="C725" s="1" t="s">
        <v>74</v>
      </c>
      <c r="D725" s="1" t="s">
        <v>74</v>
      </c>
      <c r="E725" s="1" t="s">
        <v>74</v>
      </c>
      <c r="F725" s="1" t="s">
        <v>7305</v>
      </c>
      <c r="G725" s="1" t="s">
        <v>74</v>
      </c>
      <c r="H725" s="1" t="s">
        <v>74</v>
      </c>
      <c r="I725" s="1" t="s">
        <v>7306</v>
      </c>
      <c r="J725" s="1" t="s">
        <v>6719</v>
      </c>
      <c r="K725" s="1" t="s">
        <v>74</v>
      </c>
      <c r="L725" s="1" t="s">
        <v>74</v>
      </c>
      <c r="M725" s="1" t="s">
        <v>74</v>
      </c>
      <c r="N725" s="1" t="s">
        <v>74</v>
      </c>
      <c r="O725" s="1" t="s">
        <v>74</v>
      </c>
      <c r="P725" s="1" t="s">
        <v>74</v>
      </c>
      <c r="Q725" s="1" t="s">
        <v>74</v>
      </c>
      <c r="R725" s="1" t="s">
        <v>74</v>
      </c>
      <c r="S725" s="1" t="s">
        <v>74</v>
      </c>
      <c r="T725" s="1" t="s">
        <v>74</v>
      </c>
      <c r="U725" s="1" t="s">
        <v>74</v>
      </c>
      <c r="V725" s="1" t="s">
        <v>7307</v>
      </c>
      <c r="W725" s="1" t="s">
        <v>74</v>
      </c>
      <c r="X725" s="1" t="s">
        <v>74</v>
      </c>
      <c r="Y725" s="1" t="s">
        <v>74</v>
      </c>
      <c r="Z725" s="1" t="s">
        <v>74</v>
      </c>
      <c r="AA725" s="1" t="s">
        <v>7308</v>
      </c>
      <c r="AB725" s="1" t="s">
        <v>7309</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6723</v>
      </c>
      <c r="AP725" s="1" t="s">
        <v>6724</v>
      </c>
      <c r="AQ725" s="1" t="s">
        <v>74</v>
      </c>
      <c r="AR725" s="1" t="s">
        <v>74</v>
      </c>
      <c r="AS725" s="1" t="s">
        <v>74</v>
      </c>
      <c r="AT725" s="1" t="s">
        <v>151</v>
      </c>
      <c r="AU725" s="1">
        <v>2013.0</v>
      </c>
      <c r="AV725" s="1">
        <v>104.0</v>
      </c>
      <c r="AW725" s="1" t="s">
        <v>74</v>
      </c>
      <c r="AX725" s="1" t="s">
        <v>74</v>
      </c>
      <c r="AY725" s="1" t="s">
        <v>74</v>
      </c>
      <c r="AZ725" s="1" t="s">
        <v>74</v>
      </c>
      <c r="BA725" s="1" t="s">
        <v>74</v>
      </c>
      <c r="BB725" s="1">
        <v>281.0</v>
      </c>
      <c r="BC725" s="1">
        <v>292.0</v>
      </c>
      <c r="BD725" s="1" t="s">
        <v>74</v>
      </c>
      <c r="BE725" s="1" t="s">
        <v>7310</v>
      </c>
      <c r="BF725" s="2" t="str">
        <f>HYPERLINK("http://dx.doi.org/10.1016/j.compstruct.2013.04.034","http://dx.doi.org/10.1016/j.compstruct.2013.04.034")</f>
        <v>http://dx.doi.org/10.1016/j.compstruct.2013.04.034</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7311</v>
      </c>
      <c r="BT725" s="1" t="str">
        <f>HYPERLINK("https%3A%2F%2Fwww.webofscience.com%2Fwos%2Fwoscc%2Ffull-record%2FWOS:000322057800027","View Full Record in Web of Science")</f>
        <v>View Full Record in Web of Science</v>
      </c>
    </row>
    <row r="726" ht="12.75" customHeight="1">
      <c r="A726" s="1" t="s">
        <v>72</v>
      </c>
      <c r="B726" s="1" t="s">
        <v>7312</v>
      </c>
      <c r="C726" s="1" t="s">
        <v>74</v>
      </c>
      <c r="D726" s="1" t="s">
        <v>74</v>
      </c>
      <c r="E726" s="1" t="s">
        <v>74</v>
      </c>
      <c r="F726" s="1" t="s">
        <v>7313</v>
      </c>
      <c r="G726" s="1" t="s">
        <v>74</v>
      </c>
      <c r="H726" s="1" t="s">
        <v>74</v>
      </c>
      <c r="I726" s="1" t="s">
        <v>7314</v>
      </c>
      <c r="J726" s="1" t="s">
        <v>7315</v>
      </c>
      <c r="K726" s="1" t="s">
        <v>74</v>
      </c>
      <c r="L726" s="1" t="s">
        <v>74</v>
      </c>
      <c r="M726" s="1" t="s">
        <v>74</v>
      </c>
      <c r="N726" s="1" t="s">
        <v>74</v>
      </c>
      <c r="O726" s="1" t="s">
        <v>74</v>
      </c>
      <c r="P726" s="1" t="s">
        <v>74</v>
      </c>
      <c r="Q726" s="1" t="s">
        <v>74</v>
      </c>
      <c r="R726" s="1" t="s">
        <v>74</v>
      </c>
      <c r="S726" s="1" t="s">
        <v>74</v>
      </c>
      <c r="T726" s="1" t="s">
        <v>74</v>
      </c>
      <c r="U726" s="1" t="s">
        <v>74</v>
      </c>
      <c r="V726" s="1" t="s">
        <v>7316</v>
      </c>
      <c r="W726" s="1" t="s">
        <v>74</v>
      </c>
      <c r="X726" s="1" t="s">
        <v>74</v>
      </c>
      <c r="Y726" s="1" t="s">
        <v>74</v>
      </c>
      <c r="Z726" s="1" t="s">
        <v>74</v>
      </c>
      <c r="AA726" s="1" t="s">
        <v>7317</v>
      </c>
      <c r="AB726" s="1" t="s">
        <v>7318</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7319</v>
      </c>
      <c r="AP726" s="1" t="s">
        <v>74</v>
      </c>
      <c r="AQ726" s="1" t="s">
        <v>74</v>
      </c>
      <c r="AR726" s="1" t="s">
        <v>74</v>
      </c>
      <c r="AS726" s="1" t="s">
        <v>74</v>
      </c>
      <c r="AT726" s="1" t="s">
        <v>7320</v>
      </c>
      <c r="AU726" s="1">
        <v>2012.0</v>
      </c>
      <c r="AV726" s="1">
        <v>12.0</v>
      </c>
      <c r="AW726" s="1" t="s">
        <v>74</v>
      </c>
      <c r="AX726" s="1" t="s">
        <v>74</v>
      </c>
      <c r="AY726" s="1" t="s">
        <v>74</v>
      </c>
      <c r="AZ726" s="1" t="s">
        <v>74</v>
      </c>
      <c r="BA726" s="1" t="s">
        <v>74</v>
      </c>
      <c r="BB726" s="1" t="s">
        <v>74</v>
      </c>
      <c r="BC726" s="1" t="s">
        <v>74</v>
      </c>
      <c r="BD726" s="1">
        <v>114.0</v>
      </c>
      <c r="BE726" s="1" t="s">
        <v>7321</v>
      </c>
      <c r="BF726" s="2" t="str">
        <f>HYPERLINK("http://dx.doi.org/10.1186/1471-2229-12-114","http://dx.doi.org/10.1186/1471-2229-12-114")</f>
        <v>http://dx.doi.org/10.1186/1471-2229-12-114</v>
      </c>
      <c r="BG726" s="1" t="s">
        <v>74</v>
      </c>
      <c r="BH726" s="1" t="s">
        <v>74</v>
      </c>
      <c r="BI726" s="1" t="s">
        <v>74</v>
      </c>
      <c r="BJ726" s="1" t="s">
        <v>74</v>
      </c>
      <c r="BK726" s="1" t="s">
        <v>74</v>
      </c>
      <c r="BL726" s="1" t="s">
        <v>74</v>
      </c>
      <c r="BM726" s="1" t="s">
        <v>74</v>
      </c>
      <c r="BN726" s="1">
        <v>2.2827966E7</v>
      </c>
      <c r="BO726" s="1" t="s">
        <v>74</v>
      </c>
      <c r="BP726" s="1" t="s">
        <v>74</v>
      </c>
      <c r="BQ726" s="1" t="s">
        <v>74</v>
      </c>
      <c r="BR726" s="1" t="s">
        <v>74</v>
      </c>
      <c r="BS726" s="1" t="s">
        <v>7322</v>
      </c>
      <c r="BT726" s="1" t="str">
        <f>HYPERLINK("https%3A%2F%2Fwww.webofscience.com%2Fwos%2Fwoscc%2Ffull-record%2FWOS:000311198200001","View Full Record in Web of Science")</f>
        <v>View Full Record in Web of Science</v>
      </c>
    </row>
    <row r="727" ht="12.75" customHeight="1">
      <c r="A727" s="1" t="s">
        <v>72</v>
      </c>
      <c r="B727" s="1" t="s">
        <v>7323</v>
      </c>
      <c r="C727" s="1" t="s">
        <v>74</v>
      </c>
      <c r="D727" s="1" t="s">
        <v>74</v>
      </c>
      <c r="E727" s="1" t="s">
        <v>74</v>
      </c>
      <c r="F727" s="1" t="s">
        <v>7324</v>
      </c>
      <c r="G727" s="1" t="s">
        <v>74</v>
      </c>
      <c r="H727" s="1" t="s">
        <v>74</v>
      </c>
      <c r="I727" s="1" t="s">
        <v>7325</v>
      </c>
      <c r="J727" s="1" t="s">
        <v>7326</v>
      </c>
      <c r="K727" s="1" t="s">
        <v>74</v>
      </c>
      <c r="L727" s="1" t="s">
        <v>74</v>
      </c>
      <c r="M727" s="1" t="s">
        <v>74</v>
      </c>
      <c r="N727" s="1" t="s">
        <v>74</v>
      </c>
      <c r="O727" s="1" t="s">
        <v>74</v>
      </c>
      <c r="P727" s="1" t="s">
        <v>74</v>
      </c>
      <c r="Q727" s="1" t="s">
        <v>74</v>
      </c>
      <c r="R727" s="1" t="s">
        <v>74</v>
      </c>
      <c r="S727" s="1" t="s">
        <v>74</v>
      </c>
      <c r="T727" s="1" t="s">
        <v>74</v>
      </c>
      <c r="U727" s="1" t="s">
        <v>74</v>
      </c>
      <c r="V727" s="1" t="s">
        <v>7327</v>
      </c>
      <c r="W727" s="1" t="s">
        <v>74</v>
      </c>
      <c r="X727" s="1" t="s">
        <v>74</v>
      </c>
      <c r="Y727" s="1" t="s">
        <v>74</v>
      </c>
      <c r="Z727" s="1" t="s">
        <v>74</v>
      </c>
      <c r="AA727" s="1" t="s">
        <v>7328</v>
      </c>
      <c r="AB727" s="1" t="s">
        <v>7329</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74</v>
      </c>
      <c r="AP727" s="1" t="s">
        <v>7330</v>
      </c>
      <c r="AQ727" s="1" t="s">
        <v>74</v>
      </c>
      <c r="AR727" s="1" t="s">
        <v>74</v>
      </c>
      <c r="AS727" s="1" t="s">
        <v>74</v>
      </c>
      <c r="AT727" s="1" t="s">
        <v>7331</v>
      </c>
      <c r="AU727" s="1">
        <v>2009.0</v>
      </c>
      <c r="AV727" s="1">
        <v>7.0</v>
      </c>
      <c r="AW727" s="1" t="s">
        <v>74</v>
      </c>
      <c r="AX727" s="1" t="s">
        <v>74</v>
      </c>
      <c r="AY727" s="1" t="s">
        <v>74</v>
      </c>
      <c r="AZ727" s="1" t="s">
        <v>74</v>
      </c>
      <c r="BA727" s="1" t="s">
        <v>74</v>
      </c>
      <c r="BB727" s="1" t="s">
        <v>74</v>
      </c>
      <c r="BC727" s="1" t="s">
        <v>74</v>
      </c>
      <c r="BD727" s="1">
        <v>139.0</v>
      </c>
      <c r="BE727" s="1" t="s">
        <v>7332</v>
      </c>
      <c r="BF727" s="2" t="str">
        <f>HYPERLINK("http://dx.doi.org/10.1186/1477-7827-7-139","http://dx.doi.org/10.1186/1477-7827-7-139")</f>
        <v>http://dx.doi.org/10.1186/1477-7827-7-139</v>
      </c>
      <c r="BG727" s="1" t="s">
        <v>74</v>
      </c>
      <c r="BH727" s="1" t="s">
        <v>74</v>
      </c>
      <c r="BI727" s="1" t="s">
        <v>74</v>
      </c>
      <c r="BJ727" s="1" t="s">
        <v>74</v>
      </c>
      <c r="BK727" s="1" t="s">
        <v>74</v>
      </c>
      <c r="BL727" s="1" t="s">
        <v>74</v>
      </c>
      <c r="BM727" s="1" t="s">
        <v>74</v>
      </c>
      <c r="BN727" s="1">
        <v>1.9948032E7</v>
      </c>
      <c r="BO727" s="1" t="s">
        <v>74</v>
      </c>
      <c r="BP727" s="1" t="s">
        <v>74</v>
      </c>
      <c r="BQ727" s="1" t="s">
        <v>74</v>
      </c>
      <c r="BR727" s="1" t="s">
        <v>74</v>
      </c>
      <c r="BS727" s="1" t="s">
        <v>7333</v>
      </c>
      <c r="BT727" s="1" t="str">
        <f>HYPERLINK("https%3A%2F%2Fwww.webofscience.com%2Fwos%2Fwoscc%2Ffull-record%2FWOS:000272721900002","View Full Record in Web of Science")</f>
        <v>View Full Record in Web of Science</v>
      </c>
    </row>
    <row r="728" ht="12.75" customHeight="1">
      <c r="A728" s="1" t="s">
        <v>72</v>
      </c>
      <c r="B728" s="1" t="s">
        <v>7334</v>
      </c>
      <c r="C728" s="1" t="s">
        <v>74</v>
      </c>
      <c r="D728" s="1" t="s">
        <v>74</v>
      </c>
      <c r="E728" s="1" t="s">
        <v>74</v>
      </c>
      <c r="F728" s="1" t="s">
        <v>7335</v>
      </c>
      <c r="G728" s="1" t="s">
        <v>74</v>
      </c>
      <c r="H728" s="1" t="s">
        <v>74</v>
      </c>
      <c r="I728" s="1" t="s">
        <v>7336</v>
      </c>
      <c r="J728" s="1" t="s">
        <v>7337</v>
      </c>
      <c r="K728" s="1" t="s">
        <v>74</v>
      </c>
      <c r="L728" s="1" t="s">
        <v>74</v>
      </c>
      <c r="M728" s="1" t="s">
        <v>74</v>
      </c>
      <c r="N728" s="1" t="s">
        <v>74</v>
      </c>
      <c r="O728" s="1" t="s">
        <v>74</v>
      </c>
      <c r="P728" s="1" t="s">
        <v>74</v>
      </c>
      <c r="Q728" s="1" t="s">
        <v>74</v>
      </c>
      <c r="R728" s="1" t="s">
        <v>74</v>
      </c>
      <c r="S728" s="1" t="s">
        <v>74</v>
      </c>
      <c r="T728" s="1" t="s">
        <v>74</v>
      </c>
      <c r="U728" s="1" t="s">
        <v>74</v>
      </c>
      <c r="V728" s="1" t="s">
        <v>7338</v>
      </c>
      <c r="W728" s="1" t="s">
        <v>74</v>
      </c>
      <c r="X728" s="1" t="s">
        <v>74</v>
      </c>
      <c r="Y728" s="1" t="s">
        <v>74</v>
      </c>
      <c r="Z728" s="1" t="s">
        <v>74</v>
      </c>
      <c r="AA728" s="1" t="s">
        <v>7339</v>
      </c>
      <c r="AB728" s="1" t="s">
        <v>7340</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7341</v>
      </c>
      <c r="AP728" s="1" t="s">
        <v>7342</v>
      </c>
      <c r="AQ728" s="1" t="s">
        <v>74</v>
      </c>
      <c r="AR728" s="1" t="s">
        <v>74</v>
      </c>
      <c r="AS728" s="1" t="s">
        <v>74</v>
      </c>
      <c r="AT728" s="1" t="s">
        <v>589</v>
      </c>
      <c r="AU728" s="1">
        <v>2007.0</v>
      </c>
      <c r="AV728" s="1">
        <v>268.0</v>
      </c>
      <c r="AW728" s="1" t="s">
        <v>4351</v>
      </c>
      <c r="AX728" s="1" t="s">
        <v>74</v>
      </c>
      <c r="AY728" s="1" t="s">
        <v>74</v>
      </c>
      <c r="AZ728" s="1" t="s">
        <v>74</v>
      </c>
      <c r="BA728" s="1" t="s">
        <v>74</v>
      </c>
      <c r="BB728" s="1">
        <v>148.0</v>
      </c>
      <c r="BC728" s="1">
        <v>154.0</v>
      </c>
      <c r="BD728" s="1" t="s">
        <v>74</v>
      </c>
      <c r="BE728" s="1" t="s">
        <v>7343</v>
      </c>
      <c r="BF728" s="2" t="str">
        <f>HYPERLINK("http://dx.doi.org/10.1016/j.molcata.2006.11.055","http://dx.doi.org/10.1016/j.molcata.2006.11.055")</f>
        <v>http://dx.doi.org/10.1016/j.molcata.2006.11.055</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7344</v>
      </c>
      <c r="BT728" s="1" t="str">
        <f>HYPERLINK("https%3A%2F%2Fwww.webofscience.com%2Fwos%2Fwoscc%2Ffull-record%2FWOS:000245897100023","View Full Record in Web of Science")</f>
        <v>View Full Record in Web of Science</v>
      </c>
    </row>
    <row r="729" ht="12.75" customHeight="1">
      <c r="A729" s="1" t="s">
        <v>72</v>
      </c>
      <c r="B729" s="1" t="s">
        <v>7345</v>
      </c>
      <c r="C729" s="1" t="s">
        <v>74</v>
      </c>
      <c r="D729" s="1" t="s">
        <v>74</v>
      </c>
      <c r="E729" s="1" t="s">
        <v>74</v>
      </c>
      <c r="F729" s="1" t="s">
        <v>7345</v>
      </c>
      <c r="G729" s="1" t="s">
        <v>74</v>
      </c>
      <c r="H729" s="1" t="s">
        <v>74</v>
      </c>
      <c r="I729" s="1" t="s">
        <v>7346</v>
      </c>
      <c r="J729" s="1" t="s">
        <v>7347</v>
      </c>
      <c r="K729" s="1" t="s">
        <v>74</v>
      </c>
      <c r="L729" s="1" t="s">
        <v>74</v>
      </c>
      <c r="M729" s="1" t="s">
        <v>74</v>
      </c>
      <c r="N729" s="1" t="s">
        <v>74</v>
      </c>
      <c r="O729" s="1" t="s">
        <v>74</v>
      </c>
      <c r="P729" s="1" t="s">
        <v>74</v>
      </c>
      <c r="Q729" s="1" t="s">
        <v>74</v>
      </c>
      <c r="R729" s="1" t="s">
        <v>74</v>
      </c>
      <c r="S729" s="1" t="s">
        <v>74</v>
      </c>
      <c r="T729" s="1" t="s">
        <v>74</v>
      </c>
      <c r="U729" s="1" t="s">
        <v>74</v>
      </c>
      <c r="V729" s="1" t="s">
        <v>7348</v>
      </c>
      <c r="W729" s="1" t="s">
        <v>74</v>
      </c>
      <c r="X729" s="1" t="s">
        <v>74</v>
      </c>
      <c r="Y729" s="1" t="s">
        <v>74</v>
      </c>
      <c r="Z729" s="1" t="s">
        <v>74</v>
      </c>
      <c r="AA729" s="1" t="s">
        <v>217</v>
      </c>
      <c r="AB729" s="1" t="s">
        <v>3421</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7349</v>
      </c>
      <c r="AP729" s="1" t="s">
        <v>7350</v>
      </c>
      <c r="AQ729" s="1" t="s">
        <v>74</v>
      </c>
      <c r="AR729" s="1" t="s">
        <v>74</v>
      </c>
      <c r="AS729" s="1" t="s">
        <v>74</v>
      </c>
      <c r="AT729" s="1" t="s">
        <v>151</v>
      </c>
      <c r="AU729" s="1">
        <v>2004.0</v>
      </c>
      <c r="AV729" s="1">
        <v>51.0</v>
      </c>
      <c r="AW729" s="1">
        <v>5.0</v>
      </c>
      <c r="AX729" s="1">
        <v>2.0</v>
      </c>
      <c r="AY729" s="1" t="s">
        <v>74</v>
      </c>
      <c r="AZ729" s="1" t="s">
        <v>74</v>
      </c>
      <c r="BA729" s="1" t="s">
        <v>74</v>
      </c>
      <c r="BB729" s="1">
        <v>2713.0</v>
      </c>
      <c r="BC729" s="1">
        <v>2717.0</v>
      </c>
      <c r="BD729" s="1" t="s">
        <v>74</v>
      </c>
      <c r="BE729" s="1" t="s">
        <v>7351</v>
      </c>
      <c r="BF729" s="2" t="str">
        <f>HYPERLINK("http://dx.doi.org/10.1109/TNS.2004.835737","http://dx.doi.org/10.1109/TNS.2004.835737")</f>
        <v>http://dx.doi.org/10.1109/TNS.2004.835737</v>
      </c>
      <c r="BG729" s="1" t="s">
        <v>74</v>
      </c>
      <c r="BH729" s="1" t="s">
        <v>74</v>
      </c>
      <c r="BI729" s="1" t="s">
        <v>74</v>
      </c>
      <c r="BJ729" s="1" t="s">
        <v>74</v>
      </c>
      <c r="BK729" s="1" t="s">
        <v>74</v>
      </c>
      <c r="BL729" s="1" t="s">
        <v>74</v>
      </c>
      <c r="BM729" s="1" t="s">
        <v>74</v>
      </c>
      <c r="BN729" s="1">
        <v>1.6429604E7</v>
      </c>
      <c r="BO729" s="1" t="s">
        <v>74</v>
      </c>
      <c r="BP729" s="1" t="s">
        <v>74</v>
      </c>
      <c r="BQ729" s="1" t="s">
        <v>74</v>
      </c>
      <c r="BR729" s="1" t="s">
        <v>74</v>
      </c>
      <c r="BS729" s="1" t="s">
        <v>7352</v>
      </c>
      <c r="BT729" s="1" t="str">
        <f>HYPERLINK("https%3A%2F%2Fwww.webofscience.com%2Fwos%2Fwoscc%2Ffull-record%2FWOS:000224491100031","View Full Record in Web of Science")</f>
        <v>View Full Record in Web of Science</v>
      </c>
    </row>
    <row r="730" ht="12.75" customHeight="1">
      <c r="A730" s="1" t="s">
        <v>72</v>
      </c>
      <c r="B730" s="1" t="s">
        <v>7353</v>
      </c>
      <c r="C730" s="1" t="s">
        <v>74</v>
      </c>
      <c r="D730" s="1" t="s">
        <v>74</v>
      </c>
      <c r="E730" s="1" t="s">
        <v>74</v>
      </c>
      <c r="F730" s="1" t="s">
        <v>7353</v>
      </c>
      <c r="G730" s="1" t="s">
        <v>74</v>
      </c>
      <c r="H730" s="1" t="s">
        <v>74</v>
      </c>
      <c r="I730" s="1" t="s">
        <v>7354</v>
      </c>
      <c r="J730" s="1" t="s">
        <v>3593</v>
      </c>
      <c r="K730" s="1" t="s">
        <v>74</v>
      </c>
      <c r="L730" s="1" t="s">
        <v>74</v>
      </c>
      <c r="M730" s="1" t="s">
        <v>74</v>
      </c>
      <c r="N730" s="1" t="s">
        <v>74</v>
      </c>
      <c r="O730" s="1" t="s">
        <v>74</v>
      </c>
      <c r="P730" s="1" t="s">
        <v>74</v>
      </c>
      <c r="Q730" s="1" t="s">
        <v>74</v>
      </c>
      <c r="R730" s="1" t="s">
        <v>74</v>
      </c>
      <c r="S730" s="1" t="s">
        <v>74</v>
      </c>
      <c r="T730" s="1" t="s">
        <v>74</v>
      </c>
      <c r="U730" s="1" t="s">
        <v>74</v>
      </c>
      <c r="V730" s="1" t="s">
        <v>74</v>
      </c>
      <c r="W730" s="1" t="s">
        <v>74</v>
      </c>
      <c r="X730" s="1" t="s">
        <v>74</v>
      </c>
      <c r="Y730" s="1" t="s">
        <v>74</v>
      </c>
      <c r="Z730" s="1" t="s">
        <v>74</v>
      </c>
      <c r="AA730" s="1" t="s">
        <v>7355</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3597</v>
      </c>
      <c r="AP730" s="1" t="s">
        <v>74</v>
      </c>
      <c r="AQ730" s="1" t="s">
        <v>74</v>
      </c>
      <c r="AR730" s="1" t="s">
        <v>74</v>
      </c>
      <c r="AS730" s="1" t="s">
        <v>74</v>
      </c>
      <c r="AT730" s="1" t="s">
        <v>7356</v>
      </c>
      <c r="AU730" s="1">
        <v>2003.0</v>
      </c>
      <c r="AV730" s="1">
        <v>91.0</v>
      </c>
      <c r="AW730" s="1">
        <v>13.0</v>
      </c>
      <c r="AX730" s="1" t="s">
        <v>74</v>
      </c>
      <c r="AY730" s="1" t="s">
        <v>74</v>
      </c>
      <c r="AZ730" s="1" t="s">
        <v>74</v>
      </c>
      <c r="BA730" s="1" t="s">
        <v>74</v>
      </c>
      <c r="BB730" s="1" t="s">
        <v>74</v>
      </c>
      <c r="BC730" s="1" t="s">
        <v>74</v>
      </c>
      <c r="BD730" s="1">
        <v>139702.0</v>
      </c>
      <c r="BE730" s="1" t="s">
        <v>7357</v>
      </c>
      <c r="BF730" s="2" t="str">
        <f>HYPERLINK("http://dx.doi.org/10.1103/PhysRevLett.91.139702","http://dx.doi.org/10.1103/PhysRevLett.91.139702")</f>
        <v>http://dx.doi.org/10.1103/PhysRevLett.91.139702</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7358</v>
      </c>
      <c r="BT730" s="1" t="str">
        <f>HYPERLINK("https%3A%2F%2Fwww.webofscience.com%2Fwos%2Fwoscc%2Ffull-record%2FWOS:000185573700061","View Full Record in Web of Science")</f>
        <v>View Full Record in Web of Science</v>
      </c>
    </row>
    <row r="731" ht="12.75" customHeight="1">
      <c r="A731" s="1" t="s">
        <v>72</v>
      </c>
      <c r="B731" s="1" t="s">
        <v>7359</v>
      </c>
      <c r="C731" s="1" t="s">
        <v>74</v>
      </c>
      <c r="D731" s="1" t="s">
        <v>74</v>
      </c>
      <c r="E731" s="1" t="s">
        <v>74</v>
      </c>
      <c r="F731" s="1" t="s">
        <v>7359</v>
      </c>
      <c r="G731" s="1" t="s">
        <v>74</v>
      </c>
      <c r="H731" s="1" t="s">
        <v>74</v>
      </c>
      <c r="I731" s="1" t="s">
        <v>7360</v>
      </c>
      <c r="J731" s="1" t="s">
        <v>7361</v>
      </c>
      <c r="K731" s="1" t="s">
        <v>74</v>
      </c>
      <c r="L731" s="1" t="s">
        <v>74</v>
      </c>
      <c r="M731" s="1" t="s">
        <v>74</v>
      </c>
      <c r="N731" s="1" t="s">
        <v>74</v>
      </c>
      <c r="O731" s="1" t="s">
        <v>74</v>
      </c>
      <c r="P731" s="1" t="s">
        <v>74</v>
      </c>
      <c r="Q731" s="1" t="s">
        <v>74</v>
      </c>
      <c r="R731" s="1" t="s">
        <v>74</v>
      </c>
      <c r="S731" s="1" t="s">
        <v>74</v>
      </c>
      <c r="T731" s="1" t="s">
        <v>74</v>
      </c>
      <c r="U731" s="1" t="s">
        <v>74</v>
      </c>
      <c r="V731" s="1" t="s">
        <v>7362</v>
      </c>
      <c r="W731" s="1" t="s">
        <v>74</v>
      </c>
      <c r="X731" s="1" t="s">
        <v>74</v>
      </c>
      <c r="Y731" s="1" t="s">
        <v>74</v>
      </c>
      <c r="Z731" s="1" t="s">
        <v>74</v>
      </c>
      <c r="AA731" s="1" t="s">
        <v>7363</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7364</v>
      </c>
      <c r="AP731" s="1" t="s">
        <v>74</v>
      </c>
      <c r="AQ731" s="1" t="s">
        <v>74</v>
      </c>
      <c r="AR731" s="1" t="s">
        <v>74</v>
      </c>
      <c r="AS731" s="1" t="s">
        <v>74</v>
      </c>
      <c r="AT731" s="1" t="s">
        <v>2562</v>
      </c>
      <c r="AU731" s="1">
        <v>1998.0</v>
      </c>
      <c r="AV731" s="1">
        <v>368.0</v>
      </c>
      <c r="AW731" s="1" t="s">
        <v>74</v>
      </c>
      <c r="AX731" s="1" t="s">
        <v>74</v>
      </c>
      <c r="AY731" s="1" t="s">
        <v>74</v>
      </c>
      <c r="AZ731" s="1" t="s">
        <v>74</v>
      </c>
      <c r="BA731" s="1" t="s">
        <v>74</v>
      </c>
      <c r="BB731" s="1">
        <v>195.0</v>
      </c>
      <c r="BC731" s="1">
        <v>228.0</v>
      </c>
      <c r="BD731" s="1" t="s">
        <v>74</v>
      </c>
      <c r="BE731" s="1" t="s">
        <v>7365</v>
      </c>
      <c r="BF731" s="2" t="str">
        <f>HYPERLINK("http://dx.doi.org/10.1017/S0022112098001578","http://dx.doi.org/10.1017/S0022112098001578")</f>
        <v>http://dx.doi.org/10.1017/S0022112098001578</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7366</v>
      </c>
      <c r="BT731" s="1" t="str">
        <f>HYPERLINK("https%3A%2F%2Fwww.webofscience.com%2Fwos%2Fwoscc%2Ffull-record%2FWOS:000075775000008","View Full Record in Web of Science")</f>
        <v>View Full Record in Web of Science</v>
      </c>
    </row>
    <row r="732" ht="12.75" customHeight="1">
      <c r="A732" s="1" t="s">
        <v>72</v>
      </c>
      <c r="B732" s="1" t="s">
        <v>7367</v>
      </c>
      <c r="C732" s="1" t="s">
        <v>74</v>
      </c>
      <c r="D732" s="1" t="s">
        <v>74</v>
      </c>
      <c r="E732" s="1" t="s">
        <v>74</v>
      </c>
      <c r="F732" s="1" t="s">
        <v>7368</v>
      </c>
      <c r="G732" s="1" t="s">
        <v>74</v>
      </c>
      <c r="H732" s="1" t="s">
        <v>74</v>
      </c>
      <c r="I732" s="1" t="s">
        <v>7369</v>
      </c>
      <c r="J732" s="1" t="s">
        <v>7370</v>
      </c>
      <c r="K732" s="1" t="s">
        <v>74</v>
      </c>
      <c r="L732" s="1" t="s">
        <v>74</v>
      </c>
      <c r="M732" s="1" t="s">
        <v>74</v>
      </c>
      <c r="N732" s="1" t="s">
        <v>74</v>
      </c>
      <c r="O732" s="1" t="s">
        <v>74</v>
      </c>
      <c r="P732" s="1" t="s">
        <v>74</v>
      </c>
      <c r="Q732" s="1" t="s">
        <v>74</v>
      </c>
      <c r="R732" s="1" t="s">
        <v>74</v>
      </c>
      <c r="S732" s="1" t="s">
        <v>74</v>
      </c>
      <c r="T732" s="1" t="s">
        <v>74</v>
      </c>
      <c r="U732" s="1" t="s">
        <v>74</v>
      </c>
      <c r="V732" s="1" t="s">
        <v>7371</v>
      </c>
      <c r="W732" s="1" t="s">
        <v>74</v>
      </c>
      <c r="X732" s="1" t="s">
        <v>74</v>
      </c>
      <c r="Y732" s="1" t="s">
        <v>74</v>
      </c>
      <c r="Z732" s="1" t="s">
        <v>74</v>
      </c>
      <c r="AA732" s="1" t="s">
        <v>7372</v>
      </c>
      <c r="AB732" s="1" t="s">
        <v>7373</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74</v>
      </c>
      <c r="AP732" s="1" t="s">
        <v>7374</v>
      </c>
      <c r="AQ732" s="1" t="s">
        <v>74</v>
      </c>
      <c r="AR732" s="1" t="s">
        <v>74</v>
      </c>
      <c r="AS732" s="1" t="s">
        <v>74</v>
      </c>
      <c r="AT732" s="1" t="s">
        <v>151</v>
      </c>
      <c r="AU732" s="1">
        <v>2024.0</v>
      </c>
      <c r="AV732" s="1">
        <v>12.0</v>
      </c>
      <c r="AW732" s="1">
        <v>10.0</v>
      </c>
      <c r="AX732" s="1" t="s">
        <v>74</v>
      </c>
      <c r="AY732" s="1" t="s">
        <v>74</v>
      </c>
      <c r="AZ732" s="1" t="s">
        <v>74</v>
      </c>
      <c r="BA732" s="1" t="s">
        <v>74</v>
      </c>
      <c r="BB732" s="1" t="s">
        <v>74</v>
      </c>
      <c r="BC732" s="1" t="s">
        <v>74</v>
      </c>
      <c r="BD732" s="1">
        <v>180.0</v>
      </c>
      <c r="BE732" s="1" t="s">
        <v>7375</v>
      </c>
      <c r="BF732" s="2" t="str">
        <f>HYPERLINK("http://dx.doi.org/10.3390/technologies12100180","http://dx.doi.org/10.3390/technologies12100180")</f>
        <v>http://dx.doi.org/10.3390/technologies12100180</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7376</v>
      </c>
      <c r="BT732" s="1" t="str">
        <f>HYPERLINK("https%3A%2F%2Fwww.webofscience.com%2Fwos%2Fwoscc%2Ffull-record%2FWOS:001342674800001","View Full Record in Web of Science")</f>
        <v>View Full Record in Web of Science</v>
      </c>
    </row>
    <row r="733" ht="12.75" customHeight="1">
      <c r="A733" s="1" t="s">
        <v>72</v>
      </c>
      <c r="B733" s="1" t="s">
        <v>7377</v>
      </c>
      <c r="C733" s="1" t="s">
        <v>74</v>
      </c>
      <c r="D733" s="1" t="s">
        <v>74</v>
      </c>
      <c r="E733" s="1" t="s">
        <v>74</v>
      </c>
      <c r="F733" s="1" t="s">
        <v>7378</v>
      </c>
      <c r="G733" s="1" t="s">
        <v>74</v>
      </c>
      <c r="H733" s="1" t="s">
        <v>74</v>
      </c>
      <c r="I733" s="1" t="s">
        <v>7379</v>
      </c>
      <c r="J733" s="1" t="s">
        <v>7380</v>
      </c>
      <c r="K733" s="1" t="s">
        <v>74</v>
      </c>
      <c r="L733" s="1" t="s">
        <v>74</v>
      </c>
      <c r="M733" s="1" t="s">
        <v>74</v>
      </c>
      <c r="N733" s="1" t="s">
        <v>74</v>
      </c>
      <c r="O733" s="1" t="s">
        <v>74</v>
      </c>
      <c r="P733" s="1" t="s">
        <v>74</v>
      </c>
      <c r="Q733" s="1" t="s">
        <v>74</v>
      </c>
      <c r="R733" s="1" t="s">
        <v>74</v>
      </c>
      <c r="S733" s="1" t="s">
        <v>74</v>
      </c>
      <c r="T733" s="1" t="s">
        <v>74</v>
      </c>
      <c r="U733" s="1" t="s">
        <v>74</v>
      </c>
      <c r="V733" s="1" t="s">
        <v>7381</v>
      </c>
      <c r="W733" s="1" t="s">
        <v>74</v>
      </c>
      <c r="X733" s="1" t="s">
        <v>74</v>
      </c>
      <c r="Y733" s="1" t="s">
        <v>74</v>
      </c>
      <c r="Z733" s="1" t="s">
        <v>74</v>
      </c>
      <c r="AA733" s="1" t="s">
        <v>7382</v>
      </c>
      <c r="AB733" s="1" t="s">
        <v>7383</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7384</v>
      </c>
      <c r="AP733" s="1" t="s">
        <v>7385</v>
      </c>
      <c r="AQ733" s="1" t="s">
        <v>74</v>
      </c>
      <c r="AR733" s="1" t="s">
        <v>74</v>
      </c>
      <c r="AS733" s="1" t="s">
        <v>74</v>
      </c>
      <c r="AT733" s="1" t="s">
        <v>151</v>
      </c>
      <c r="AU733" s="1">
        <v>2024.0</v>
      </c>
      <c r="AV733" s="1">
        <v>26.0</v>
      </c>
      <c r="AW733" s="1">
        <v>10.0</v>
      </c>
      <c r="AX733" s="1" t="s">
        <v>74</v>
      </c>
      <c r="AY733" s="1" t="s">
        <v>74</v>
      </c>
      <c r="AZ733" s="1" t="s">
        <v>74</v>
      </c>
      <c r="BA733" s="1" t="s">
        <v>74</v>
      </c>
      <c r="BB733" s="1">
        <v>4318.0</v>
      </c>
      <c r="BC733" s="1">
        <v>4328.0</v>
      </c>
      <c r="BD733" s="1" t="s">
        <v>74</v>
      </c>
      <c r="BE733" s="1" t="s">
        <v>7386</v>
      </c>
      <c r="BF733" s="2" t="str">
        <f>HYPERLINK("http://dx.doi.org/10.1111/dom.15780","http://dx.doi.org/10.1111/dom.15780")</f>
        <v>http://dx.doi.org/10.1111/dom.15780</v>
      </c>
      <c r="BG733" s="1" t="s">
        <v>74</v>
      </c>
      <c r="BH733" s="1" t="s">
        <v>4624</v>
      </c>
      <c r="BI733" s="1" t="s">
        <v>74</v>
      </c>
      <c r="BJ733" s="1" t="s">
        <v>74</v>
      </c>
      <c r="BK733" s="1" t="s">
        <v>74</v>
      </c>
      <c r="BL733" s="1" t="s">
        <v>74</v>
      </c>
      <c r="BM733" s="1" t="s">
        <v>74</v>
      </c>
      <c r="BN733" s="1">
        <v>3.9039721E7</v>
      </c>
      <c r="BO733" s="1" t="s">
        <v>74</v>
      </c>
      <c r="BP733" s="1" t="s">
        <v>74</v>
      </c>
      <c r="BQ733" s="1" t="s">
        <v>74</v>
      </c>
      <c r="BR733" s="1" t="s">
        <v>74</v>
      </c>
      <c r="BS733" s="1" t="s">
        <v>7387</v>
      </c>
      <c r="BT733" s="1" t="str">
        <f>HYPERLINK("https%3A%2F%2Fwww.webofscience.com%2Fwos%2Fwoscc%2Ffull-record%2FWOS:001274001700001","View Full Record in Web of Science")</f>
        <v>View Full Record in Web of Science</v>
      </c>
    </row>
    <row r="734" ht="12.75" customHeight="1">
      <c r="A734" s="1" t="s">
        <v>72</v>
      </c>
      <c r="B734" s="1" t="s">
        <v>7388</v>
      </c>
      <c r="C734" s="1" t="s">
        <v>74</v>
      </c>
      <c r="D734" s="1" t="s">
        <v>74</v>
      </c>
      <c r="E734" s="1" t="s">
        <v>74</v>
      </c>
      <c r="F734" s="1" t="s">
        <v>7389</v>
      </c>
      <c r="G734" s="1" t="s">
        <v>74</v>
      </c>
      <c r="H734" s="1" t="s">
        <v>74</v>
      </c>
      <c r="I734" s="1" t="s">
        <v>7390</v>
      </c>
      <c r="J734" s="1" t="s">
        <v>7391</v>
      </c>
      <c r="K734" s="1" t="s">
        <v>74</v>
      </c>
      <c r="L734" s="1" t="s">
        <v>74</v>
      </c>
      <c r="M734" s="1" t="s">
        <v>74</v>
      </c>
      <c r="N734" s="1" t="s">
        <v>74</v>
      </c>
      <c r="O734" s="1" t="s">
        <v>74</v>
      </c>
      <c r="P734" s="1" t="s">
        <v>74</v>
      </c>
      <c r="Q734" s="1" t="s">
        <v>74</v>
      </c>
      <c r="R734" s="1" t="s">
        <v>74</v>
      </c>
      <c r="S734" s="1" t="s">
        <v>74</v>
      </c>
      <c r="T734" s="1" t="s">
        <v>74</v>
      </c>
      <c r="U734" s="1" t="s">
        <v>74</v>
      </c>
      <c r="V734" s="1" t="s">
        <v>7392</v>
      </c>
      <c r="W734" s="1" t="s">
        <v>74</v>
      </c>
      <c r="X734" s="1" t="s">
        <v>74</v>
      </c>
      <c r="Y734" s="1" t="s">
        <v>74</v>
      </c>
      <c r="Z734" s="1" t="s">
        <v>74</v>
      </c>
      <c r="AA734" s="1" t="s">
        <v>74</v>
      </c>
      <c r="AB734" s="1" t="s">
        <v>7393</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7394</v>
      </c>
      <c r="AP734" s="1" t="s">
        <v>7395</v>
      </c>
      <c r="AQ734" s="1" t="s">
        <v>74</v>
      </c>
      <c r="AR734" s="1" t="s">
        <v>74</v>
      </c>
      <c r="AS734" s="1" t="s">
        <v>74</v>
      </c>
      <c r="AT734" s="1" t="s">
        <v>4212</v>
      </c>
      <c r="AU734" s="1">
        <v>2025.0</v>
      </c>
      <c r="AV734" s="1">
        <v>34.0</v>
      </c>
      <c r="AW734" s="1">
        <v>1.0</v>
      </c>
      <c r="AX734" s="1" t="s">
        <v>74</v>
      </c>
      <c r="AY734" s="1" t="s">
        <v>74</v>
      </c>
      <c r="AZ734" s="1" t="s">
        <v>74</v>
      </c>
      <c r="BA734" s="1" t="s">
        <v>74</v>
      </c>
      <c r="BB734" s="1">
        <v>60.0</v>
      </c>
      <c r="BC734" s="1">
        <v>78.0</v>
      </c>
      <c r="BD734" s="1" t="s">
        <v>74</v>
      </c>
      <c r="BE734" s="1" t="s">
        <v>7396</v>
      </c>
      <c r="BF734" s="2" t="str">
        <f>HYPERLINK("http://dx.doi.org/10.1080/10382046.2024.2348279","http://dx.doi.org/10.1080/10382046.2024.2348279")</f>
        <v>http://dx.doi.org/10.1080/10382046.2024.2348279</v>
      </c>
      <c r="BG734" s="1" t="s">
        <v>74</v>
      </c>
      <c r="BH734" s="1" t="s">
        <v>3491</v>
      </c>
      <c r="BI734" s="1" t="s">
        <v>74</v>
      </c>
      <c r="BJ734" s="1" t="s">
        <v>74</v>
      </c>
      <c r="BK734" s="1" t="s">
        <v>74</v>
      </c>
      <c r="BL734" s="1" t="s">
        <v>74</v>
      </c>
      <c r="BM734" s="1" t="s">
        <v>74</v>
      </c>
      <c r="BN734" s="1" t="s">
        <v>74</v>
      </c>
      <c r="BO734" s="1" t="s">
        <v>74</v>
      </c>
      <c r="BP734" s="1" t="s">
        <v>74</v>
      </c>
      <c r="BQ734" s="1" t="s">
        <v>74</v>
      </c>
      <c r="BR734" s="1" t="s">
        <v>74</v>
      </c>
      <c r="BS734" s="1" t="s">
        <v>7397</v>
      </c>
      <c r="BT734" s="1" t="str">
        <f>HYPERLINK("https%3A%2F%2Fwww.webofscience.com%2Fwos%2Fwoscc%2Ffull-record%2FWOS:001215385900001","View Full Record in Web of Science")</f>
        <v>View Full Record in Web of Science</v>
      </c>
    </row>
    <row r="735" ht="12.75" customHeight="1">
      <c r="A735" s="1" t="s">
        <v>72</v>
      </c>
      <c r="B735" s="1" t="s">
        <v>7398</v>
      </c>
      <c r="C735" s="1" t="s">
        <v>74</v>
      </c>
      <c r="D735" s="1" t="s">
        <v>74</v>
      </c>
      <c r="E735" s="1" t="s">
        <v>74</v>
      </c>
      <c r="F735" s="1" t="s">
        <v>7399</v>
      </c>
      <c r="G735" s="1" t="s">
        <v>74</v>
      </c>
      <c r="H735" s="1" t="s">
        <v>74</v>
      </c>
      <c r="I735" s="1" t="s">
        <v>7400</v>
      </c>
      <c r="J735" s="1" t="s">
        <v>4454</v>
      </c>
      <c r="K735" s="1" t="s">
        <v>74</v>
      </c>
      <c r="L735" s="1" t="s">
        <v>74</v>
      </c>
      <c r="M735" s="1" t="s">
        <v>74</v>
      </c>
      <c r="N735" s="1" t="s">
        <v>74</v>
      </c>
      <c r="O735" s="1" t="s">
        <v>74</v>
      </c>
      <c r="P735" s="1" t="s">
        <v>74</v>
      </c>
      <c r="Q735" s="1" t="s">
        <v>74</v>
      </c>
      <c r="R735" s="1" t="s">
        <v>74</v>
      </c>
      <c r="S735" s="1" t="s">
        <v>74</v>
      </c>
      <c r="T735" s="1" t="s">
        <v>74</v>
      </c>
      <c r="U735" s="1" t="s">
        <v>74</v>
      </c>
      <c r="V735" s="1" t="s">
        <v>7401</v>
      </c>
      <c r="W735" s="1" t="s">
        <v>74</v>
      </c>
      <c r="X735" s="1" t="s">
        <v>74</v>
      </c>
      <c r="Y735" s="1" t="s">
        <v>74</v>
      </c>
      <c r="Z735" s="1" t="s">
        <v>74</v>
      </c>
      <c r="AA735" s="1" t="s">
        <v>7402</v>
      </c>
      <c r="AB735" s="1" t="s">
        <v>7403</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74</v>
      </c>
      <c r="AP735" s="1" t="s">
        <v>4458</v>
      </c>
      <c r="AQ735" s="1" t="s">
        <v>74</v>
      </c>
      <c r="AR735" s="1" t="s">
        <v>74</v>
      </c>
      <c r="AS735" s="1" t="s">
        <v>74</v>
      </c>
      <c r="AT735" s="1" t="s">
        <v>176</v>
      </c>
      <c r="AU735" s="1">
        <v>2024.0</v>
      </c>
      <c r="AV735" s="1">
        <v>12.0</v>
      </c>
      <c r="AW735" s="1">
        <v>3.0</v>
      </c>
      <c r="AX735" s="1" t="s">
        <v>74</v>
      </c>
      <c r="AY735" s="1" t="s">
        <v>74</v>
      </c>
      <c r="AZ735" s="1" t="s">
        <v>74</v>
      </c>
      <c r="BA735" s="1" t="s">
        <v>74</v>
      </c>
      <c r="BB735" s="1" t="s">
        <v>74</v>
      </c>
      <c r="BC735" s="1" t="s">
        <v>74</v>
      </c>
      <c r="BD735" s="1">
        <v>624.0</v>
      </c>
      <c r="BE735" s="1" t="s">
        <v>7404</v>
      </c>
      <c r="BF735" s="2" t="str">
        <f>HYPERLINK("http://dx.doi.org/10.3390/microorganisms12030624","http://dx.doi.org/10.3390/microorganisms12030624")</f>
        <v>http://dx.doi.org/10.3390/microorganisms12030624</v>
      </c>
      <c r="BG735" s="1" t="s">
        <v>74</v>
      </c>
      <c r="BH735" s="1" t="s">
        <v>74</v>
      </c>
      <c r="BI735" s="1" t="s">
        <v>74</v>
      </c>
      <c r="BJ735" s="1" t="s">
        <v>74</v>
      </c>
      <c r="BK735" s="1" t="s">
        <v>74</v>
      </c>
      <c r="BL735" s="1" t="s">
        <v>74</v>
      </c>
      <c r="BM735" s="1" t="s">
        <v>74</v>
      </c>
      <c r="BN735" s="1">
        <v>3.8543675E7</v>
      </c>
      <c r="BO735" s="1" t="s">
        <v>74</v>
      </c>
      <c r="BP735" s="1" t="s">
        <v>74</v>
      </c>
      <c r="BQ735" s="1" t="s">
        <v>74</v>
      </c>
      <c r="BR735" s="1" t="s">
        <v>74</v>
      </c>
      <c r="BS735" s="1" t="s">
        <v>7405</v>
      </c>
      <c r="BT735" s="1" t="str">
        <f>HYPERLINK("https%3A%2F%2Fwww.webofscience.com%2Fwos%2Fwoscc%2Ffull-record%2FWOS:001192958200001","View Full Record in Web of Science")</f>
        <v>View Full Record in Web of Science</v>
      </c>
    </row>
    <row r="736" ht="12.75" customHeight="1">
      <c r="A736" s="1" t="s">
        <v>72</v>
      </c>
      <c r="B736" s="1" t="s">
        <v>7406</v>
      </c>
      <c r="C736" s="1" t="s">
        <v>74</v>
      </c>
      <c r="D736" s="1" t="s">
        <v>74</v>
      </c>
      <c r="E736" s="1" t="s">
        <v>74</v>
      </c>
      <c r="F736" s="1" t="s">
        <v>7407</v>
      </c>
      <c r="G736" s="1" t="s">
        <v>74</v>
      </c>
      <c r="H736" s="1" t="s">
        <v>74</v>
      </c>
      <c r="I736" s="1" t="s">
        <v>7408</v>
      </c>
      <c r="J736" s="1" t="s">
        <v>7409</v>
      </c>
      <c r="K736" s="1" t="s">
        <v>74</v>
      </c>
      <c r="L736" s="1" t="s">
        <v>74</v>
      </c>
      <c r="M736" s="1" t="s">
        <v>74</v>
      </c>
      <c r="N736" s="1" t="s">
        <v>74</v>
      </c>
      <c r="O736" s="1" t="s">
        <v>74</v>
      </c>
      <c r="P736" s="1" t="s">
        <v>74</v>
      </c>
      <c r="Q736" s="1" t="s">
        <v>74</v>
      </c>
      <c r="R736" s="1" t="s">
        <v>74</v>
      </c>
      <c r="S736" s="1" t="s">
        <v>74</v>
      </c>
      <c r="T736" s="1" t="s">
        <v>74</v>
      </c>
      <c r="U736" s="1" t="s">
        <v>74</v>
      </c>
      <c r="V736" s="1" t="s">
        <v>7410</v>
      </c>
      <c r="W736" s="1" t="s">
        <v>74</v>
      </c>
      <c r="X736" s="1" t="s">
        <v>74</v>
      </c>
      <c r="Y736" s="1" t="s">
        <v>74</v>
      </c>
      <c r="Z736" s="1" t="s">
        <v>74</v>
      </c>
      <c r="AA736" s="1" t="s">
        <v>7411</v>
      </c>
      <c r="AB736" s="1" t="s">
        <v>7412</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7413</v>
      </c>
      <c r="AP736" s="1" t="s">
        <v>74</v>
      </c>
      <c r="AQ736" s="1" t="s">
        <v>74</v>
      </c>
      <c r="AR736" s="1" t="s">
        <v>74</v>
      </c>
      <c r="AS736" s="1" t="s">
        <v>74</v>
      </c>
      <c r="AT736" s="1" t="s">
        <v>2388</v>
      </c>
      <c r="AU736" s="1">
        <v>2023.0</v>
      </c>
      <c r="AV736" s="1" t="s">
        <v>74</v>
      </c>
      <c r="AW736" s="1">
        <v>5.0</v>
      </c>
      <c r="AX736" s="1" t="s">
        <v>74</v>
      </c>
      <c r="AY736" s="1" t="s">
        <v>74</v>
      </c>
      <c r="AZ736" s="1" t="s">
        <v>74</v>
      </c>
      <c r="BA736" s="1" t="s">
        <v>74</v>
      </c>
      <c r="BB736" s="1" t="s">
        <v>74</v>
      </c>
      <c r="BC736" s="1" t="s">
        <v>74</v>
      </c>
      <c r="BD736" s="1">
        <v>72.0</v>
      </c>
      <c r="BE736" s="1" t="s">
        <v>7414</v>
      </c>
      <c r="BF736" s="2" t="str">
        <f>HYPERLINK("http://dx.doi.org/10.1007/JHEP05(2023)072","http://dx.doi.org/10.1007/JHEP05(2023)072")</f>
        <v>http://dx.doi.org/10.1007/JHEP05(2023)072</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7415</v>
      </c>
      <c r="BT736" s="1" t="str">
        <f>HYPERLINK("https%3A%2F%2Fwww.webofscience.com%2Fwos%2Fwoscc%2Ffull-record%2FWOS:000986899900001","View Full Record in Web of Science")</f>
        <v>View Full Record in Web of Science</v>
      </c>
    </row>
    <row r="737" ht="12.75" customHeight="1">
      <c r="A737" s="1" t="s">
        <v>72</v>
      </c>
      <c r="B737" s="1" t="s">
        <v>7416</v>
      </c>
      <c r="C737" s="1" t="s">
        <v>74</v>
      </c>
      <c r="D737" s="1" t="s">
        <v>74</v>
      </c>
      <c r="E737" s="1" t="s">
        <v>74</v>
      </c>
      <c r="F737" s="1" t="s">
        <v>7417</v>
      </c>
      <c r="G737" s="1" t="s">
        <v>74</v>
      </c>
      <c r="H737" s="1" t="s">
        <v>74</v>
      </c>
      <c r="I737" s="1" t="s">
        <v>7418</v>
      </c>
      <c r="J737" s="1" t="s">
        <v>5919</v>
      </c>
      <c r="K737" s="1" t="s">
        <v>74</v>
      </c>
      <c r="L737" s="1" t="s">
        <v>74</v>
      </c>
      <c r="M737" s="1" t="s">
        <v>74</v>
      </c>
      <c r="N737" s="1" t="s">
        <v>74</v>
      </c>
      <c r="O737" s="1" t="s">
        <v>74</v>
      </c>
      <c r="P737" s="1" t="s">
        <v>74</v>
      </c>
      <c r="Q737" s="1" t="s">
        <v>74</v>
      </c>
      <c r="R737" s="1" t="s">
        <v>74</v>
      </c>
      <c r="S737" s="1" t="s">
        <v>74</v>
      </c>
      <c r="T737" s="1" t="s">
        <v>74</v>
      </c>
      <c r="U737" s="1" t="s">
        <v>74</v>
      </c>
      <c r="V737" s="1" t="s">
        <v>7419</v>
      </c>
      <c r="W737" s="1" t="s">
        <v>74</v>
      </c>
      <c r="X737" s="1" t="s">
        <v>74</v>
      </c>
      <c r="Y737" s="1" t="s">
        <v>74</v>
      </c>
      <c r="Z737" s="1" t="s">
        <v>74</v>
      </c>
      <c r="AA737" s="1" t="s">
        <v>7420</v>
      </c>
      <c r="AB737" s="1" t="s">
        <v>7421</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5923</v>
      </c>
      <c r="AP737" s="1" t="s">
        <v>5924</v>
      </c>
      <c r="AQ737" s="1" t="s">
        <v>74</v>
      </c>
      <c r="AR737" s="1" t="s">
        <v>74</v>
      </c>
      <c r="AS737" s="1" t="s">
        <v>74</v>
      </c>
      <c r="AT737" s="1" t="s">
        <v>3227</v>
      </c>
      <c r="AU737" s="1">
        <v>2022.0</v>
      </c>
      <c r="AV737" s="1">
        <v>359.0</v>
      </c>
      <c r="AW737" s="1" t="s">
        <v>74</v>
      </c>
      <c r="AX737" s="1" t="s">
        <v>74</v>
      </c>
      <c r="AY737" s="1" t="s">
        <v>74</v>
      </c>
      <c r="AZ737" s="1" t="s">
        <v>74</v>
      </c>
      <c r="BA737" s="1" t="s">
        <v>74</v>
      </c>
      <c r="BB737" s="1" t="s">
        <v>74</v>
      </c>
      <c r="BC737" s="1" t="s">
        <v>74</v>
      </c>
      <c r="BD737" s="1">
        <v>119259.0</v>
      </c>
      <c r="BE737" s="1" t="s">
        <v>7422</v>
      </c>
      <c r="BF737" s="2" t="str">
        <f>HYPERLINK("http://dx.doi.org/10.1016/j.molliq.2022.119259","http://dx.doi.org/10.1016/j.molliq.2022.119259")</f>
        <v>http://dx.doi.org/10.1016/j.molliq.2022.119259</v>
      </c>
      <c r="BG737" s="1" t="s">
        <v>74</v>
      </c>
      <c r="BH737" s="1" t="s">
        <v>2796</v>
      </c>
      <c r="BI737" s="1" t="s">
        <v>74</v>
      </c>
      <c r="BJ737" s="1" t="s">
        <v>74</v>
      </c>
      <c r="BK737" s="1" t="s">
        <v>74</v>
      </c>
      <c r="BL737" s="1" t="s">
        <v>74</v>
      </c>
      <c r="BM737" s="1" t="s">
        <v>74</v>
      </c>
      <c r="BN737" s="1" t="s">
        <v>74</v>
      </c>
      <c r="BO737" s="1" t="s">
        <v>74</v>
      </c>
      <c r="BP737" s="1" t="s">
        <v>74</v>
      </c>
      <c r="BQ737" s="1" t="s">
        <v>74</v>
      </c>
      <c r="BR737" s="1" t="s">
        <v>74</v>
      </c>
      <c r="BS737" s="1" t="s">
        <v>7423</v>
      </c>
      <c r="BT737" s="1" t="str">
        <f>HYPERLINK("https%3A%2F%2Fwww.webofscience.com%2Fwos%2Fwoscc%2Ffull-record%2FWOS:000804373700007","View Full Record in Web of Science")</f>
        <v>View Full Record in Web of Science</v>
      </c>
    </row>
    <row r="738" ht="12.75" customHeight="1">
      <c r="A738" s="1" t="s">
        <v>72</v>
      </c>
      <c r="B738" s="1" t="s">
        <v>7424</v>
      </c>
      <c r="C738" s="1" t="s">
        <v>74</v>
      </c>
      <c r="D738" s="1" t="s">
        <v>74</v>
      </c>
      <c r="E738" s="1" t="s">
        <v>74</v>
      </c>
      <c r="F738" s="1" t="s">
        <v>7425</v>
      </c>
      <c r="G738" s="1" t="s">
        <v>74</v>
      </c>
      <c r="H738" s="1" t="s">
        <v>74</v>
      </c>
      <c r="I738" s="1" t="s">
        <v>7426</v>
      </c>
      <c r="J738" s="1" t="s">
        <v>7427</v>
      </c>
      <c r="K738" s="1" t="s">
        <v>74</v>
      </c>
      <c r="L738" s="1" t="s">
        <v>74</v>
      </c>
      <c r="M738" s="1" t="s">
        <v>74</v>
      </c>
      <c r="N738" s="1" t="s">
        <v>74</v>
      </c>
      <c r="O738" s="1" t="s">
        <v>74</v>
      </c>
      <c r="P738" s="1" t="s">
        <v>74</v>
      </c>
      <c r="Q738" s="1" t="s">
        <v>74</v>
      </c>
      <c r="R738" s="1" t="s">
        <v>74</v>
      </c>
      <c r="S738" s="1" t="s">
        <v>74</v>
      </c>
      <c r="T738" s="1" t="s">
        <v>74</v>
      </c>
      <c r="U738" s="1" t="s">
        <v>74</v>
      </c>
      <c r="V738" s="1" t="s">
        <v>7428</v>
      </c>
      <c r="W738" s="1" t="s">
        <v>74</v>
      </c>
      <c r="X738" s="1" t="s">
        <v>74</v>
      </c>
      <c r="Y738" s="1" t="s">
        <v>74</v>
      </c>
      <c r="Z738" s="1" t="s">
        <v>74</v>
      </c>
      <c r="AA738" s="1" t="s">
        <v>7429</v>
      </c>
      <c r="AB738" s="1" t="s">
        <v>7430</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7431</v>
      </c>
      <c r="AP738" s="1" t="s">
        <v>7432</v>
      </c>
      <c r="AQ738" s="1" t="s">
        <v>74</v>
      </c>
      <c r="AR738" s="1" t="s">
        <v>74</v>
      </c>
      <c r="AS738" s="1" t="s">
        <v>74</v>
      </c>
      <c r="AT738" s="1" t="s">
        <v>600</v>
      </c>
      <c r="AU738" s="1">
        <v>2022.0</v>
      </c>
      <c r="AV738" s="1">
        <v>534.0</v>
      </c>
      <c r="AW738" s="1">
        <v>2.0</v>
      </c>
      <c r="AX738" s="1" t="s">
        <v>74</v>
      </c>
      <c r="AY738" s="1" t="s">
        <v>74</v>
      </c>
      <c r="AZ738" s="1" t="s">
        <v>74</v>
      </c>
      <c r="BA738" s="1" t="s">
        <v>74</v>
      </c>
      <c r="BB738" s="1" t="s">
        <v>74</v>
      </c>
      <c r="BC738" s="1" t="s">
        <v>74</v>
      </c>
      <c r="BD738" s="1">
        <v>2100453.0</v>
      </c>
      <c r="BE738" s="1" t="s">
        <v>7433</v>
      </c>
      <c r="BF738" s="2" t="str">
        <f>HYPERLINK("http://dx.doi.org/10.1002/andp.202100453","http://dx.doi.org/10.1002/andp.202100453")</f>
        <v>http://dx.doi.org/10.1002/andp.202100453</v>
      </c>
      <c r="BG738" s="1" t="s">
        <v>74</v>
      </c>
      <c r="BH738" s="1" t="s">
        <v>2805</v>
      </c>
      <c r="BI738" s="1" t="s">
        <v>74</v>
      </c>
      <c r="BJ738" s="1" t="s">
        <v>74</v>
      </c>
      <c r="BK738" s="1" t="s">
        <v>74</v>
      </c>
      <c r="BL738" s="1" t="s">
        <v>74</v>
      </c>
      <c r="BM738" s="1" t="s">
        <v>74</v>
      </c>
      <c r="BN738" s="1" t="s">
        <v>74</v>
      </c>
      <c r="BO738" s="1" t="s">
        <v>74</v>
      </c>
      <c r="BP738" s="1" t="s">
        <v>74</v>
      </c>
      <c r="BQ738" s="1" t="s">
        <v>74</v>
      </c>
      <c r="BR738" s="1" t="s">
        <v>74</v>
      </c>
      <c r="BS738" s="1" t="s">
        <v>7434</v>
      </c>
      <c r="BT738" s="1" t="str">
        <f>HYPERLINK("https%3A%2F%2Fwww.webofscience.com%2Fwos%2Fwoscc%2Ffull-record%2FWOS:000739334000001","View Full Record in Web of Science")</f>
        <v>View Full Record in Web of Science</v>
      </c>
    </row>
    <row r="739" ht="12.75" customHeight="1">
      <c r="A739" s="1" t="s">
        <v>72</v>
      </c>
      <c r="B739" s="1" t="s">
        <v>7435</v>
      </c>
      <c r="C739" s="1" t="s">
        <v>74</v>
      </c>
      <c r="D739" s="1" t="s">
        <v>74</v>
      </c>
      <c r="E739" s="1" t="s">
        <v>74</v>
      </c>
      <c r="F739" s="1" t="s">
        <v>7436</v>
      </c>
      <c r="G739" s="1" t="s">
        <v>74</v>
      </c>
      <c r="H739" s="1" t="s">
        <v>74</v>
      </c>
      <c r="I739" s="1" t="s">
        <v>7437</v>
      </c>
      <c r="J739" s="1" t="s">
        <v>6122</v>
      </c>
      <c r="K739" s="1" t="s">
        <v>74</v>
      </c>
      <c r="L739" s="1" t="s">
        <v>74</v>
      </c>
      <c r="M739" s="1" t="s">
        <v>74</v>
      </c>
      <c r="N739" s="1" t="s">
        <v>74</v>
      </c>
      <c r="O739" s="1" t="s">
        <v>74</v>
      </c>
      <c r="P739" s="1" t="s">
        <v>74</v>
      </c>
      <c r="Q739" s="1" t="s">
        <v>74</v>
      </c>
      <c r="R739" s="1" t="s">
        <v>74</v>
      </c>
      <c r="S739" s="1" t="s">
        <v>74</v>
      </c>
      <c r="T739" s="1" t="s">
        <v>74</v>
      </c>
      <c r="U739" s="1" t="s">
        <v>74</v>
      </c>
      <c r="V739" s="1" t="s">
        <v>7438</v>
      </c>
      <c r="W739" s="1" t="s">
        <v>74</v>
      </c>
      <c r="X739" s="1" t="s">
        <v>74</v>
      </c>
      <c r="Y739" s="1" t="s">
        <v>74</v>
      </c>
      <c r="Z739" s="1" t="s">
        <v>74</v>
      </c>
      <c r="AA739" s="1" t="s">
        <v>7439</v>
      </c>
      <c r="AB739" s="1" t="s">
        <v>7440</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6126</v>
      </c>
      <c r="AP739" s="1" t="s">
        <v>6127</v>
      </c>
      <c r="AQ739" s="1" t="s">
        <v>74</v>
      </c>
      <c r="AR739" s="1" t="s">
        <v>74</v>
      </c>
      <c r="AS739" s="1" t="s">
        <v>74</v>
      </c>
      <c r="AT739" s="1" t="s">
        <v>7441</v>
      </c>
      <c r="AU739" s="1">
        <v>2020.0</v>
      </c>
      <c r="AV739" s="1">
        <v>25.0</v>
      </c>
      <c r="AW739" s="1">
        <v>3.0</v>
      </c>
      <c r="AX739" s="1" t="s">
        <v>74</v>
      </c>
      <c r="AY739" s="1" t="s">
        <v>74</v>
      </c>
      <c r="AZ739" s="1" t="s">
        <v>1350</v>
      </c>
      <c r="BA739" s="1" t="s">
        <v>74</v>
      </c>
      <c r="BB739" s="1">
        <v>306.0</v>
      </c>
      <c r="BC739" s="1">
        <v>324.0</v>
      </c>
      <c r="BD739" s="1" t="s">
        <v>74</v>
      </c>
      <c r="BE739" s="1" t="s">
        <v>7442</v>
      </c>
      <c r="BF739" s="2" t="str">
        <f>HYPERLINK("http://dx.doi.org/10.1108/CDI-04-2018-0119","http://dx.doi.org/10.1108/CDI-04-2018-0119")</f>
        <v>http://dx.doi.org/10.1108/CDI-04-2018-0119</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7443</v>
      </c>
      <c r="BT739" s="1" t="str">
        <f>HYPERLINK("https%3A%2F%2Fwww.webofscience.com%2Fwos%2Fwoscc%2Ffull-record%2FWOS:000524860900006","View Full Record in Web of Science")</f>
        <v>View Full Record in Web of Science</v>
      </c>
    </row>
    <row r="740" ht="12.75" customHeight="1">
      <c r="A740" s="1" t="s">
        <v>72</v>
      </c>
      <c r="B740" s="1" t="s">
        <v>7444</v>
      </c>
      <c r="C740" s="1" t="s">
        <v>74</v>
      </c>
      <c r="D740" s="1" t="s">
        <v>74</v>
      </c>
      <c r="E740" s="1" t="s">
        <v>74</v>
      </c>
      <c r="F740" s="1" t="s">
        <v>7445</v>
      </c>
      <c r="G740" s="1" t="s">
        <v>74</v>
      </c>
      <c r="H740" s="1" t="s">
        <v>74</v>
      </c>
      <c r="I740" s="1" t="s">
        <v>7446</v>
      </c>
      <c r="J740" s="1" t="s">
        <v>7447</v>
      </c>
      <c r="K740" s="1" t="s">
        <v>74</v>
      </c>
      <c r="L740" s="1" t="s">
        <v>74</v>
      </c>
      <c r="M740" s="1" t="s">
        <v>74</v>
      </c>
      <c r="N740" s="1" t="s">
        <v>74</v>
      </c>
      <c r="O740" s="1" t="s">
        <v>74</v>
      </c>
      <c r="P740" s="1" t="s">
        <v>74</v>
      </c>
      <c r="Q740" s="1" t="s">
        <v>74</v>
      </c>
      <c r="R740" s="1" t="s">
        <v>74</v>
      </c>
      <c r="S740" s="1" t="s">
        <v>74</v>
      </c>
      <c r="T740" s="1" t="s">
        <v>74</v>
      </c>
      <c r="U740" s="1" t="s">
        <v>74</v>
      </c>
      <c r="V740" s="1" t="s">
        <v>7448</v>
      </c>
      <c r="W740" s="1" t="s">
        <v>74</v>
      </c>
      <c r="X740" s="1" t="s">
        <v>74</v>
      </c>
      <c r="Y740" s="1" t="s">
        <v>74</v>
      </c>
      <c r="Z740" s="1" t="s">
        <v>74</v>
      </c>
      <c r="AA740" s="1" t="s">
        <v>7449</v>
      </c>
      <c r="AB740" s="1" t="s">
        <v>7450</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7451</v>
      </c>
      <c r="AP740" s="1" t="s">
        <v>74</v>
      </c>
      <c r="AQ740" s="1" t="s">
        <v>74</v>
      </c>
      <c r="AR740" s="1" t="s">
        <v>74</v>
      </c>
      <c r="AS740" s="1" t="s">
        <v>74</v>
      </c>
      <c r="AT740" s="1" t="s">
        <v>74</v>
      </c>
      <c r="AU740" s="1">
        <v>2020.0</v>
      </c>
      <c r="AV740" s="1">
        <v>15.0</v>
      </c>
      <c r="AW740" s="1">
        <v>3.0</v>
      </c>
      <c r="AX740" s="1" t="s">
        <v>74</v>
      </c>
      <c r="AY740" s="1" t="s">
        <v>74</v>
      </c>
      <c r="AZ740" s="1" t="s">
        <v>74</v>
      </c>
      <c r="BA740" s="1" t="s">
        <v>74</v>
      </c>
      <c r="BB740" s="1">
        <v>549.0</v>
      </c>
      <c r="BC740" s="1">
        <v>558.0</v>
      </c>
      <c r="BD740" s="1" t="s">
        <v>74</v>
      </c>
      <c r="BE740" s="1" t="s">
        <v>7452</v>
      </c>
      <c r="BF740" s="2" t="str">
        <f>HYPERLINK("http://dx.doi.org/10.14198/jhse.2020.153.07","http://dx.doi.org/10.14198/jhse.2020.153.07")</f>
        <v>http://dx.doi.org/10.14198/jhse.2020.153.07</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7453</v>
      </c>
      <c r="BT740" s="1" t="str">
        <f>HYPERLINK("https%3A%2F%2Fwww.webofscience.com%2Fwos%2Fwoscc%2Ffull-record%2FWOS:000565221500007","View Full Record in Web of Science")</f>
        <v>View Full Record in Web of Science</v>
      </c>
    </row>
    <row r="741" ht="12.75" customHeight="1">
      <c r="A741" s="1" t="s">
        <v>72</v>
      </c>
      <c r="B741" s="1" t="s">
        <v>7454</v>
      </c>
      <c r="C741" s="1" t="s">
        <v>74</v>
      </c>
      <c r="D741" s="1" t="s">
        <v>74</v>
      </c>
      <c r="E741" s="1" t="s">
        <v>74</v>
      </c>
      <c r="F741" s="1" t="s">
        <v>7455</v>
      </c>
      <c r="G741" s="1" t="s">
        <v>74</v>
      </c>
      <c r="H741" s="1" t="s">
        <v>74</v>
      </c>
      <c r="I741" s="1" t="s">
        <v>7456</v>
      </c>
      <c r="J741" s="1" t="s">
        <v>2428</v>
      </c>
      <c r="K741" s="1" t="s">
        <v>74</v>
      </c>
      <c r="L741" s="1" t="s">
        <v>74</v>
      </c>
      <c r="M741" s="1" t="s">
        <v>74</v>
      </c>
      <c r="N741" s="1" t="s">
        <v>74</v>
      </c>
      <c r="O741" s="1" t="s">
        <v>74</v>
      </c>
      <c r="P741" s="1" t="s">
        <v>74</v>
      </c>
      <c r="Q741" s="1" t="s">
        <v>74</v>
      </c>
      <c r="R741" s="1" t="s">
        <v>74</v>
      </c>
      <c r="S741" s="1" t="s">
        <v>74</v>
      </c>
      <c r="T741" s="1" t="s">
        <v>74</v>
      </c>
      <c r="U741" s="1" t="s">
        <v>74</v>
      </c>
      <c r="V741" s="1" t="s">
        <v>7457</v>
      </c>
      <c r="W741" s="1" t="s">
        <v>74</v>
      </c>
      <c r="X741" s="1" t="s">
        <v>74</v>
      </c>
      <c r="Y741" s="1" t="s">
        <v>74</v>
      </c>
      <c r="Z741" s="1" t="s">
        <v>74</v>
      </c>
      <c r="AA741" s="1" t="s">
        <v>7458</v>
      </c>
      <c r="AB741" s="1" t="s">
        <v>7459</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2431</v>
      </c>
      <c r="AP741" s="1" t="s">
        <v>2432</v>
      </c>
      <c r="AQ741" s="1" t="s">
        <v>74</v>
      </c>
      <c r="AR741" s="1" t="s">
        <v>74</v>
      </c>
      <c r="AS741" s="1" t="s">
        <v>74</v>
      </c>
      <c r="AT741" s="1" t="s">
        <v>3537</v>
      </c>
      <c r="AU741" s="1">
        <v>2016.0</v>
      </c>
      <c r="AV741" s="1">
        <v>181.0</v>
      </c>
      <c r="AW741" s="1" t="s">
        <v>74</v>
      </c>
      <c r="AX741" s="1" t="s">
        <v>74</v>
      </c>
      <c r="AY741" s="1" t="s">
        <v>74</v>
      </c>
      <c r="AZ741" s="1" t="s">
        <v>74</v>
      </c>
      <c r="BA741" s="1" t="s">
        <v>74</v>
      </c>
      <c r="BB741" s="1">
        <v>8.0</v>
      </c>
      <c r="BC741" s="1">
        <v>11.0</v>
      </c>
      <c r="BD741" s="1" t="s">
        <v>74</v>
      </c>
      <c r="BE741" s="1" t="s">
        <v>7460</v>
      </c>
      <c r="BF741" s="2" t="str">
        <f>HYPERLINK("http://dx.doi.org/10.1016/j.matlet.2016.05.126","http://dx.doi.org/10.1016/j.matlet.2016.05.126")</f>
        <v>http://dx.doi.org/10.1016/j.matlet.2016.05.126</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7461</v>
      </c>
      <c r="BT741" s="1" t="str">
        <f>HYPERLINK("https%3A%2F%2Fwww.webofscience.com%2Fwos%2Fwoscc%2Ffull-record%2FWOS:000381540100003","View Full Record in Web of Science")</f>
        <v>View Full Record in Web of Science</v>
      </c>
    </row>
    <row r="742" ht="12.75" customHeight="1">
      <c r="A742" s="1" t="s">
        <v>72</v>
      </c>
      <c r="B742" s="1" t="s">
        <v>7462</v>
      </c>
      <c r="C742" s="1" t="s">
        <v>74</v>
      </c>
      <c r="D742" s="1" t="s">
        <v>74</v>
      </c>
      <c r="E742" s="1" t="s">
        <v>74</v>
      </c>
      <c r="F742" s="1" t="s">
        <v>7463</v>
      </c>
      <c r="G742" s="1" t="s">
        <v>74</v>
      </c>
      <c r="H742" s="1" t="s">
        <v>74</v>
      </c>
      <c r="I742" s="1" t="s">
        <v>7464</v>
      </c>
      <c r="J742" s="1" t="s">
        <v>5875</v>
      </c>
      <c r="K742" s="1" t="s">
        <v>74</v>
      </c>
      <c r="L742" s="1" t="s">
        <v>74</v>
      </c>
      <c r="M742" s="1" t="s">
        <v>74</v>
      </c>
      <c r="N742" s="1" t="s">
        <v>74</v>
      </c>
      <c r="O742" s="1" t="s">
        <v>74</v>
      </c>
      <c r="P742" s="1" t="s">
        <v>74</v>
      </c>
      <c r="Q742" s="1" t="s">
        <v>74</v>
      </c>
      <c r="R742" s="1" t="s">
        <v>74</v>
      </c>
      <c r="S742" s="1" t="s">
        <v>74</v>
      </c>
      <c r="T742" s="1" t="s">
        <v>74</v>
      </c>
      <c r="U742" s="1" t="s">
        <v>74</v>
      </c>
      <c r="V742" s="1" t="s">
        <v>7465</v>
      </c>
      <c r="W742" s="1" t="s">
        <v>74</v>
      </c>
      <c r="X742" s="1" t="s">
        <v>74</v>
      </c>
      <c r="Y742" s="1" t="s">
        <v>74</v>
      </c>
      <c r="Z742" s="1" t="s">
        <v>74</v>
      </c>
      <c r="AA742" s="1" t="s">
        <v>7466</v>
      </c>
      <c r="AB742" s="1" t="s">
        <v>7467</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5879</v>
      </c>
      <c r="AP742" s="1" t="s">
        <v>5880</v>
      </c>
      <c r="AQ742" s="1" t="s">
        <v>74</v>
      </c>
      <c r="AR742" s="1" t="s">
        <v>74</v>
      </c>
      <c r="AS742" s="1" t="s">
        <v>74</v>
      </c>
      <c r="AT742" s="1" t="s">
        <v>308</v>
      </c>
      <c r="AU742" s="1">
        <v>2016.0</v>
      </c>
      <c r="AV742" s="1">
        <v>16.0</v>
      </c>
      <c r="AW742" s="1">
        <v>4.0</v>
      </c>
      <c r="AX742" s="1" t="s">
        <v>74</v>
      </c>
      <c r="AY742" s="1" t="s">
        <v>74</v>
      </c>
      <c r="AZ742" s="1" t="s">
        <v>74</v>
      </c>
      <c r="BA742" s="1" t="s">
        <v>74</v>
      </c>
      <c r="BB742" s="1">
        <v>2173.0</v>
      </c>
      <c r="BC742" s="1">
        <v>2182.0</v>
      </c>
      <c r="BD742" s="1" t="s">
        <v>74</v>
      </c>
      <c r="BE742" s="1" t="s">
        <v>7468</v>
      </c>
      <c r="BF742" s="2" t="str">
        <f>HYPERLINK("http://dx.doi.org/10.1021/acs.cgd.5b01843","http://dx.doi.org/10.1021/acs.cgd.5b01843")</f>
        <v>http://dx.doi.org/10.1021/acs.cgd.5b01843</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7469</v>
      </c>
      <c r="BT742" s="1" t="str">
        <f>HYPERLINK("https%3A%2F%2Fwww.webofscience.com%2Fwos%2Fwoscc%2Ffull-record%2FWOS:000373747700048","View Full Record in Web of Science")</f>
        <v>View Full Record in Web of Science</v>
      </c>
    </row>
    <row r="743" ht="12.75" customHeight="1">
      <c r="A743" s="1" t="s">
        <v>72</v>
      </c>
      <c r="B743" s="1" t="s">
        <v>7470</v>
      </c>
      <c r="C743" s="1" t="s">
        <v>74</v>
      </c>
      <c r="D743" s="1" t="s">
        <v>74</v>
      </c>
      <c r="E743" s="1" t="s">
        <v>74</v>
      </c>
      <c r="F743" s="1" t="s">
        <v>7471</v>
      </c>
      <c r="G743" s="1" t="s">
        <v>74</v>
      </c>
      <c r="H743" s="1" t="s">
        <v>74</v>
      </c>
      <c r="I743" s="1" t="s">
        <v>7472</v>
      </c>
      <c r="J743" s="1" t="s">
        <v>1695</v>
      </c>
      <c r="K743" s="1" t="s">
        <v>74</v>
      </c>
      <c r="L743" s="1" t="s">
        <v>74</v>
      </c>
      <c r="M743" s="1" t="s">
        <v>74</v>
      </c>
      <c r="N743" s="1" t="s">
        <v>74</v>
      </c>
      <c r="O743" s="1" t="s">
        <v>74</v>
      </c>
      <c r="P743" s="1" t="s">
        <v>74</v>
      </c>
      <c r="Q743" s="1" t="s">
        <v>74</v>
      </c>
      <c r="R743" s="1" t="s">
        <v>74</v>
      </c>
      <c r="S743" s="1" t="s">
        <v>74</v>
      </c>
      <c r="T743" s="1" t="s">
        <v>74</v>
      </c>
      <c r="U743" s="1" t="s">
        <v>74</v>
      </c>
      <c r="V743" s="1" t="s">
        <v>7473</v>
      </c>
      <c r="W743" s="1" t="s">
        <v>74</v>
      </c>
      <c r="X743" s="1" t="s">
        <v>74</v>
      </c>
      <c r="Y743" s="1" t="s">
        <v>74</v>
      </c>
      <c r="Z743" s="1" t="s">
        <v>74</v>
      </c>
      <c r="AA743" s="1" t="s">
        <v>7474</v>
      </c>
      <c r="AB743" s="1" t="s">
        <v>7475</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1699</v>
      </c>
      <c r="AP743" s="1" t="s">
        <v>74</v>
      </c>
      <c r="AQ743" s="1" t="s">
        <v>74</v>
      </c>
      <c r="AR743" s="1" t="s">
        <v>74</v>
      </c>
      <c r="AS743" s="1" t="s">
        <v>74</v>
      </c>
      <c r="AT743" s="1" t="s">
        <v>600</v>
      </c>
      <c r="AU743" s="1">
        <v>2013.0</v>
      </c>
      <c r="AV743" s="1">
        <v>18.0</v>
      </c>
      <c r="AW743" s="1">
        <v>2.0</v>
      </c>
      <c r="AX743" s="1" t="s">
        <v>74</v>
      </c>
      <c r="AY743" s="1" t="s">
        <v>74</v>
      </c>
      <c r="AZ743" s="1" t="s">
        <v>74</v>
      </c>
      <c r="BA743" s="1" t="s">
        <v>74</v>
      </c>
      <c r="BB743" s="1">
        <v>1638.0</v>
      </c>
      <c r="BC743" s="1">
        <v>1652.0</v>
      </c>
      <c r="BD743" s="1" t="s">
        <v>74</v>
      </c>
      <c r="BE743" s="1" t="s">
        <v>7476</v>
      </c>
      <c r="BF743" s="2" t="str">
        <f>HYPERLINK("http://dx.doi.org/10.3390/molecules18021638","http://dx.doi.org/10.3390/molecules18021638")</f>
        <v>http://dx.doi.org/10.3390/molecules18021638</v>
      </c>
      <c r="BG743" s="1" t="s">
        <v>74</v>
      </c>
      <c r="BH743" s="1" t="s">
        <v>74</v>
      </c>
      <c r="BI743" s="1" t="s">
        <v>74</v>
      </c>
      <c r="BJ743" s="1" t="s">
        <v>74</v>
      </c>
      <c r="BK743" s="1" t="s">
        <v>74</v>
      </c>
      <c r="BL743" s="1" t="s">
        <v>74</v>
      </c>
      <c r="BM743" s="1" t="s">
        <v>74</v>
      </c>
      <c r="BN743" s="1">
        <v>2.3358322E7</v>
      </c>
      <c r="BO743" s="1" t="s">
        <v>74</v>
      </c>
      <c r="BP743" s="1" t="s">
        <v>74</v>
      </c>
      <c r="BQ743" s="1" t="s">
        <v>74</v>
      </c>
      <c r="BR743" s="1" t="s">
        <v>74</v>
      </c>
      <c r="BS743" s="1" t="s">
        <v>7477</v>
      </c>
      <c r="BT743" s="1" t="str">
        <f>HYPERLINK("https%3A%2F%2Fwww.webofscience.com%2Fwos%2Fwoscc%2Ffull-record%2FWOS:000315400600022","View Full Record in Web of Science")</f>
        <v>View Full Record in Web of Science</v>
      </c>
    </row>
    <row r="744" ht="12.75" customHeight="1">
      <c r="A744" s="1" t="s">
        <v>72</v>
      </c>
      <c r="B744" s="1" t="s">
        <v>7478</v>
      </c>
      <c r="C744" s="1" t="s">
        <v>74</v>
      </c>
      <c r="D744" s="1" t="s">
        <v>74</v>
      </c>
      <c r="E744" s="1" t="s">
        <v>74</v>
      </c>
      <c r="F744" s="1" t="s">
        <v>7479</v>
      </c>
      <c r="G744" s="1" t="s">
        <v>74</v>
      </c>
      <c r="H744" s="1" t="s">
        <v>74</v>
      </c>
      <c r="I744" s="1" t="s">
        <v>7480</v>
      </c>
      <c r="J744" s="1" t="s">
        <v>7481</v>
      </c>
      <c r="K744" s="1" t="s">
        <v>74</v>
      </c>
      <c r="L744" s="1" t="s">
        <v>74</v>
      </c>
      <c r="M744" s="1" t="s">
        <v>74</v>
      </c>
      <c r="N744" s="1" t="s">
        <v>74</v>
      </c>
      <c r="O744" s="1" t="s">
        <v>74</v>
      </c>
      <c r="P744" s="1" t="s">
        <v>74</v>
      </c>
      <c r="Q744" s="1" t="s">
        <v>74</v>
      </c>
      <c r="R744" s="1" t="s">
        <v>74</v>
      </c>
      <c r="S744" s="1" t="s">
        <v>74</v>
      </c>
      <c r="T744" s="1" t="s">
        <v>74</v>
      </c>
      <c r="U744" s="1" t="s">
        <v>74</v>
      </c>
      <c r="V744" s="1" t="s">
        <v>7482</v>
      </c>
      <c r="W744" s="1" t="s">
        <v>74</v>
      </c>
      <c r="X744" s="1" t="s">
        <v>74</v>
      </c>
      <c r="Y744" s="1" t="s">
        <v>74</v>
      </c>
      <c r="Z744" s="1" t="s">
        <v>74</v>
      </c>
      <c r="AA744" s="1" t="s">
        <v>7483</v>
      </c>
      <c r="AB744" s="1" t="s">
        <v>7484</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7485</v>
      </c>
      <c r="AP744" s="1" t="s">
        <v>7486</v>
      </c>
      <c r="AQ744" s="1" t="s">
        <v>74</v>
      </c>
      <c r="AR744" s="1" t="s">
        <v>74</v>
      </c>
      <c r="AS744" s="1" t="s">
        <v>74</v>
      </c>
      <c r="AT744" s="1" t="s">
        <v>600</v>
      </c>
      <c r="AU744" s="1">
        <v>2013.0</v>
      </c>
      <c r="AV744" s="1">
        <v>37.0</v>
      </c>
      <c r="AW744" s="1">
        <v>1.0</v>
      </c>
      <c r="AX744" s="1" t="s">
        <v>74</v>
      </c>
      <c r="AY744" s="1" t="s">
        <v>74</v>
      </c>
      <c r="AZ744" s="1" t="s">
        <v>74</v>
      </c>
      <c r="BA744" s="1" t="s">
        <v>74</v>
      </c>
      <c r="BB744" s="1">
        <v>74.0</v>
      </c>
      <c r="BC744" s="1">
        <v>85.0</v>
      </c>
      <c r="BD744" s="1" t="s">
        <v>74</v>
      </c>
      <c r="BE744" s="1" t="s">
        <v>7487</v>
      </c>
      <c r="BF744" s="2" t="str">
        <f>HYPERLINK("http://dx.doi.org/10.1111/j.1745-4549.2011.00623.x","http://dx.doi.org/10.1111/j.1745-4549.2011.00623.x")</f>
        <v>http://dx.doi.org/10.1111/j.1745-4549.2011.00623.x</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7488</v>
      </c>
      <c r="BT744" s="1" t="str">
        <f>HYPERLINK("https%3A%2F%2Fwww.webofscience.com%2Fwos%2Fwoscc%2Ffull-record%2FWOS:000313946400009","View Full Record in Web of Science")</f>
        <v>View Full Record in Web of Science</v>
      </c>
    </row>
    <row r="745" ht="12.75" customHeight="1">
      <c r="A745" s="1" t="s">
        <v>72</v>
      </c>
      <c r="B745" s="1" t="s">
        <v>7489</v>
      </c>
      <c r="C745" s="1" t="s">
        <v>74</v>
      </c>
      <c r="D745" s="1" t="s">
        <v>74</v>
      </c>
      <c r="E745" s="1" t="s">
        <v>74</v>
      </c>
      <c r="F745" s="1" t="s">
        <v>7490</v>
      </c>
      <c r="G745" s="1" t="s">
        <v>74</v>
      </c>
      <c r="H745" s="1" t="s">
        <v>74</v>
      </c>
      <c r="I745" s="1" t="s">
        <v>7491</v>
      </c>
      <c r="J745" s="1" t="s">
        <v>3059</v>
      </c>
      <c r="K745" s="1" t="s">
        <v>74</v>
      </c>
      <c r="L745" s="1" t="s">
        <v>74</v>
      </c>
      <c r="M745" s="1" t="s">
        <v>74</v>
      </c>
      <c r="N745" s="1" t="s">
        <v>74</v>
      </c>
      <c r="O745" s="1" t="s">
        <v>74</v>
      </c>
      <c r="P745" s="1" t="s">
        <v>74</v>
      </c>
      <c r="Q745" s="1" t="s">
        <v>74</v>
      </c>
      <c r="R745" s="1" t="s">
        <v>74</v>
      </c>
      <c r="S745" s="1" t="s">
        <v>74</v>
      </c>
      <c r="T745" s="1" t="s">
        <v>74</v>
      </c>
      <c r="U745" s="1" t="s">
        <v>74</v>
      </c>
      <c r="V745" s="1" t="s">
        <v>7492</v>
      </c>
      <c r="W745" s="1" t="s">
        <v>74</v>
      </c>
      <c r="X745" s="1" t="s">
        <v>74</v>
      </c>
      <c r="Y745" s="1" t="s">
        <v>74</v>
      </c>
      <c r="Z745" s="1" t="s">
        <v>74</v>
      </c>
      <c r="AA745" s="1" t="s">
        <v>7493</v>
      </c>
      <c r="AB745" s="1" t="s">
        <v>7494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3063</v>
      </c>
      <c r="AP745" s="1" t="s">
        <v>3064</v>
      </c>
      <c r="AQ745" s="1" t="s">
        <v>74</v>
      </c>
      <c r="AR745" s="1" t="s">
        <v>74</v>
      </c>
      <c r="AS745" s="1" t="s">
        <v>74</v>
      </c>
      <c r="AT745" s="1" t="s">
        <v>612</v>
      </c>
      <c r="AU745" s="1">
        <v>2013.0</v>
      </c>
      <c r="AV745" s="1">
        <v>113.0</v>
      </c>
      <c r="AW745" s="1">
        <v>2.0</v>
      </c>
      <c r="AX745" s="1" t="s">
        <v>74</v>
      </c>
      <c r="AY745" s="1" t="s">
        <v>74</v>
      </c>
      <c r="AZ745" s="1" t="s">
        <v>74</v>
      </c>
      <c r="BA745" s="1" t="s">
        <v>74</v>
      </c>
      <c r="BB745" s="1" t="s">
        <v>74</v>
      </c>
      <c r="BC745" s="1" t="s">
        <v>74</v>
      </c>
      <c r="BD745" s="1">
        <v>23511.0</v>
      </c>
      <c r="BE745" s="1" t="s">
        <v>7495</v>
      </c>
      <c r="BF745" s="2" t="str">
        <f>HYPERLINK("http://dx.doi.org/10.1063/1.4774764","http://dx.doi.org/10.1063/1.4774764")</f>
        <v>http://dx.doi.org/10.1063/1.4774764</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7496</v>
      </c>
      <c r="BT745" s="1" t="str">
        <f>HYPERLINK("https%3A%2F%2Fwww.webofscience.com%2Fwos%2Fwoscc%2Ffull-record%2FWOS:000313644500022","View Full Record in Web of Science")</f>
        <v>View Full Record in Web of Science</v>
      </c>
    </row>
    <row r="746" ht="12.75" customHeight="1">
      <c r="A746" s="1" t="s">
        <v>72</v>
      </c>
      <c r="B746" s="1" t="s">
        <v>7497</v>
      </c>
      <c r="C746" s="1" t="s">
        <v>74</v>
      </c>
      <c r="D746" s="1" t="s">
        <v>74</v>
      </c>
      <c r="E746" s="1" t="s">
        <v>74</v>
      </c>
      <c r="F746" s="1" t="s">
        <v>7498</v>
      </c>
      <c r="G746" s="1" t="s">
        <v>74</v>
      </c>
      <c r="H746" s="1" t="s">
        <v>74</v>
      </c>
      <c r="I746" s="1" t="s">
        <v>7499</v>
      </c>
      <c r="J746" s="1" t="s">
        <v>7500</v>
      </c>
      <c r="K746" s="1" t="s">
        <v>74</v>
      </c>
      <c r="L746" s="1" t="s">
        <v>74</v>
      </c>
      <c r="M746" s="1" t="s">
        <v>74</v>
      </c>
      <c r="N746" s="1" t="s">
        <v>74</v>
      </c>
      <c r="O746" s="1" t="s">
        <v>74</v>
      </c>
      <c r="P746" s="1" t="s">
        <v>74</v>
      </c>
      <c r="Q746" s="1" t="s">
        <v>74</v>
      </c>
      <c r="R746" s="1" t="s">
        <v>74</v>
      </c>
      <c r="S746" s="1" t="s">
        <v>74</v>
      </c>
      <c r="T746" s="1" t="s">
        <v>74</v>
      </c>
      <c r="U746" s="1" t="s">
        <v>74</v>
      </c>
      <c r="V746" s="1" t="s">
        <v>7501</v>
      </c>
      <c r="W746" s="1" t="s">
        <v>74</v>
      </c>
      <c r="X746" s="1" t="s">
        <v>74</v>
      </c>
      <c r="Y746" s="1" t="s">
        <v>74</v>
      </c>
      <c r="Z746" s="1" t="s">
        <v>74</v>
      </c>
      <c r="AA746" s="1" t="s">
        <v>7502</v>
      </c>
      <c r="AB746" s="1" t="s">
        <v>7403</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7503</v>
      </c>
      <c r="AP746" s="1" t="s">
        <v>74</v>
      </c>
      <c r="AQ746" s="1" t="s">
        <v>74</v>
      </c>
      <c r="AR746" s="1" t="s">
        <v>74</v>
      </c>
      <c r="AS746" s="1" t="s">
        <v>74</v>
      </c>
      <c r="AT746" s="1" t="s">
        <v>241</v>
      </c>
      <c r="AU746" s="1">
        <v>2012.0</v>
      </c>
      <c r="AV746" s="1">
        <v>1.0</v>
      </c>
      <c r="AW746" s="1">
        <v>3.0</v>
      </c>
      <c r="AX746" s="1" t="s">
        <v>74</v>
      </c>
      <c r="AY746" s="1" t="s">
        <v>74</v>
      </c>
      <c r="AZ746" s="1" t="s">
        <v>74</v>
      </c>
      <c r="BA746" s="1" t="s">
        <v>74</v>
      </c>
      <c r="BB746" s="1">
        <v>259.0</v>
      </c>
      <c r="BC746" s="1">
        <v>267.0</v>
      </c>
      <c r="BD746" s="1" t="s">
        <v>74</v>
      </c>
      <c r="BE746" s="1" t="s">
        <v>7504</v>
      </c>
      <c r="BF746" s="2" t="str">
        <f>HYPERLINK("http://dx.doi.org/10.1002/mbo3.26","http://dx.doi.org/10.1002/mbo3.26")</f>
        <v>http://dx.doi.org/10.1002/mbo3.26</v>
      </c>
      <c r="BG746" s="1" t="s">
        <v>74</v>
      </c>
      <c r="BH746" s="1" t="s">
        <v>74</v>
      </c>
      <c r="BI746" s="1" t="s">
        <v>74</v>
      </c>
      <c r="BJ746" s="1" t="s">
        <v>74</v>
      </c>
      <c r="BK746" s="1" t="s">
        <v>74</v>
      </c>
      <c r="BL746" s="1" t="s">
        <v>74</v>
      </c>
      <c r="BM746" s="1" t="s">
        <v>74</v>
      </c>
      <c r="BN746" s="1">
        <v>2.3189244E7</v>
      </c>
      <c r="BO746" s="1" t="s">
        <v>74</v>
      </c>
      <c r="BP746" s="1" t="s">
        <v>74</v>
      </c>
      <c r="BQ746" s="1" t="s">
        <v>74</v>
      </c>
      <c r="BR746" s="1" t="s">
        <v>74</v>
      </c>
      <c r="BS746" s="1" t="s">
        <v>7505</v>
      </c>
      <c r="BT746" s="1" t="str">
        <f>HYPERLINK("https%3A%2F%2Fwww.webofscience.com%2Fwos%2Fwoscc%2Ffull-record%2FWOS:000209077700002","View Full Record in Web of Science")</f>
        <v>View Full Record in Web of Science</v>
      </c>
    </row>
    <row r="747" ht="12.75" customHeight="1">
      <c r="A747" s="1" t="s">
        <v>72</v>
      </c>
      <c r="B747" s="1" t="s">
        <v>7506</v>
      </c>
      <c r="C747" s="1" t="s">
        <v>74</v>
      </c>
      <c r="D747" s="1" t="s">
        <v>74</v>
      </c>
      <c r="E747" s="1" t="s">
        <v>74</v>
      </c>
      <c r="F747" s="1" t="s">
        <v>7507</v>
      </c>
      <c r="G747" s="1" t="s">
        <v>74</v>
      </c>
      <c r="H747" s="1" t="s">
        <v>74</v>
      </c>
      <c r="I747" s="1" t="s">
        <v>7508</v>
      </c>
      <c r="J747" s="1" t="s">
        <v>7509</v>
      </c>
      <c r="K747" s="1" t="s">
        <v>74</v>
      </c>
      <c r="L747" s="1" t="s">
        <v>74</v>
      </c>
      <c r="M747" s="1" t="s">
        <v>74</v>
      </c>
      <c r="N747" s="1" t="s">
        <v>74</v>
      </c>
      <c r="O747" s="1" t="s">
        <v>74</v>
      </c>
      <c r="P747" s="1" t="s">
        <v>74</v>
      </c>
      <c r="Q747" s="1" t="s">
        <v>74</v>
      </c>
      <c r="R747" s="1" t="s">
        <v>74</v>
      </c>
      <c r="S747" s="1" t="s">
        <v>74</v>
      </c>
      <c r="T747" s="1" t="s">
        <v>74</v>
      </c>
      <c r="U747" s="1" t="s">
        <v>74</v>
      </c>
      <c r="V747" s="1" t="s">
        <v>7510</v>
      </c>
      <c r="W747" s="1" t="s">
        <v>74</v>
      </c>
      <c r="X747" s="1" t="s">
        <v>74</v>
      </c>
      <c r="Y747" s="1" t="s">
        <v>74</v>
      </c>
      <c r="Z747" s="1" t="s">
        <v>74</v>
      </c>
      <c r="AA747" s="1" t="s">
        <v>7511</v>
      </c>
      <c r="AB747" s="1" t="s">
        <v>7512</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7513</v>
      </c>
      <c r="AP747" s="1" t="s">
        <v>74</v>
      </c>
      <c r="AQ747" s="1" t="s">
        <v>74</v>
      </c>
      <c r="AR747" s="1" t="s">
        <v>74</v>
      </c>
      <c r="AS747" s="1" t="s">
        <v>74</v>
      </c>
      <c r="AT747" s="1" t="s">
        <v>385</v>
      </c>
      <c r="AU747" s="1">
        <v>2012.0</v>
      </c>
      <c r="AV747" s="1">
        <v>3.0</v>
      </c>
      <c r="AW747" s="1">
        <v>2.0</v>
      </c>
      <c r="AX747" s="1" t="s">
        <v>74</v>
      </c>
      <c r="AY747" s="1" t="s">
        <v>74</v>
      </c>
      <c r="AZ747" s="1" t="s">
        <v>74</v>
      </c>
      <c r="BA747" s="1" t="s">
        <v>74</v>
      </c>
      <c r="BB747" s="1">
        <v>153.0</v>
      </c>
      <c r="BC747" s="1">
        <v>159.0</v>
      </c>
      <c r="BD747" s="1" t="s">
        <v>74</v>
      </c>
      <c r="BE747" s="1" t="s">
        <v>7514</v>
      </c>
      <c r="BF747" s="2" t="str">
        <f>HYPERLINK("http://dx.doi.org/10.1007/s12678-012-0097-y","http://dx.doi.org/10.1007/s12678-012-0097-y")</f>
        <v>http://dx.doi.org/10.1007/s12678-012-0097-y</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7515</v>
      </c>
      <c r="BT747" s="1" t="str">
        <f>HYPERLINK("https%3A%2F%2Fwww.webofscience.com%2Fwos%2Fwoscc%2Ffull-record%2FWOS:000305231200009","View Full Record in Web of Science")</f>
        <v>View Full Record in Web of Science</v>
      </c>
    </row>
    <row r="748" ht="12.75" customHeight="1">
      <c r="A748" s="1" t="s">
        <v>72</v>
      </c>
      <c r="B748" s="1" t="s">
        <v>7516</v>
      </c>
      <c r="C748" s="1" t="s">
        <v>74</v>
      </c>
      <c r="D748" s="1" t="s">
        <v>74</v>
      </c>
      <c r="E748" s="1" t="s">
        <v>74</v>
      </c>
      <c r="F748" s="1" t="s">
        <v>7517</v>
      </c>
      <c r="G748" s="1" t="s">
        <v>74</v>
      </c>
      <c r="H748" s="1" t="s">
        <v>74</v>
      </c>
      <c r="I748" s="1" t="s">
        <v>7518</v>
      </c>
      <c r="J748" s="1" t="s">
        <v>7519</v>
      </c>
      <c r="K748" s="1" t="s">
        <v>74</v>
      </c>
      <c r="L748" s="1" t="s">
        <v>74</v>
      </c>
      <c r="M748" s="1" t="s">
        <v>74</v>
      </c>
      <c r="N748" s="1" t="s">
        <v>74</v>
      </c>
      <c r="O748" s="1" t="s">
        <v>74</v>
      </c>
      <c r="P748" s="1" t="s">
        <v>74</v>
      </c>
      <c r="Q748" s="1" t="s">
        <v>74</v>
      </c>
      <c r="R748" s="1" t="s">
        <v>74</v>
      </c>
      <c r="S748" s="1" t="s">
        <v>74</v>
      </c>
      <c r="T748" s="1" t="s">
        <v>74</v>
      </c>
      <c r="U748" s="1" t="s">
        <v>74</v>
      </c>
      <c r="V748" s="1" t="s">
        <v>7520</v>
      </c>
      <c r="W748" s="1" t="s">
        <v>74</v>
      </c>
      <c r="X748" s="1" t="s">
        <v>74</v>
      </c>
      <c r="Y748" s="1" t="s">
        <v>74</v>
      </c>
      <c r="Z748" s="1" t="s">
        <v>74</v>
      </c>
      <c r="AA748" s="1" t="s">
        <v>7521</v>
      </c>
      <c r="AB748" s="1" t="s">
        <v>7522</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7523</v>
      </c>
      <c r="AP748" s="1" t="s">
        <v>7524</v>
      </c>
      <c r="AQ748" s="1" t="s">
        <v>74</v>
      </c>
      <c r="AR748" s="1" t="s">
        <v>74</v>
      </c>
      <c r="AS748" s="1" t="s">
        <v>74</v>
      </c>
      <c r="AT748" s="1" t="s">
        <v>7525</v>
      </c>
      <c r="AU748" s="1">
        <v>2012.0</v>
      </c>
      <c r="AV748" s="1">
        <v>117.0</v>
      </c>
      <c r="AW748" s="1" t="s">
        <v>74</v>
      </c>
      <c r="AX748" s="1" t="s">
        <v>74</v>
      </c>
      <c r="AY748" s="1" t="s">
        <v>74</v>
      </c>
      <c r="AZ748" s="1" t="s">
        <v>74</v>
      </c>
      <c r="BA748" s="1" t="s">
        <v>74</v>
      </c>
      <c r="BB748" s="1" t="s">
        <v>74</v>
      </c>
      <c r="BC748" s="1" t="s">
        <v>74</v>
      </c>
      <c r="BD748" s="1" t="s">
        <v>7526</v>
      </c>
      <c r="BE748" s="1" t="s">
        <v>7527</v>
      </c>
      <c r="BF748" s="2" t="str">
        <f>HYPERLINK("http://dx.doi.org/10.1029/2011JF002055","http://dx.doi.org/10.1029/2011JF002055")</f>
        <v>http://dx.doi.org/10.1029/2011JF002055</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7528</v>
      </c>
      <c r="BT748" s="1" t="str">
        <f>HYPERLINK("https%3A%2F%2Fwww.webofscience.com%2Fwos%2Fwoscc%2Ffull-record%2FWOS:000299389000001","View Full Record in Web of Science")</f>
        <v>View Full Record in Web of Science</v>
      </c>
    </row>
    <row r="749" ht="12.75" customHeight="1">
      <c r="A749" s="1" t="s">
        <v>72</v>
      </c>
      <c r="B749" s="1" t="s">
        <v>7529</v>
      </c>
      <c r="C749" s="1" t="s">
        <v>74</v>
      </c>
      <c r="D749" s="1" t="s">
        <v>74</v>
      </c>
      <c r="E749" s="1" t="s">
        <v>74</v>
      </c>
      <c r="F749" s="1" t="s">
        <v>7530</v>
      </c>
      <c r="G749" s="1" t="s">
        <v>74</v>
      </c>
      <c r="H749" s="1" t="s">
        <v>74</v>
      </c>
      <c r="I749" s="1" t="s">
        <v>7531</v>
      </c>
      <c r="J749" s="1" t="s">
        <v>2691</v>
      </c>
      <c r="K749" s="1" t="s">
        <v>74</v>
      </c>
      <c r="L749" s="1" t="s">
        <v>74</v>
      </c>
      <c r="M749" s="1" t="s">
        <v>74</v>
      </c>
      <c r="N749" s="1" t="s">
        <v>74</v>
      </c>
      <c r="O749" s="1" t="s">
        <v>74</v>
      </c>
      <c r="P749" s="1" t="s">
        <v>74</v>
      </c>
      <c r="Q749" s="1" t="s">
        <v>74</v>
      </c>
      <c r="R749" s="1" t="s">
        <v>74</v>
      </c>
      <c r="S749" s="1" t="s">
        <v>74</v>
      </c>
      <c r="T749" s="1" t="s">
        <v>74</v>
      </c>
      <c r="U749" s="1" t="s">
        <v>74</v>
      </c>
      <c r="V749" s="1" t="s">
        <v>7532</v>
      </c>
      <c r="W749" s="1" t="s">
        <v>74</v>
      </c>
      <c r="X749" s="1" t="s">
        <v>74</v>
      </c>
      <c r="Y749" s="1" t="s">
        <v>74</v>
      </c>
      <c r="Z749" s="1" t="s">
        <v>74</v>
      </c>
      <c r="AA749" s="1" t="s">
        <v>74</v>
      </c>
      <c r="AB749" s="1" t="s">
        <v>7533</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2695</v>
      </c>
      <c r="AP749" s="1" t="s">
        <v>7534</v>
      </c>
      <c r="AQ749" s="1" t="s">
        <v>74</v>
      </c>
      <c r="AR749" s="1" t="s">
        <v>74</v>
      </c>
      <c r="AS749" s="1" t="s">
        <v>74</v>
      </c>
      <c r="AT749" s="1" t="s">
        <v>308</v>
      </c>
      <c r="AU749" s="1">
        <v>2011.0</v>
      </c>
      <c r="AV749" s="1">
        <v>45.0</v>
      </c>
      <c r="AW749" s="1">
        <v>4.0</v>
      </c>
      <c r="AX749" s="1" t="s">
        <v>74</v>
      </c>
      <c r="AY749" s="1" t="s">
        <v>74</v>
      </c>
      <c r="AZ749" s="1" t="s">
        <v>74</v>
      </c>
      <c r="BA749" s="1" t="s">
        <v>74</v>
      </c>
      <c r="BB749" s="1">
        <v>400.0</v>
      </c>
      <c r="BC749" s="1">
        <v>408.0</v>
      </c>
      <c r="BD749" s="1" t="s">
        <v>74</v>
      </c>
      <c r="BE749" s="1" t="s">
        <v>7535</v>
      </c>
      <c r="BF749" s="2" t="str">
        <f>HYPERLINK("http://dx.doi.org/10.3109/10715762.2010.536838","http://dx.doi.org/10.3109/10715762.2010.536838")</f>
        <v>http://dx.doi.org/10.3109/10715762.2010.536838</v>
      </c>
      <c r="BG749" s="1" t="s">
        <v>74</v>
      </c>
      <c r="BH749" s="1" t="s">
        <v>74</v>
      </c>
      <c r="BI749" s="1" t="s">
        <v>74</v>
      </c>
      <c r="BJ749" s="1" t="s">
        <v>74</v>
      </c>
      <c r="BK749" s="1" t="s">
        <v>74</v>
      </c>
      <c r="BL749" s="1" t="s">
        <v>74</v>
      </c>
      <c r="BM749" s="1" t="s">
        <v>74</v>
      </c>
      <c r="BN749" s="1">
        <v>2.111789E7</v>
      </c>
      <c r="BO749" s="1" t="s">
        <v>74</v>
      </c>
      <c r="BP749" s="1" t="s">
        <v>74</v>
      </c>
      <c r="BQ749" s="1" t="s">
        <v>74</v>
      </c>
      <c r="BR749" s="1" t="s">
        <v>74</v>
      </c>
      <c r="BS749" s="1" t="s">
        <v>7536</v>
      </c>
      <c r="BT749" s="1" t="str">
        <f>HYPERLINK("https%3A%2F%2Fwww.webofscience.com%2Fwos%2Fwoscc%2Ffull-record%2FWOS:000288217400003","View Full Record in Web of Science")</f>
        <v>View Full Record in Web of Science</v>
      </c>
    </row>
    <row r="750" ht="12.75" customHeight="1">
      <c r="A750" s="1" t="s">
        <v>154</v>
      </c>
      <c r="B750" s="1" t="s">
        <v>7537</v>
      </c>
      <c r="C750" s="1" t="s">
        <v>74</v>
      </c>
      <c r="D750" s="1" t="s">
        <v>74</v>
      </c>
      <c r="E750" s="1" t="s">
        <v>74</v>
      </c>
      <c r="F750" s="1" t="s">
        <v>7538</v>
      </c>
      <c r="G750" s="1" t="s">
        <v>74</v>
      </c>
      <c r="H750" s="1" t="s">
        <v>74</v>
      </c>
      <c r="I750" s="1" t="s">
        <v>7539</v>
      </c>
      <c r="J750" s="1" t="s">
        <v>7540</v>
      </c>
      <c r="K750" s="1" t="s">
        <v>74</v>
      </c>
      <c r="L750" s="1" t="s">
        <v>74</v>
      </c>
      <c r="M750" s="1" t="s">
        <v>74</v>
      </c>
      <c r="N750" s="1" t="s">
        <v>74</v>
      </c>
      <c r="O750" s="1" t="s">
        <v>7541</v>
      </c>
      <c r="P750" s="1" t="s">
        <v>7542</v>
      </c>
      <c r="Q750" s="1" t="s">
        <v>7543</v>
      </c>
      <c r="R750" s="1" t="s">
        <v>74</v>
      </c>
      <c r="S750" s="1" t="s">
        <v>74</v>
      </c>
      <c r="T750" s="1" t="s">
        <v>74</v>
      </c>
      <c r="U750" s="1" t="s">
        <v>74</v>
      </c>
      <c r="V750" s="1" t="s">
        <v>7544</v>
      </c>
      <c r="W750" s="1" t="s">
        <v>74</v>
      </c>
      <c r="X750" s="1" t="s">
        <v>74</v>
      </c>
      <c r="Y750" s="1" t="s">
        <v>74</v>
      </c>
      <c r="Z750" s="1" t="s">
        <v>74</v>
      </c>
      <c r="AA750" s="1" t="s">
        <v>7545</v>
      </c>
      <c r="AB750" s="1" t="s">
        <v>7546</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7547</v>
      </c>
      <c r="AP750" s="1" t="s">
        <v>74</v>
      </c>
      <c r="AQ750" s="1" t="s">
        <v>74</v>
      </c>
      <c r="AR750" s="1" t="s">
        <v>74</v>
      </c>
      <c r="AS750" s="1" t="s">
        <v>74</v>
      </c>
      <c r="AT750" s="1" t="s">
        <v>822</v>
      </c>
      <c r="AU750" s="1">
        <v>2010.0</v>
      </c>
      <c r="AV750" s="1">
        <v>195.0</v>
      </c>
      <c r="AW750" s="1" t="s">
        <v>201</v>
      </c>
      <c r="AX750" s="1" t="s">
        <v>74</v>
      </c>
      <c r="AY750" s="1" t="s">
        <v>74</v>
      </c>
      <c r="AZ750" s="1" t="s">
        <v>74</v>
      </c>
      <c r="BA750" s="1" t="s">
        <v>74</v>
      </c>
      <c r="BB750" s="1">
        <v>35.0</v>
      </c>
      <c r="BC750" s="1">
        <v>41.0</v>
      </c>
      <c r="BD750" s="1" t="s">
        <v>74</v>
      </c>
      <c r="BE750" s="1" t="s">
        <v>7548</v>
      </c>
      <c r="BF750" s="2" t="str">
        <f>HYPERLINK("http://dx.doi.org/10.1007/s10751-009-0098-2","http://dx.doi.org/10.1007/s10751-009-0098-2")</f>
        <v>http://dx.doi.org/10.1007/s10751-009-0098-2</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7549</v>
      </c>
      <c r="BT750" s="1" t="str">
        <f>HYPERLINK("https%3A%2F%2Fwww.webofscience.com%2Fwos%2Fwoscc%2Ffull-record%2FWOS:000313355600006","View Full Record in Web of Science")</f>
        <v>View Full Record in Web of Science</v>
      </c>
    </row>
    <row r="751" ht="12.75" customHeight="1">
      <c r="A751" s="1" t="s">
        <v>154</v>
      </c>
      <c r="B751" s="1" t="s">
        <v>7550</v>
      </c>
      <c r="C751" s="1" t="s">
        <v>74</v>
      </c>
      <c r="D751" s="1" t="s">
        <v>7551</v>
      </c>
      <c r="E751" s="1" t="s">
        <v>74</v>
      </c>
      <c r="F751" s="1" t="s">
        <v>7552</v>
      </c>
      <c r="G751" s="1" t="s">
        <v>74</v>
      </c>
      <c r="H751" s="1" t="s">
        <v>74</v>
      </c>
      <c r="I751" s="1" t="s">
        <v>7553</v>
      </c>
      <c r="J751" s="1" t="s">
        <v>7554</v>
      </c>
      <c r="K751" s="1" t="s">
        <v>1294</v>
      </c>
      <c r="L751" s="1" t="s">
        <v>74</v>
      </c>
      <c r="M751" s="1" t="s">
        <v>74</v>
      </c>
      <c r="N751" s="1" t="s">
        <v>74</v>
      </c>
      <c r="O751" s="1" t="s">
        <v>7555</v>
      </c>
      <c r="P751" s="1" t="s">
        <v>7556</v>
      </c>
      <c r="Q751" s="1" t="s">
        <v>7557</v>
      </c>
      <c r="R751" s="1" t="s">
        <v>7558</v>
      </c>
      <c r="S751" s="1" t="s">
        <v>74</v>
      </c>
      <c r="T751" s="1" t="s">
        <v>74</v>
      </c>
      <c r="U751" s="1" t="s">
        <v>74</v>
      </c>
      <c r="V751" s="1" t="s">
        <v>7559</v>
      </c>
      <c r="W751" s="1" t="s">
        <v>74</v>
      </c>
      <c r="X751" s="1" t="s">
        <v>74</v>
      </c>
      <c r="Y751" s="1" t="s">
        <v>74</v>
      </c>
      <c r="Z751" s="1" t="s">
        <v>74</v>
      </c>
      <c r="AA751" s="1" t="s">
        <v>7560</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1300</v>
      </c>
      <c r="AP751" s="1" t="s">
        <v>1301</v>
      </c>
      <c r="AQ751" s="1" t="s">
        <v>7561</v>
      </c>
      <c r="AR751" s="1" t="s">
        <v>74</v>
      </c>
      <c r="AS751" s="1" t="s">
        <v>74</v>
      </c>
      <c r="AT751" s="1" t="s">
        <v>74</v>
      </c>
      <c r="AU751" s="1">
        <v>2010.0</v>
      </c>
      <c r="AV751" s="1">
        <v>6393.0</v>
      </c>
      <c r="AW751" s="1" t="s">
        <v>74</v>
      </c>
      <c r="AX751" s="1" t="s">
        <v>74</v>
      </c>
      <c r="AY751" s="1" t="s">
        <v>74</v>
      </c>
      <c r="AZ751" s="1" t="s">
        <v>74</v>
      </c>
      <c r="BA751" s="1" t="s">
        <v>74</v>
      </c>
      <c r="BB751" s="1">
        <v>43.0</v>
      </c>
      <c r="BC751" s="1" t="s">
        <v>662</v>
      </c>
      <c r="BD751" s="1" t="s">
        <v>74</v>
      </c>
      <c r="BE751" s="1" t="s">
        <v>74</v>
      </c>
      <c r="BF751" s="1" t="s">
        <v>74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7562</v>
      </c>
      <c r="BT751" s="1" t="str">
        <f>HYPERLINK("https%3A%2F%2Fwww.webofscience.com%2Fwos%2Fwoscc%2Ffull-record%2FWOS:000288886400005","View Full Record in Web of Science")</f>
        <v>View Full Record in Web of Science</v>
      </c>
    </row>
    <row r="752" ht="12.75" customHeight="1">
      <c r="A752" s="1" t="s">
        <v>72</v>
      </c>
      <c r="B752" s="1" t="s">
        <v>5071</v>
      </c>
      <c r="C752" s="1" t="s">
        <v>74</v>
      </c>
      <c r="D752" s="1" t="s">
        <v>74</v>
      </c>
      <c r="E752" s="1" t="s">
        <v>74</v>
      </c>
      <c r="F752" s="1" t="s">
        <v>7563</v>
      </c>
      <c r="G752" s="1" t="s">
        <v>74</v>
      </c>
      <c r="H752" s="1" t="s">
        <v>74</v>
      </c>
      <c r="I752" s="1" t="s">
        <v>7564</v>
      </c>
      <c r="J752" s="1" t="s">
        <v>7565</v>
      </c>
      <c r="K752" s="1" t="s">
        <v>74</v>
      </c>
      <c r="L752" s="1" t="s">
        <v>74</v>
      </c>
      <c r="M752" s="1" t="s">
        <v>74</v>
      </c>
      <c r="N752" s="1" t="s">
        <v>74</v>
      </c>
      <c r="O752" s="1" t="s">
        <v>74</v>
      </c>
      <c r="P752" s="1" t="s">
        <v>74</v>
      </c>
      <c r="Q752" s="1" t="s">
        <v>74</v>
      </c>
      <c r="R752" s="1" t="s">
        <v>74</v>
      </c>
      <c r="S752" s="1" t="s">
        <v>74</v>
      </c>
      <c r="T752" s="1" t="s">
        <v>74</v>
      </c>
      <c r="U752" s="1" t="s">
        <v>74</v>
      </c>
      <c r="V752" s="1" t="s">
        <v>7566</v>
      </c>
      <c r="W752" s="1" t="s">
        <v>74</v>
      </c>
      <c r="X752" s="1" t="s">
        <v>74</v>
      </c>
      <c r="Y752" s="1" t="s">
        <v>74</v>
      </c>
      <c r="Z752" s="1" t="s">
        <v>74</v>
      </c>
      <c r="AA752" s="1" t="s">
        <v>5083</v>
      </c>
      <c r="AB752" s="1" t="s">
        <v>7567</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7568</v>
      </c>
      <c r="AP752" s="1" t="s">
        <v>7569</v>
      </c>
      <c r="AQ752" s="1" t="s">
        <v>74</v>
      </c>
      <c r="AR752" s="1" t="s">
        <v>74</v>
      </c>
      <c r="AS752" s="1" t="s">
        <v>74</v>
      </c>
      <c r="AT752" s="1" t="s">
        <v>4404</v>
      </c>
      <c r="AU752" s="1">
        <v>2008.0</v>
      </c>
      <c r="AV752" s="1">
        <v>47.0</v>
      </c>
      <c r="AW752" s="1">
        <v>19.0</v>
      </c>
      <c r="AX752" s="1" t="s">
        <v>74</v>
      </c>
      <c r="AY752" s="1" t="s">
        <v>74</v>
      </c>
      <c r="AZ752" s="1" t="s">
        <v>74</v>
      </c>
      <c r="BA752" s="1" t="s">
        <v>74</v>
      </c>
      <c r="BB752" s="1">
        <v>3535.0</v>
      </c>
      <c r="BC752" s="1">
        <v>3542.0</v>
      </c>
      <c r="BD752" s="1" t="s">
        <v>74</v>
      </c>
      <c r="BE752" s="1" t="s">
        <v>7570</v>
      </c>
      <c r="BF752" s="2" t="str">
        <f>HYPERLINK("http://dx.doi.org/10.1364/AO.47.003535","http://dx.doi.org/10.1364/AO.47.003535")</f>
        <v>http://dx.doi.org/10.1364/AO.47.003535</v>
      </c>
      <c r="BG752" s="1" t="s">
        <v>74</v>
      </c>
      <c r="BH752" s="1" t="s">
        <v>74</v>
      </c>
      <c r="BI752" s="1" t="s">
        <v>74</v>
      </c>
      <c r="BJ752" s="1" t="s">
        <v>74</v>
      </c>
      <c r="BK752" s="1" t="s">
        <v>74</v>
      </c>
      <c r="BL752" s="1" t="s">
        <v>74</v>
      </c>
      <c r="BM752" s="1" t="s">
        <v>74</v>
      </c>
      <c r="BN752" s="1">
        <v>1.8594601E7</v>
      </c>
      <c r="BO752" s="1" t="s">
        <v>74</v>
      </c>
      <c r="BP752" s="1" t="s">
        <v>74</v>
      </c>
      <c r="BQ752" s="1" t="s">
        <v>74</v>
      </c>
      <c r="BR752" s="1" t="s">
        <v>74</v>
      </c>
      <c r="BS752" s="1" t="s">
        <v>7571</v>
      </c>
      <c r="BT752" s="1" t="str">
        <f>HYPERLINK("https%3A%2F%2Fwww.webofscience.com%2Fwos%2Fwoscc%2Ffull-record%2FWOS:000257942600038","View Full Record in Web of Science")</f>
        <v>View Full Record in Web of Science</v>
      </c>
    </row>
    <row r="753" ht="12.75" customHeight="1">
      <c r="A753" s="1" t="s">
        <v>72</v>
      </c>
      <c r="B753" s="1" t="s">
        <v>7572</v>
      </c>
      <c r="C753" s="1" t="s">
        <v>74</v>
      </c>
      <c r="D753" s="1" t="s">
        <v>74</v>
      </c>
      <c r="E753" s="1" t="s">
        <v>74</v>
      </c>
      <c r="F753" s="1" t="s">
        <v>7573</v>
      </c>
      <c r="G753" s="1" t="s">
        <v>74</v>
      </c>
      <c r="H753" s="1" t="s">
        <v>74</v>
      </c>
      <c r="I753" s="1" t="s">
        <v>7574</v>
      </c>
      <c r="J753" s="1" t="s">
        <v>7575</v>
      </c>
      <c r="K753" s="1" t="s">
        <v>74</v>
      </c>
      <c r="L753" s="1" t="s">
        <v>74</v>
      </c>
      <c r="M753" s="1" t="s">
        <v>74</v>
      </c>
      <c r="N753" s="1" t="s">
        <v>74</v>
      </c>
      <c r="O753" s="1" t="s">
        <v>74</v>
      </c>
      <c r="P753" s="1" t="s">
        <v>74</v>
      </c>
      <c r="Q753" s="1" t="s">
        <v>74</v>
      </c>
      <c r="R753" s="1" t="s">
        <v>74</v>
      </c>
      <c r="S753" s="1" t="s">
        <v>74</v>
      </c>
      <c r="T753" s="1" t="s">
        <v>74</v>
      </c>
      <c r="U753" s="1" t="s">
        <v>74</v>
      </c>
      <c r="V753" s="1" t="s">
        <v>7576</v>
      </c>
      <c r="W753" s="1" t="s">
        <v>74</v>
      </c>
      <c r="X753" s="1" t="s">
        <v>74</v>
      </c>
      <c r="Y753" s="1" t="s">
        <v>74</v>
      </c>
      <c r="Z753" s="1" t="s">
        <v>74</v>
      </c>
      <c r="AA753" s="1" t="s">
        <v>6040</v>
      </c>
      <c r="AB753" s="1" t="s">
        <v>6041</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7577</v>
      </c>
      <c r="AP753" s="1" t="s">
        <v>74</v>
      </c>
      <c r="AQ753" s="1" t="s">
        <v>74</v>
      </c>
      <c r="AR753" s="1" t="s">
        <v>74</v>
      </c>
      <c r="AS753" s="1" t="s">
        <v>74</v>
      </c>
      <c r="AT753" s="1" t="s">
        <v>94</v>
      </c>
      <c r="AU753" s="1">
        <v>2006.0</v>
      </c>
      <c r="AV753" s="1">
        <v>46.0</v>
      </c>
      <c r="AW753" s="1">
        <v>3.0</v>
      </c>
      <c r="AX753" s="1" t="s">
        <v>74</v>
      </c>
      <c r="AY753" s="1" t="s">
        <v>74</v>
      </c>
      <c r="AZ753" s="1" t="s">
        <v>74</v>
      </c>
      <c r="BA753" s="1" t="s">
        <v>74</v>
      </c>
      <c r="BB753" s="1">
        <v>317.0</v>
      </c>
      <c r="BC753" s="1">
        <v>321.0</v>
      </c>
      <c r="BD753" s="1" t="s">
        <v>74</v>
      </c>
      <c r="BE753" s="1" t="s">
        <v>7578</v>
      </c>
      <c r="BF753" s="2" t="str">
        <f>HYPERLINK("http://dx.doi.org/10.1134/S0016793206030054","http://dx.doi.org/10.1134/S0016793206030054")</f>
        <v>http://dx.doi.org/10.1134/S0016793206030054</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7579</v>
      </c>
      <c r="BT753" s="1" t="str">
        <f>HYPERLINK("https%3A%2F%2Fwww.webofscience.com%2Fwos%2Fwoscc%2Ffull-record%2FWOS:000244578000005","View Full Record in Web of Science")</f>
        <v>View Full Record in Web of Science</v>
      </c>
    </row>
    <row r="754" ht="12.75" customHeight="1">
      <c r="A754" s="1" t="s">
        <v>72</v>
      </c>
      <c r="B754" s="1" t="s">
        <v>7580</v>
      </c>
      <c r="C754" s="1" t="s">
        <v>74</v>
      </c>
      <c r="D754" s="1" t="s">
        <v>74</v>
      </c>
      <c r="E754" s="1" t="s">
        <v>74</v>
      </c>
      <c r="F754" s="1" t="s">
        <v>7580</v>
      </c>
      <c r="G754" s="1" t="s">
        <v>74</v>
      </c>
      <c r="H754" s="1" t="s">
        <v>74</v>
      </c>
      <c r="I754" s="1" t="s">
        <v>7581</v>
      </c>
      <c r="J754" s="1" t="s">
        <v>1206</v>
      </c>
      <c r="K754" s="1" t="s">
        <v>74</v>
      </c>
      <c r="L754" s="1" t="s">
        <v>74</v>
      </c>
      <c r="M754" s="1" t="s">
        <v>74</v>
      </c>
      <c r="N754" s="1" t="s">
        <v>74</v>
      </c>
      <c r="O754" s="1" t="s">
        <v>74</v>
      </c>
      <c r="P754" s="1" t="s">
        <v>74</v>
      </c>
      <c r="Q754" s="1" t="s">
        <v>74</v>
      </c>
      <c r="R754" s="1" t="s">
        <v>74</v>
      </c>
      <c r="S754" s="1" t="s">
        <v>74</v>
      </c>
      <c r="T754" s="1" t="s">
        <v>74</v>
      </c>
      <c r="U754" s="1" t="s">
        <v>74</v>
      </c>
      <c r="V754" s="1" t="s">
        <v>7582</v>
      </c>
      <c r="W754" s="1" t="s">
        <v>74</v>
      </c>
      <c r="X754" s="1" t="s">
        <v>74</v>
      </c>
      <c r="Y754" s="1" t="s">
        <v>74</v>
      </c>
      <c r="Z754" s="1" t="s">
        <v>74</v>
      </c>
      <c r="AA754" s="1" t="s">
        <v>7583</v>
      </c>
      <c r="AB754" s="1" t="s">
        <v>7584</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1210</v>
      </c>
      <c r="AP754" s="1" t="s">
        <v>1211</v>
      </c>
      <c r="AQ754" s="1" t="s">
        <v>74</v>
      </c>
      <c r="AR754" s="1" t="s">
        <v>74</v>
      </c>
      <c r="AS754" s="1" t="s">
        <v>74</v>
      </c>
      <c r="AT754" s="1" t="s">
        <v>74</v>
      </c>
      <c r="AU754" s="1">
        <v>2006.0</v>
      </c>
      <c r="AV754" s="1">
        <v>136.0</v>
      </c>
      <c r="AW754" s="1" t="s">
        <v>74</v>
      </c>
      <c r="AX754" s="1">
        <v>1.0</v>
      </c>
      <c r="AY754" s="1" t="s">
        <v>74</v>
      </c>
      <c r="AZ754" s="1" t="s">
        <v>74</v>
      </c>
      <c r="BA754" s="1" t="s">
        <v>74</v>
      </c>
      <c r="BB754" s="1">
        <v>139.0</v>
      </c>
      <c r="BC754" s="1">
        <v>147.0</v>
      </c>
      <c r="BD754" s="1" t="s">
        <v>74</v>
      </c>
      <c r="BE754" s="1" t="s">
        <v>7585</v>
      </c>
      <c r="BF754" s="2" t="str">
        <f>HYPERLINK("http://dx.doi.org/10.1017/S0308210500004479","http://dx.doi.org/10.1017/S0308210500004479")</f>
        <v>http://dx.doi.org/10.1017/S0308210500004479</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7586</v>
      </c>
      <c r="BT754" s="1" t="str">
        <f>HYPERLINK("https%3A%2F%2Fwww.webofscience.com%2Fwos%2Fwoscc%2Ffull-record%2FWOS:000236670200008","View Full Record in Web of Science")</f>
        <v>View Full Record in Web of Science</v>
      </c>
    </row>
    <row r="755" ht="12.75" customHeight="1">
      <c r="A755" s="1" t="s">
        <v>72</v>
      </c>
      <c r="B755" s="1" t="s">
        <v>7587</v>
      </c>
      <c r="C755" s="1" t="s">
        <v>74</v>
      </c>
      <c r="D755" s="1" t="s">
        <v>74</v>
      </c>
      <c r="E755" s="1" t="s">
        <v>74</v>
      </c>
      <c r="F755" s="1" t="s">
        <v>7587</v>
      </c>
      <c r="G755" s="1" t="s">
        <v>74</v>
      </c>
      <c r="H755" s="1" t="s">
        <v>74</v>
      </c>
      <c r="I755" s="1" t="s">
        <v>7588</v>
      </c>
      <c r="J755" s="1" t="s">
        <v>7589</v>
      </c>
      <c r="K755" s="1" t="s">
        <v>74</v>
      </c>
      <c r="L755" s="1" t="s">
        <v>74</v>
      </c>
      <c r="M755" s="1" t="s">
        <v>74</v>
      </c>
      <c r="N755" s="1" t="s">
        <v>74</v>
      </c>
      <c r="O755" s="1" t="s">
        <v>74</v>
      </c>
      <c r="P755" s="1" t="s">
        <v>74</v>
      </c>
      <c r="Q755" s="1" t="s">
        <v>74</v>
      </c>
      <c r="R755" s="1" t="s">
        <v>74</v>
      </c>
      <c r="S755" s="1" t="s">
        <v>74</v>
      </c>
      <c r="T755" s="1" t="s">
        <v>74</v>
      </c>
      <c r="U755" s="1" t="s">
        <v>74</v>
      </c>
      <c r="V755" s="1" t="s">
        <v>7590</v>
      </c>
      <c r="W755" s="1" t="s">
        <v>74</v>
      </c>
      <c r="X755" s="1" t="s">
        <v>74</v>
      </c>
      <c r="Y755" s="1" t="s">
        <v>74</v>
      </c>
      <c r="Z755" s="1" t="s">
        <v>74</v>
      </c>
      <c r="AA755" s="1" t="s">
        <v>2288</v>
      </c>
      <c r="AB755" s="1" t="s">
        <v>2289</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7591</v>
      </c>
      <c r="AP755" s="1" t="s">
        <v>7592</v>
      </c>
      <c r="AQ755" s="1" t="s">
        <v>74</v>
      </c>
      <c r="AR755" s="1" t="s">
        <v>74</v>
      </c>
      <c r="AS755" s="1" t="s">
        <v>74</v>
      </c>
      <c r="AT755" s="1" t="s">
        <v>5402</v>
      </c>
      <c r="AU755" s="1">
        <v>2004.0</v>
      </c>
      <c r="AV755" s="1">
        <v>1656.0</v>
      </c>
      <c r="AW755" s="1" t="s">
        <v>7593</v>
      </c>
      <c r="AX755" s="1" t="s">
        <v>74</v>
      </c>
      <c r="AY755" s="1" t="s">
        <v>74</v>
      </c>
      <c r="AZ755" s="1" t="s">
        <v>74</v>
      </c>
      <c r="BA755" s="1" t="s">
        <v>74</v>
      </c>
      <c r="BB755" s="1">
        <v>114.0</v>
      </c>
      <c r="BC755" s="1">
        <v>126.0</v>
      </c>
      <c r="BD755" s="1" t="s">
        <v>74</v>
      </c>
      <c r="BE755" s="1" t="s">
        <v>7594</v>
      </c>
      <c r="BF755" s="2" t="str">
        <f>HYPERLINK("http://dx.doi.org/10.1016/j.bbabio.2004.02.008","http://dx.doi.org/10.1016/j.bbabio.2004.02.008")</f>
        <v>http://dx.doi.org/10.1016/j.bbabio.2004.02.008</v>
      </c>
      <c r="BG755" s="1" t="s">
        <v>74</v>
      </c>
      <c r="BH755" s="1" t="s">
        <v>74</v>
      </c>
      <c r="BI755" s="1" t="s">
        <v>74</v>
      </c>
      <c r="BJ755" s="1" t="s">
        <v>74</v>
      </c>
      <c r="BK755" s="1" t="s">
        <v>74</v>
      </c>
      <c r="BL755" s="1" t="s">
        <v>74</v>
      </c>
      <c r="BM755" s="1" t="s">
        <v>74</v>
      </c>
      <c r="BN755" s="1">
        <v>1.5178473E7</v>
      </c>
      <c r="BO755" s="1" t="s">
        <v>74</v>
      </c>
      <c r="BP755" s="1" t="s">
        <v>74</v>
      </c>
      <c r="BQ755" s="1" t="s">
        <v>74</v>
      </c>
      <c r="BR755" s="1" t="s">
        <v>74</v>
      </c>
      <c r="BS755" s="1" t="s">
        <v>7595</v>
      </c>
      <c r="BT755" s="1" t="str">
        <f>HYPERLINK("https%3A%2F%2Fwww.webofscience.com%2Fwos%2Fwoscc%2Ffull-record%2FWOS:000222220500005","View Full Record in Web of Science")</f>
        <v>View Full Record in Web of Science</v>
      </c>
    </row>
    <row r="756" ht="12.75" customHeight="1">
      <c r="A756" s="1" t="s">
        <v>72</v>
      </c>
      <c r="B756" s="1" t="s">
        <v>6284</v>
      </c>
      <c r="C756" s="1" t="s">
        <v>74</v>
      </c>
      <c r="D756" s="1" t="s">
        <v>74</v>
      </c>
      <c r="E756" s="1" t="s">
        <v>74</v>
      </c>
      <c r="F756" s="1" t="s">
        <v>6284</v>
      </c>
      <c r="G756" s="1" t="s">
        <v>74</v>
      </c>
      <c r="H756" s="1" t="s">
        <v>74</v>
      </c>
      <c r="I756" s="1" t="s">
        <v>7596</v>
      </c>
      <c r="J756" s="1" t="s">
        <v>3081</v>
      </c>
      <c r="K756" s="1" t="s">
        <v>74</v>
      </c>
      <c r="L756" s="1" t="s">
        <v>74</v>
      </c>
      <c r="M756" s="1" t="s">
        <v>74</v>
      </c>
      <c r="N756" s="1" t="s">
        <v>74</v>
      </c>
      <c r="O756" s="1" t="s">
        <v>74</v>
      </c>
      <c r="P756" s="1" t="s">
        <v>74</v>
      </c>
      <c r="Q756" s="1" t="s">
        <v>74</v>
      </c>
      <c r="R756" s="1" t="s">
        <v>74</v>
      </c>
      <c r="S756" s="1" t="s">
        <v>74</v>
      </c>
      <c r="T756" s="1" t="s">
        <v>74</v>
      </c>
      <c r="U756" s="1" t="s">
        <v>74</v>
      </c>
      <c r="V756" s="1" t="s">
        <v>7597</v>
      </c>
      <c r="W756" s="1" t="s">
        <v>74</v>
      </c>
      <c r="X756" s="1" t="s">
        <v>74</v>
      </c>
      <c r="Y756" s="1" t="s">
        <v>74</v>
      </c>
      <c r="Z756" s="1" t="s">
        <v>74</v>
      </c>
      <c r="AA756" s="1" t="s">
        <v>74</v>
      </c>
      <c r="AB756" s="1" t="s">
        <v>74</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3085</v>
      </c>
      <c r="AP756" s="1" t="s">
        <v>3086</v>
      </c>
      <c r="AQ756" s="1" t="s">
        <v>74</v>
      </c>
      <c r="AR756" s="1" t="s">
        <v>74</v>
      </c>
      <c r="AS756" s="1" t="s">
        <v>74</v>
      </c>
      <c r="AT756" s="1" t="s">
        <v>74</v>
      </c>
      <c r="AU756" s="1">
        <v>2004.0</v>
      </c>
      <c r="AV756" s="1">
        <v>37.0</v>
      </c>
      <c r="AW756" s="1">
        <v>4.0</v>
      </c>
      <c r="AX756" s="1" t="s">
        <v>74</v>
      </c>
      <c r="AY756" s="1" t="s">
        <v>7598</v>
      </c>
      <c r="AZ756" s="1" t="s">
        <v>74</v>
      </c>
      <c r="BA756" s="1" t="s">
        <v>74</v>
      </c>
      <c r="BB756" s="1">
        <v>759.0</v>
      </c>
      <c r="BC756" s="1">
        <v>765.0</v>
      </c>
      <c r="BD756" s="1" t="s">
        <v>74</v>
      </c>
      <c r="BE756" s="1" t="s">
        <v>74</v>
      </c>
      <c r="BF756" s="1" t="s">
        <v>74</v>
      </c>
      <c r="BG756" s="1" t="s">
        <v>74</v>
      </c>
      <c r="BH756" s="1" t="s">
        <v>74</v>
      </c>
      <c r="BI756" s="1" t="s">
        <v>74</v>
      </c>
      <c r="BJ756" s="1" t="s">
        <v>74</v>
      </c>
      <c r="BK756" s="1" t="s">
        <v>74</v>
      </c>
      <c r="BL756" s="1" t="s">
        <v>74</v>
      </c>
      <c r="BM756" s="1" t="s">
        <v>74</v>
      </c>
      <c r="BN756" s="1">
        <v>1.5586824E7</v>
      </c>
      <c r="BO756" s="1" t="s">
        <v>74</v>
      </c>
      <c r="BP756" s="1" t="s">
        <v>74</v>
      </c>
      <c r="BQ756" s="1" t="s">
        <v>74</v>
      </c>
      <c r="BR756" s="1" t="s">
        <v>74</v>
      </c>
      <c r="BS756" s="1" t="s">
        <v>7599</v>
      </c>
      <c r="BT756" s="1" t="str">
        <f>HYPERLINK("https%3A%2F%2Fwww.webofscience.com%2Fwos%2Fwoscc%2Ffull-record%2FWOS:000225458100004","View Full Record in Web of Science")</f>
        <v>View Full Record in Web of Science</v>
      </c>
    </row>
    <row r="757" ht="12.75" customHeight="1">
      <c r="A757" s="1" t="s">
        <v>72</v>
      </c>
      <c r="B757" s="1" t="s">
        <v>7600</v>
      </c>
      <c r="C757" s="1" t="s">
        <v>74</v>
      </c>
      <c r="D757" s="1" t="s">
        <v>74</v>
      </c>
      <c r="E757" s="1" t="s">
        <v>74</v>
      </c>
      <c r="F757" s="1" t="s">
        <v>7600</v>
      </c>
      <c r="G757" s="1" t="s">
        <v>74</v>
      </c>
      <c r="H757" s="1" t="s">
        <v>74</v>
      </c>
      <c r="I757" s="1" t="s">
        <v>7601</v>
      </c>
      <c r="J757" s="1" t="s">
        <v>7602</v>
      </c>
      <c r="K757" s="1" t="s">
        <v>74</v>
      </c>
      <c r="L757" s="1" t="s">
        <v>74</v>
      </c>
      <c r="M757" s="1" t="s">
        <v>74</v>
      </c>
      <c r="N757" s="1" t="s">
        <v>74</v>
      </c>
      <c r="O757" s="1" t="s">
        <v>7603</v>
      </c>
      <c r="P757" s="1" t="s">
        <v>7604</v>
      </c>
      <c r="Q757" s="1" t="s">
        <v>7605</v>
      </c>
      <c r="R757" s="1" t="s">
        <v>74</v>
      </c>
      <c r="S757" s="1" t="s">
        <v>74</v>
      </c>
      <c r="T757" s="1" t="s">
        <v>74</v>
      </c>
      <c r="U757" s="1" t="s">
        <v>74</v>
      </c>
      <c r="V757" s="1" t="s">
        <v>7606</v>
      </c>
      <c r="W757" s="1" t="s">
        <v>74</v>
      </c>
      <c r="X757" s="1" t="s">
        <v>74</v>
      </c>
      <c r="Y757" s="1" t="s">
        <v>74</v>
      </c>
      <c r="Z757" s="1" t="s">
        <v>74</v>
      </c>
      <c r="AA757" s="1" t="s">
        <v>7607</v>
      </c>
      <c r="AB757" s="1" t="s">
        <v>7608</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7609</v>
      </c>
      <c r="AP757" s="1" t="s">
        <v>7610</v>
      </c>
      <c r="AQ757" s="1" t="s">
        <v>74</v>
      </c>
      <c r="AR757" s="1" t="s">
        <v>74</v>
      </c>
      <c r="AS757" s="1" t="s">
        <v>74</v>
      </c>
      <c r="AT757" s="1" t="s">
        <v>151</v>
      </c>
      <c r="AU757" s="1">
        <v>2003.0</v>
      </c>
      <c r="AV757" s="1">
        <v>71.0</v>
      </c>
      <c r="AW757" s="1" t="s">
        <v>4351</v>
      </c>
      <c r="AX757" s="1" t="s">
        <v>74</v>
      </c>
      <c r="AY757" s="1" t="s">
        <v>74</v>
      </c>
      <c r="AZ757" s="1" t="s">
        <v>74</v>
      </c>
      <c r="BA757" s="1" t="s">
        <v>74</v>
      </c>
      <c r="BB757" s="1">
        <v>97.0</v>
      </c>
      <c r="BC757" s="1">
        <v>105.0</v>
      </c>
      <c r="BD757" s="1" t="s">
        <v>74</v>
      </c>
      <c r="BE757" s="1" t="s">
        <v>7611</v>
      </c>
      <c r="BF757" s="2" t="str">
        <f>HYPERLINK("http://dx.doi.org/10.1016/S0304-386X(03)00145-2","http://dx.doi.org/10.1016/S0304-386X(03)00145-2")</f>
        <v>http://dx.doi.org/10.1016/S0304-386X(03)00145-2</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7612</v>
      </c>
      <c r="BT757" s="1" t="str">
        <f>HYPERLINK("https%3A%2F%2Fwww.webofscience.com%2Fwos%2Fwoscc%2Ffull-record%2FWOS:000186357900013","View Full Record in Web of Science")</f>
        <v>View Full Record in Web of Science</v>
      </c>
    </row>
    <row r="758" ht="12.75" customHeight="1">
      <c r="A758" s="1" t="s">
        <v>72</v>
      </c>
      <c r="B758" s="1" t="s">
        <v>7613</v>
      </c>
      <c r="C758" s="1" t="s">
        <v>74</v>
      </c>
      <c r="D758" s="1" t="s">
        <v>74</v>
      </c>
      <c r="E758" s="1" t="s">
        <v>74</v>
      </c>
      <c r="F758" s="1" t="s">
        <v>7613</v>
      </c>
      <c r="G758" s="1" t="s">
        <v>74</v>
      </c>
      <c r="H758" s="1" t="s">
        <v>74</v>
      </c>
      <c r="I758" s="1" t="s">
        <v>7614</v>
      </c>
      <c r="J758" s="1" t="s">
        <v>1517</v>
      </c>
      <c r="K758" s="1" t="s">
        <v>74</v>
      </c>
      <c r="L758" s="1" t="s">
        <v>74</v>
      </c>
      <c r="M758" s="1" t="s">
        <v>74</v>
      </c>
      <c r="N758" s="1" t="s">
        <v>74</v>
      </c>
      <c r="O758" s="1" t="s">
        <v>74</v>
      </c>
      <c r="P758" s="1" t="s">
        <v>74</v>
      </c>
      <c r="Q758" s="1" t="s">
        <v>74</v>
      </c>
      <c r="R758" s="1" t="s">
        <v>74</v>
      </c>
      <c r="S758" s="1" t="s">
        <v>74</v>
      </c>
      <c r="T758" s="1" t="s">
        <v>74</v>
      </c>
      <c r="U758" s="1" t="s">
        <v>74</v>
      </c>
      <c r="V758" s="1" t="s">
        <v>7615</v>
      </c>
      <c r="W758" s="1" t="s">
        <v>74</v>
      </c>
      <c r="X758" s="1" t="s">
        <v>74</v>
      </c>
      <c r="Y758" s="1" t="s">
        <v>74</v>
      </c>
      <c r="Z758" s="1" t="s">
        <v>74</v>
      </c>
      <c r="AA758" s="1" t="s">
        <v>7616</v>
      </c>
      <c r="AB758" s="1" t="s">
        <v>7617</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1521</v>
      </c>
      <c r="AP758" s="1" t="s">
        <v>1522</v>
      </c>
      <c r="AQ758" s="1" t="s">
        <v>74</v>
      </c>
      <c r="AR758" s="1" t="s">
        <v>74</v>
      </c>
      <c r="AS758" s="1" t="s">
        <v>74</v>
      </c>
      <c r="AT758" s="1" t="s">
        <v>7618</v>
      </c>
      <c r="AU758" s="1">
        <v>2002.0</v>
      </c>
      <c r="AV758" s="1">
        <v>48.0</v>
      </c>
      <c r="AW758" s="1">
        <v>2.0</v>
      </c>
      <c r="AX758" s="1" t="s">
        <v>74</v>
      </c>
      <c r="AY758" s="1" t="s">
        <v>74</v>
      </c>
      <c r="AZ758" s="1" t="s">
        <v>74</v>
      </c>
      <c r="BA758" s="1" t="s">
        <v>74</v>
      </c>
      <c r="BB758" s="1">
        <v>119.0</v>
      </c>
      <c r="BC758" s="1">
        <v>125.0</v>
      </c>
      <c r="BD758" s="1" t="s">
        <v>7619</v>
      </c>
      <c r="BE758" s="1" t="s">
        <v>7620</v>
      </c>
      <c r="BF758" s="2" t="str">
        <f>HYPERLINK("http://dx.doi.org/10.1016/S0013-4686(02)00514-5","http://dx.doi.org/10.1016/S0013-4686(02)00514-5")</f>
        <v>http://dx.doi.org/10.1016/S0013-4686(02)00514-5</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7621</v>
      </c>
      <c r="BT758" s="1" t="str">
        <f>HYPERLINK("https%3A%2F%2Fwww.webofscience.com%2Fwos%2Fwoscc%2Ffull-record%2FWOS:000179126300003","View Full Record in Web of Science")</f>
        <v>View Full Record in Web of Science</v>
      </c>
    </row>
    <row r="759" ht="12.75" customHeight="1">
      <c r="A759" s="1" t="s">
        <v>72</v>
      </c>
      <c r="B759" s="1" t="s">
        <v>7622</v>
      </c>
      <c r="C759" s="1" t="s">
        <v>74</v>
      </c>
      <c r="D759" s="1" t="s">
        <v>74</v>
      </c>
      <c r="E759" s="1" t="s">
        <v>74</v>
      </c>
      <c r="F759" s="1" t="s">
        <v>7622</v>
      </c>
      <c r="G759" s="1" t="s">
        <v>74</v>
      </c>
      <c r="H759" s="1" t="s">
        <v>74</v>
      </c>
      <c r="I759" s="1" t="s">
        <v>7623</v>
      </c>
      <c r="J759" s="1" t="s">
        <v>7624</v>
      </c>
      <c r="K759" s="1" t="s">
        <v>74</v>
      </c>
      <c r="L759" s="1" t="s">
        <v>74</v>
      </c>
      <c r="M759" s="1" t="s">
        <v>74</v>
      </c>
      <c r="N759" s="1" t="s">
        <v>74</v>
      </c>
      <c r="O759" s="1" t="s">
        <v>74</v>
      </c>
      <c r="P759" s="1" t="s">
        <v>74</v>
      </c>
      <c r="Q759" s="1" t="s">
        <v>74</v>
      </c>
      <c r="R759" s="1" t="s">
        <v>74</v>
      </c>
      <c r="S759" s="1" t="s">
        <v>74</v>
      </c>
      <c r="T759" s="1" t="s">
        <v>74</v>
      </c>
      <c r="U759" s="1" t="s">
        <v>74</v>
      </c>
      <c r="V759" s="1" t="s">
        <v>7625</v>
      </c>
      <c r="W759" s="1" t="s">
        <v>74</v>
      </c>
      <c r="X759" s="1" t="s">
        <v>74</v>
      </c>
      <c r="Y759" s="1" t="s">
        <v>74</v>
      </c>
      <c r="Z759" s="1" t="s">
        <v>74</v>
      </c>
      <c r="AA759" s="1" t="s">
        <v>3445</v>
      </c>
      <c r="AB759" s="1" t="s">
        <v>7626</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7627</v>
      </c>
      <c r="AP759" s="1" t="s">
        <v>7628</v>
      </c>
      <c r="AQ759" s="1" t="s">
        <v>74</v>
      </c>
      <c r="AR759" s="1" t="s">
        <v>74</v>
      </c>
      <c r="AS759" s="1" t="s">
        <v>74</v>
      </c>
      <c r="AT759" s="1" t="s">
        <v>822</v>
      </c>
      <c r="AU759" s="1">
        <v>2001.0</v>
      </c>
      <c r="AV759" s="1">
        <v>27.0</v>
      </c>
      <c r="AW759" s="1">
        <v>1.0</v>
      </c>
      <c r="AX759" s="1" t="s">
        <v>74</v>
      </c>
      <c r="AY759" s="1" t="s">
        <v>74</v>
      </c>
      <c r="AZ759" s="1" t="s">
        <v>74</v>
      </c>
      <c r="BA759" s="1" t="s">
        <v>74</v>
      </c>
      <c r="BB759" s="1">
        <v>53.0</v>
      </c>
      <c r="BC759" s="1">
        <v>68.0</v>
      </c>
      <c r="BD759" s="1" t="s">
        <v>74</v>
      </c>
      <c r="BE759" s="1" t="s">
        <v>7629</v>
      </c>
      <c r="BF759" s="2" t="str">
        <f>HYPERLINK("http://dx.doi.org/10.1023/A:1005615932694","http://dx.doi.org/10.1023/A:1005615932694")</f>
        <v>http://dx.doi.org/10.1023/A:1005615932694</v>
      </c>
      <c r="BG759" s="1" t="s">
        <v>74</v>
      </c>
      <c r="BH759" s="1" t="s">
        <v>74</v>
      </c>
      <c r="BI759" s="1" t="s">
        <v>74</v>
      </c>
      <c r="BJ759" s="1" t="s">
        <v>74</v>
      </c>
      <c r="BK759" s="1" t="s">
        <v>74</v>
      </c>
      <c r="BL759" s="1" t="s">
        <v>74</v>
      </c>
      <c r="BM759" s="1" t="s">
        <v>74</v>
      </c>
      <c r="BN759" s="1">
        <v>1.1382067E7</v>
      </c>
      <c r="BO759" s="1" t="s">
        <v>74</v>
      </c>
      <c r="BP759" s="1" t="s">
        <v>74</v>
      </c>
      <c r="BQ759" s="1" t="s">
        <v>74</v>
      </c>
      <c r="BR759" s="1" t="s">
        <v>74</v>
      </c>
      <c r="BS759" s="1" t="s">
        <v>7630</v>
      </c>
      <c r="BT759" s="1" t="str">
        <f>HYPERLINK("https%3A%2F%2Fwww.webofscience.com%2Fwos%2Fwoscc%2Ffull-record%2FWOS:000167772000005","View Full Record in Web of Science")</f>
        <v>View Full Record in Web of Science</v>
      </c>
    </row>
    <row r="760" ht="12.75" customHeight="1">
      <c r="A760" s="1" t="s">
        <v>72</v>
      </c>
      <c r="B760" s="1" t="s">
        <v>7631</v>
      </c>
      <c r="C760" s="1" t="s">
        <v>74</v>
      </c>
      <c r="D760" s="1" t="s">
        <v>74</v>
      </c>
      <c r="E760" s="1" t="s">
        <v>74</v>
      </c>
      <c r="F760" s="1" t="s">
        <v>7631</v>
      </c>
      <c r="G760" s="1" t="s">
        <v>74</v>
      </c>
      <c r="H760" s="1" t="s">
        <v>74</v>
      </c>
      <c r="I760" s="1" t="s">
        <v>7632</v>
      </c>
      <c r="J760" s="1" t="s">
        <v>1906</v>
      </c>
      <c r="K760" s="1" t="s">
        <v>74</v>
      </c>
      <c r="L760" s="1" t="s">
        <v>74</v>
      </c>
      <c r="M760" s="1" t="s">
        <v>74</v>
      </c>
      <c r="N760" s="1" t="s">
        <v>74</v>
      </c>
      <c r="O760" s="1" t="s">
        <v>74</v>
      </c>
      <c r="P760" s="1" t="s">
        <v>74</v>
      </c>
      <c r="Q760" s="1" t="s">
        <v>74</v>
      </c>
      <c r="R760" s="1" t="s">
        <v>74</v>
      </c>
      <c r="S760" s="1" t="s">
        <v>74</v>
      </c>
      <c r="T760" s="1" t="s">
        <v>74</v>
      </c>
      <c r="U760" s="1" t="s">
        <v>74</v>
      </c>
      <c r="V760" s="1" t="s">
        <v>7633</v>
      </c>
      <c r="W760" s="1" t="s">
        <v>74</v>
      </c>
      <c r="X760" s="1" t="s">
        <v>74</v>
      </c>
      <c r="Y760" s="1" t="s">
        <v>74</v>
      </c>
      <c r="Z760" s="1" t="s">
        <v>74</v>
      </c>
      <c r="AA760" s="1" t="s">
        <v>7634</v>
      </c>
      <c r="AB760" s="1" t="s">
        <v>7635</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1909</v>
      </c>
      <c r="AP760" s="1" t="s">
        <v>74</v>
      </c>
      <c r="AQ760" s="1" t="s">
        <v>74</v>
      </c>
      <c r="AR760" s="1" t="s">
        <v>74</v>
      </c>
      <c r="AS760" s="1" t="s">
        <v>74</v>
      </c>
      <c r="AT760" s="1" t="s">
        <v>1082</v>
      </c>
      <c r="AU760" s="1">
        <v>1998.0</v>
      </c>
      <c r="AV760" s="1">
        <v>15.0</v>
      </c>
      <c r="AW760" s="1">
        <v>11.0</v>
      </c>
      <c r="AX760" s="1" t="s">
        <v>74</v>
      </c>
      <c r="AY760" s="1" t="s">
        <v>74</v>
      </c>
      <c r="AZ760" s="1" t="s">
        <v>74</v>
      </c>
      <c r="BA760" s="1" t="s">
        <v>74</v>
      </c>
      <c r="BB760" s="1">
        <v>3575.0</v>
      </c>
      <c r="BC760" s="1">
        <v>3598.0</v>
      </c>
      <c r="BD760" s="1" t="s">
        <v>74</v>
      </c>
      <c r="BE760" s="1" t="s">
        <v>7636</v>
      </c>
      <c r="BF760" s="2" t="str">
        <f>HYPERLINK("http://dx.doi.org/10.1088/0264-9381/15/11/018","http://dx.doi.org/10.1088/0264-9381/15/11/018")</f>
        <v>http://dx.doi.org/10.1088/0264-9381/15/11/018</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7637</v>
      </c>
      <c r="BT760" s="1" t="str">
        <f>HYPERLINK("https%3A%2F%2Fwww.webofscience.com%2Fwos%2Fwoscc%2Ffull-record%2FWOS:000077126000018","View Full Record in Web of Science")</f>
        <v>View Full Record in Web of Science</v>
      </c>
    </row>
    <row r="761" ht="12.75" customHeight="1">
      <c r="A761" s="1" t="s">
        <v>72</v>
      </c>
      <c r="B761" s="1" t="s">
        <v>7638</v>
      </c>
      <c r="C761" s="1" t="s">
        <v>74</v>
      </c>
      <c r="D761" s="1" t="s">
        <v>74</v>
      </c>
      <c r="E761" s="1" t="s">
        <v>74</v>
      </c>
      <c r="F761" s="1" t="s">
        <v>7638</v>
      </c>
      <c r="G761" s="1" t="s">
        <v>74</v>
      </c>
      <c r="H761" s="1" t="s">
        <v>74</v>
      </c>
      <c r="I761" s="1" t="s">
        <v>7639</v>
      </c>
      <c r="J761" s="1" t="s">
        <v>7640</v>
      </c>
      <c r="K761" s="1" t="s">
        <v>74</v>
      </c>
      <c r="L761" s="1" t="s">
        <v>74</v>
      </c>
      <c r="M761" s="1" t="s">
        <v>74</v>
      </c>
      <c r="N761" s="1" t="s">
        <v>74</v>
      </c>
      <c r="O761" s="1" t="s">
        <v>74</v>
      </c>
      <c r="P761" s="1" t="s">
        <v>74</v>
      </c>
      <c r="Q761" s="1" t="s">
        <v>74</v>
      </c>
      <c r="R761" s="1" t="s">
        <v>74</v>
      </c>
      <c r="S761" s="1" t="s">
        <v>74</v>
      </c>
      <c r="T761" s="1" t="s">
        <v>74</v>
      </c>
      <c r="U761" s="1" t="s">
        <v>74</v>
      </c>
      <c r="V761" s="1" t="s">
        <v>7641</v>
      </c>
      <c r="W761" s="1" t="s">
        <v>74</v>
      </c>
      <c r="X761" s="1" t="s">
        <v>74</v>
      </c>
      <c r="Y761" s="1" t="s">
        <v>74</v>
      </c>
      <c r="Z761" s="1" t="s">
        <v>74</v>
      </c>
      <c r="AA761" s="1" t="s">
        <v>74</v>
      </c>
      <c r="AB761" s="1" t="s">
        <v>7642</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7643</v>
      </c>
      <c r="AP761" s="1" t="s">
        <v>74</v>
      </c>
      <c r="AQ761" s="1" t="s">
        <v>74</v>
      </c>
      <c r="AR761" s="1" t="s">
        <v>74</v>
      </c>
      <c r="AS761" s="1" t="s">
        <v>74</v>
      </c>
      <c r="AT761" s="1" t="s">
        <v>74</v>
      </c>
      <c r="AU761" s="1">
        <v>1998.0</v>
      </c>
      <c r="AV761" s="1">
        <v>143.0</v>
      </c>
      <c r="AW761" s="1">
        <v>9.0</v>
      </c>
      <c r="AX761" s="1" t="s">
        <v>74</v>
      </c>
      <c r="AY761" s="1" t="s">
        <v>74</v>
      </c>
      <c r="AZ761" s="1" t="s">
        <v>74</v>
      </c>
      <c r="BA761" s="1" t="s">
        <v>74</v>
      </c>
      <c r="BB761" s="1">
        <v>1711.0</v>
      </c>
      <c r="BC761" s="1">
        <v>1722.0</v>
      </c>
      <c r="BD761" s="1" t="s">
        <v>74</v>
      </c>
      <c r="BE761" s="1" t="s">
        <v>7644</v>
      </c>
      <c r="BF761" s="2" t="str">
        <f>HYPERLINK("http://dx.doi.org/10.1007/s007050050411","http://dx.doi.org/10.1007/s007050050411")</f>
        <v>http://dx.doi.org/10.1007/s007050050411</v>
      </c>
      <c r="BG761" s="1" t="s">
        <v>74</v>
      </c>
      <c r="BH761" s="1" t="s">
        <v>74</v>
      </c>
      <c r="BI761" s="1" t="s">
        <v>74</v>
      </c>
      <c r="BJ761" s="1" t="s">
        <v>74</v>
      </c>
      <c r="BK761" s="1" t="s">
        <v>74</v>
      </c>
      <c r="BL761" s="1" t="s">
        <v>74</v>
      </c>
      <c r="BM761" s="1" t="s">
        <v>74</v>
      </c>
      <c r="BN761" s="1">
        <v>9787656.0</v>
      </c>
      <c r="BO761" s="1" t="s">
        <v>74</v>
      </c>
      <c r="BP761" s="1" t="s">
        <v>74</v>
      </c>
      <c r="BQ761" s="1" t="s">
        <v>74</v>
      </c>
      <c r="BR761" s="1" t="s">
        <v>74</v>
      </c>
      <c r="BS761" s="1" t="s">
        <v>7645</v>
      </c>
      <c r="BT761" s="1" t="str">
        <f>HYPERLINK("https%3A%2F%2Fwww.webofscience.com%2Fwos%2Fwoscc%2Ffull-record%2FWOS:000076060600005","View Full Record in Web of Science")</f>
        <v>View Full Record in Web of Science</v>
      </c>
    </row>
    <row r="762" ht="12.75" customHeight="1">
      <c r="A762" s="1" t="s">
        <v>72</v>
      </c>
      <c r="B762" s="1" t="s">
        <v>7646</v>
      </c>
      <c r="C762" s="1" t="s">
        <v>74</v>
      </c>
      <c r="D762" s="1" t="s">
        <v>74</v>
      </c>
      <c r="E762" s="1" t="s">
        <v>74</v>
      </c>
      <c r="F762" s="1" t="s">
        <v>7647</v>
      </c>
      <c r="G762" s="1" t="s">
        <v>74</v>
      </c>
      <c r="H762" s="1" t="s">
        <v>74</v>
      </c>
      <c r="I762" s="1" t="s">
        <v>7648</v>
      </c>
      <c r="J762" s="1" t="s">
        <v>7649</v>
      </c>
      <c r="K762" s="1" t="s">
        <v>74</v>
      </c>
      <c r="L762" s="1" t="s">
        <v>74</v>
      </c>
      <c r="M762" s="1" t="s">
        <v>74</v>
      </c>
      <c r="N762" s="1" t="s">
        <v>74</v>
      </c>
      <c r="O762" s="1" t="s">
        <v>74</v>
      </c>
      <c r="P762" s="1" t="s">
        <v>74</v>
      </c>
      <c r="Q762" s="1" t="s">
        <v>74</v>
      </c>
      <c r="R762" s="1" t="s">
        <v>74</v>
      </c>
      <c r="S762" s="1" t="s">
        <v>74</v>
      </c>
      <c r="T762" s="1" t="s">
        <v>74</v>
      </c>
      <c r="U762" s="1" t="s">
        <v>74</v>
      </c>
      <c r="V762" s="1" t="s">
        <v>7650</v>
      </c>
      <c r="W762" s="1" t="s">
        <v>74</v>
      </c>
      <c r="X762" s="1" t="s">
        <v>74</v>
      </c>
      <c r="Y762" s="1" t="s">
        <v>74</v>
      </c>
      <c r="Z762" s="1" t="s">
        <v>74</v>
      </c>
      <c r="AA762" s="1" t="s">
        <v>7651</v>
      </c>
      <c r="AB762" s="1" t="s">
        <v>7652</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7653</v>
      </c>
      <c r="AP762" s="1" t="s">
        <v>7654</v>
      </c>
      <c r="AQ762" s="1" t="s">
        <v>74</v>
      </c>
      <c r="AR762" s="1" t="s">
        <v>74</v>
      </c>
      <c r="AS762" s="1" t="s">
        <v>74</v>
      </c>
      <c r="AT762" s="1" t="s">
        <v>1082</v>
      </c>
      <c r="AU762" s="1">
        <v>2024.0</v>
      </c>
      <c r="AV762" s="1">
        <v>457.0</v>
      </c>
      <c r="AW762" s="1" t="s">
        <v>74</v>
      </c>
      <c r="AX762" s="1" t="s">
        <v>74</v>
      </c>
      <c r="AY762" s="1" t="s">
        <v>74</v>
      </c>
      <c r="AZ762" s="1" t="s">
        <v>74</v>
      </c>
      <c r="BA762" s="1" t="s">
        <v>74</v>
      </c>
      <c r="BB762" s="1" t="s">
        <v>74</v>
      </c>
      <c r="BC762" s="1" t="s">
        <v>74</v>
      </c>
      <c r="BD762" s="1">
        <v>109906.0</v>
      </c>
      <c r="BE762" s="1" t="s">
        <v>7655</v>
      </c>
      <c r="BF762" s="2" t="str">
        <f>HYPERLINK("http://dx.doi.org/10.1016/j.aim.2024.109906","http://dx.doi.org/10.1016/j.aim.2024.109906")</f>
        <v>http://dx.doi.org/10.1016/j.aim.2024.109906</v>
      </c>
      <c r="BG762" s="1" t="s">
        <v>74</v>
      </c>
      <c r="BH762" s="1" t="s">
        <v>5491</v>
      </c>
      <c r="BI762" s="1" t="s">
        <v>74</v>
      </c>
      <c r="BJ762" s="1" t="s">
        <v>74</v>
      </c>
      <c r="BK762" s="1" t="s">
        <v>74</v>
      </c>
      <c r="BL762" s="1" t="s">
        <v>74</v>
      </c>
      <c r="BM762" s="1" t="s">
        <v>74</v>
      </c>
      <c r="BN762" s="1" t="s">
        <v>74</v>
      </c>
      <c r="BO762" s="1" t="s">
        <v>74</v>
      </c>
      <c r="BP762" s="1" t="s">
        <v>74</v>
      </c>
      <c r="BQ762" s="1" t="s">
        <v>74</v>
      </c>
      <c r="BR762" s="1" t="s">
        <v>74</v>
      </c>
      <c r="BS762" s="1" t="s">
        <v>7656</v>
      </c>
      <c r="BT762" s="1" t="str">
        <f>HYPERLINK("https%3A%2F%2Fwww.webofscience.com%2Fwos%2Fwoscc%2Ffull-record%2FWOS:001316661600001","View Full Record in Web of Science")</f>
        <v>View Full Record in Web of Science</v>
      </c>
    </row>
    <row r="763" ht="12.75" customHeight="1">
      <c r="A763" s="1" t="s">
        <v>72</v>
      </c>
      <c r="B763" s="1" t="s">
        <v>7657</v>
      </c>
      <c r="C763" s="1" t="s">
        <v>74</v>
      </c>
      <c r="D763" s="1" t="s">
        <v>74</v>
      </c>
      <c r="E763" s="1" t="s">
        <v>74</v>
      </c>
      <c r="F763" s="1" t="s">
        <v>7658</v>
      </c>
      <c r="G763" s="1" t="s">
        <v>74</v>
      </c>
      <c r="H763" s="1" t="s">
        <v>74</v>
      </c>
      <c r="I763" s="1" t="s">
        <v>7659</v>
      </c>
      <c r="J763" s="1" t="s">
        <v>7660</v>
      </c>
      <c r="K763" s="1" t="s">
        <v>74</v>
      </c>
      <c r="L763" s="1" t="s">
        <v>74</v>
      </c>
      <c r="M763" s="1" t="s">
        <v>74</v>
      </c>
      <c r="N763" s="1" t="s">
        <v>74</v>
      </c>
      <c r="O763" s="1" t="s">
        <v>74</v>
      </c>
      <c r="P763" s="1" t="s">
        <v>74</v>
      </c>
      <c r="Q763" s="1" t="s">
        <v>74</v>
      </c>
      <c r="R763" s="1" t="s">
        <v>74</v>
      </c>
      <c r="S763" s="1" t="s">
        <v>74</v>
      </c>
      <c r="T763" s="1" t="s">
        <v>74</v>
      </c>
      <c r="U763" s="1" t="s">
        <v>74</v>
      </c>
      <c r="V763" s="1" t="s">
        <v>7661</v>
      </c>
      <c r="W763" s="1" t="s">
        <v>74</v>
      </c>
      <c r="X763" s="1" t="s">
        <v>74</v>
      </c>
      <c r="Y763" s="1" t="s">
        <v>74</v>
      </c>
      <c r="Z763" s="1" t="s">
        <v>74</v>
      </c>
      <c r="AA763" s="1" t="s">
        <v>7662</v>
      </c>
      <c r="AB763" s="1" t="s">
        <v>7663</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7664</v>
      </c>
      <c r="AP763" s="1" t="s">
        <v>74</v>
      </c>
      <c r="AQ763" s="1" t="s">
        <v>74</v>
      </c>
      <c r="AR763" s="1" t="s">
        <v>74</v>
      </c>
      <c r="AS763" s="1" t="s">
        <v>74</v>
      </c>
      <c r="AT763" s="1" t="s">
        <v>7665</v>
      </c>
      <c r="AU763" s="1">
        <v>2024.0</v>
      </c>
      <c r="AV763" s="1">
        <v>8.0</v>
      </c>
      <c r="AW763" s="1">
        <v>1.0</v>
      </c>
      <c r="AX763" s="1" t="s">
        <v>74</v>
      </c>
      <c r="AY763" s="1" t="s">
        <v>74</v>
      </c>
      <c r="AZ763" s="1" t="s">
        <v>74</v>
      </c>
      <c r="BA763" s="1" t="s">
        <v>74</v>
      </c>
      <c r="BB763" s="1" t="s">
        <v>74</v>
      </c>
      <c r="BC763" s="1" t="s">
        <v>74</v>
      </c>
      <c r="BD763" s="1">
        <v>25.0</v>
      </c>
      <c r="BE763" s="1" t="s">
        <v>7666</v>
      </c>
      <c r="BF763" s="2" t="str">
        <f>HYPERLINK("http://dx.doi.org/10.1007/s41614-024-00165-4","http://dx.doi.org/10.1007/s41614-024-00165-4")</f>
        <v>http://dx.doi.org/10.1007/s41614-024-00165-4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7667</v>
      </c>
      <c r="BT763" s="1" t="str">
        <f>HYPERLINK("https%3A%2F%2Fwww.webofscience.com%2Fwos%2Fwoscc%2Ffull-record%2FWOS:001285829600001","View Full Record in Web of Science")</f>
        <v>View Full Record in Web of Science</v>
      </c>
    </row>
    <row r="764" ht="12.75" customHeight="1">
      <c r="A764" s="1" t="s">
        <v>72</v>
      </c>
      <c r="B764" s="1" t="s">
        <v>7668</v>
      </c>
      <c r="C764" s="1" t="s">
        <v>74</v>
      </c>
      <c r="D764" s="1" t="s">
        <v>74</v>
      </c>
      <c r="E764" s="1" t="s">
        <v>74</v>
      </c>
      <c r="F764" s="1" t="s">
        <v>7669</v>
      </c>
      <c r="G764" s="1" t="s">
        <v>74</v>
      </c>
      <c r="H764" s="1" t="s">
        <v>74</v>
      </c>
      <c r="I764" s="1" t="s">
        <v>7670</v>
      </c>
      <c r="J764" s="1" t="s">
        <v>6988</v>
      </c>
      <c r="K764" s="1" t="s">
        <v>74</v>
      </c>
      <c r="L764" s="1" t="s">
        <v>74</v>
      </c>
      <c r="M764" s="1" t="s">
        <v>74</v>
      </c>
      <c r="N764" s="1" t="s">
        <v>74</v>
      </c>
      <c r="O764" s="1" t="s">
        <v>74</v>
      </c>
      <c r="P764" s="1" t="s">
        <v>74</v>
      </c>
      <c r="Q764" s="1" t="s">
        <v>74</v>
      </c>
      <c r="R764" s="1" t="s">
        <v>74</v>
      </c>
      <c r="S764" s="1" t="s">
        <v>74</v>
      </c>
      <c r="T764" s="1" t="s">
        <v>74</v>
      </c>
      <c r="U764" s="1" t="s">
        <v>74</v>
      </c>
      <c r="V764" s="1" t="s">
        <v>7671</v>
      </c>
      <c r="W764" s="1" t="s">
        <v>74</v>
      </c>
      <c r="X764" s="1" t="s">
        <v>74</v>
      </c>
      <c r="Y764" s="1" t="s">
        <v>74</v>
      </c>
      <c r="Z764" s="1" t="s">
        <v>74</v>
      </c>
      <c r="AA764" s="1" t="s">
        <v>7672</v>
      </c>
      <c r="AB764" s="1" t="s">
        <v>7673</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6992</v>
      </c>
      <c r="AP764" s="1" t="s">
        <v>6993</v>
      </c>
      <c r="AQ764" s="1" t="s">
        <v>74</v>
      </c>
      <c r="AR764" s="1" t="s">
        <v>74</v>
      </c>
      <c r="AS764" s="1" t="s">
        <v>74</v>
      </c>
      <c r="AT764" s="1" t="s">
        <v>6684</v>
      </c>
      <c r="AU764" s="1">
        <v>2024.0</v>
      </c>
      <c r="AV764" s="1">
        <v>684.0</v>
      </c>
      <c r="AW764" s="1" t="s">
        <v>74</v>
      </c>
      <c r="AX764" s="1" t="s">
        <v>74</v>
      </c>
      <c r="AY764" s="1" t="s">
        <v>74</v>
      </c>
      <c r="AZ764" s="1" t="s">
        <v>74</v>
      </c>
      <c r="BA764" s="1" t="s">
        <v>74</v>
      </c>
      <c r="BB764" s="1" t="s">
        <v>74</v>
      </c>
      <c r="BC764" s="1" t="s">
        <v>74</v>
      </c>
      <c r="BD764" s="1" t="s">
        <v>7674</v>
      </c>
      <c r="BE764" s="1" t="s">
        <v>7675</v>
      </c>
      <c r="BF764" s="2" t="str">
        <f>HYPERLINK("http://dx.doi.org/10.1051/0004-6361/202347923","http://dx.doi.org/10.1051/0004-6361/202347923")</f>
        <v>http://dx.doi.org/10.1051/0004-6361/202347923</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7676</v>
      </c>
      <c r="BT764" s="1" t="str">
        <f>HYPERLINK("https%3A%2F%2Fwww.webofscience.com%2Fwos%2Fwoscc%2Ffull-record%2FWOS:001208011600001","View Full Record in Web of Science")</f>
        <v>View Full Record in Web of Science</v>
      </c>
    </row>
    <row r="765" ht="12.75" customHeight="1">
      <c r="A765" s="1" t="s">
        <v>72</v>
      </c>
      <c r="B765" s="1" t="s">
        <v>7677</v>
      </c>
      <c r="C765" s="1" t="s">
        <v>74</v>
      </c>
      <c r="D765" s="1" t="s">
        <v>74</v>
      </c>
      <c r="E765" s="1" t="s">
        <v>74</v>
      </c>
      <c r="F765" s="1" t="s">
        <v>2717</v>
      </c>
      <c r="G765" s="1" t="s">
        <v>74</v>
      </c>
      <c r="H765" s="1" t="s">
        <v>74</v>
      </c>
      <c r="I765" s="1" t="s">
        <v>7678</v>
      </c>
      <c r="J765" s="1" t="s">
        <v>7679</v>
      </c>
      <c r="K765" s="1" t="s">
        <v>74</v>
      </c>
      <c r="L765" s="1" t="s">
        <v>74</v>
      </c>
      <c r="M765" s="1" t="s">
        <v>74</v>
      </c>
      <c r="N765" s="1" t="s">
        <v>74</v>
      </c>
      <c r="O765" s="1" t="s">
        <v>74</v>
      </c>
      <c r="P765" s="1" t="s">
        <v>74</v>
      </c>
      <c r="Q765" s="1" t="s">
        <v>74</v>
      </c>
      <c r="R765" s="1" t="s">
        <v>74</v>
      </c>
      <c r="S765" s="1" t="s">
        <v>74</v>
      </c>
      <c r="T765" s="1" t="s">
        <v>74</v>
      </c>
      <c r="U765" s="1" t="s">
        <v>74</v>
      </c>
      <c r="V765" s="1" t="s">
        <v>7680</v>
      </c>
      <c r="W765" s="1" t="s">
        <v>74</v>
      </c>
      <c r="X765" s="1" t="s">
        <v>74</v>
      </c>
      <c r="Y765" s="1" t="s">
        <v>74</v>
      </c>
      <c r="Z765" s="1" t="s">
        <v>74</v>
      </c>
      <c r="AA765" s="1" t="s">
        <v>2721</v>
      </c>
      <c r="AB765" s="1" t="s">
        <v>7681</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7682</v>
      </c>
      <c r="AP765" s="1" t="s">
        <v>7683</v>
      </c>
      <c r="AQ765" s="1" t="s">
        <v>74</v>
      </c>
      <c r="AR765" s="1" t="s">
        <v>74</v>
      </c>
      <c r="AS765" s="1" t="s">
        <v>74</v>
      </c>
      <c r="AT765" s="1" t="s">
        <v>7684</v>
      </c>
      <c r="AU765" s="1">
        <v>2024.0</v>
      </c>
      <c r="AV765" s="1">
        <v>2024.0</v>
      </c>
      <c r="AW765" s="1">
        <v>8.0</v>
      </c>
      <c r="AX765" s="1" t="s">
        <v>74</v>
      </c>
      <c r="AY765" s="1" t="s">
        <v>74</v>
      </c>
      <c r="AZ765" s="1" t="s">
        <v>74</v>
      </c>
      <c r="BA765" s="1" t="s">
        <v>74</v>
      </c>
      <c r="BB765" s="1">
        <v>6879.0</v>
      </c>
      <c r="BC765" s="1">
        <v>6905.0</v>
      </c>
      <c r="BD765" s="1" t="s">
        <v>74</v>
      </c>
      <c r="BE765" s="1" t="s">
        <v>7685</v>
      </c>
      <c r="BF765" s="2" t="str">
        <f>HYPERLINK("http://dx.doi.org/10.1093/imrn/rnad290","http://dx.doi.org/10.1093/imrn/rnad290")</f>
        <v>http://dx.doi.org/10.1093/imrn/rnad290</v>
      </c>
      <c r="BG765" s="1" t="s">
        <v>74</v>
      </c>
      <c r="BH765" s="1" t="s">
        <v>7686</v>
      </c>
      <c r="BI765" s="1" t="s">
        <v>74</v>
      </c>
      <c r="BJ765" s="1" t="s">
        <v>74</v>
      </c>
      <c r="BK765" s="1" t="s">
        <v>74</v>
      </c>
      <c r="BL765" s="1" t="s">
        <v>74</v>
      </c>
      <c r="BM765" s="1" t="s">
        <v>74</v>
      </c>
      <c r="BN765" s="1" t="s">
        <v>74</v>
      </c>
      <c r="BO765" s="1" t="s">
        <v>74</v>
      </c>
      <c r="BP765" s="1" t="s">
        <v>74</v>
      </c>
      <c r="BQ765" s="1" t="s">
        <v>74</v>
      </c>
      <c r="BR765" s="1" t="s">
        <v>74</v>
      </c>
      <c r="BS765" s="1" t="s">
        <v>7687</v>
      </c>
      <c r="BT765" s="1" t="str">
        <f>HYPERLINK("https%3A%2F%2Fwww.webofscience.com%2Fwos%2Fwoscc%2Ffull-record%2FWOS:001121214800001","View Full Record in Web of Science")</f>
        <v>View Full Record in Web of Science</v>
      </c>
    </row>
    <row r="766" ht="12.75" customHeight="1">
      <c r="A766" s="1" t="s">
        <v>72</v>
      </c>
      <c r="B766" s="1" t="s">
        <v>7688</v>
      </c>
      <c r="C766" s="1" t="s">
        <v>74</v>
      </c>
      <c r="D766" s="1" t="s">
        <v>74</v>
      </c>
      <c r="E766" s="1" t="s">
        <v>74</v>
      </c>
      <c r="F766" s="1" t="s">
        <v>7689</v>
      </c>
      <c r="G766" s="1" t="s">
        <v>74</v>
      </c>
      <c r="H766" s="1" t="s">
        <v>74</v>
      </c>
      <c r="I766" s="1" t="s">
        <v>7690</v>
      </c>
      <c r="J766" s="1" t="s">
        <v>7691</v>
      </c>
      <c r="K766" s="1" t="s">
        <v>74</v>
      </c>
      <c r="L766" s="1" t="s">
        <v>74</v>
      </c>
      <c r="M766" s="1" t="s">
        <v>74</v>
      </c>
      <c r="N766" s="1" t="s">
        <v>74</v>
      </c>
      <c r="O766" s="1" t="s">
        <v>74</v>
      </c>
      <c r="P766" s="1" t="s">
        <v>74</v>
      </c>
      <c r="Q766" s="1" t="s">
        <v>74</v>
      </c>
      <c r="R766" s="1" t="s">
        <v>74</v>
      </c>
      <c r="S766" s="1" t="s">
        <v>74</v>
      </c>
      <c r="T766" s="1" t="s">
        <v>74</v>
      </c>
      <c r="U766" s="1" t="s">
        <v>74</v>
      </c>
      <c r="V766" s="1" t="s">
        <v>7692</v>
      </c>
      <c r="W766" s="1" t="s">
        <v>74</v>
      </c>
      <c r="X766" s="1" t="s">
        <v>74</v>
      </c>
      <c r="Y766" s="1" t="s">
        <v>74</v>
      </c>
      <c r="Z766" s="1" t="s">
        <v>74</v>
      </c>
      <c r="AA766" s="1" t="s">
        <v>7693</v>
      </c>
      <c r="AB766" s="1" t="s">
        <v>7694</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74</v>
      </c>
      <c r="AP766" s="1" t="s">
        <v>7695</v>
      </c>
      <c r="AQ766" s="1" t="s">
        <v>74</v>
      </c>
      <c r="AR766" s="1" t="s">
        <v>74</v>
      </c>
      <c r="AS766" s="1" t="s">
        <v>74</v>
      </c>
      <c r="AT766" s="1" t="s">
        <v>7696</v>
      </c>
      <c r="AU766" s="1">
        <v>2022.0</v>
      </c>
      <c r="AV766" s="1">
        <v>6.0</v>
      </c>
      <c r="AW766" s="1" t="s">
        <v>74</v>
      </c>
      <c r="AX766" s="1" t="s">
        <v>74</v>
      </c>
      <c r="AY766" s="1" t="s">
        <v>74</v>
      </c>
      <c r="AZ766" s="1" t="s">
        <v>74</v>
      </c>
      <c r="BA766" s="1" t="s">
        <v>74</v>
      </c>
      <c r="BB766" s="1" t="s">
        <v>74</v>
      </c>
      <c r="BC766" s="1" t="s">
        <v>74</v>
      </c>
      <c r="BD766" s="1">
        <v>924921.0</v>
      </c>
      <c r="BE766" s="1" t="s">
        <v>7697</v>
      </c>
      <c r="BF766" s="2" t="str">
        <f>HYPERLINK("http://dx.doi.org/10.3389/fsufs.2022.924921","http://dx.doi.org/10.3389/fsufs.2022.924921")</f>
        <v>http://dx.doi.org/10.3389/fsufs.2022.924921</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7698</v>
      </c>
      <c r="BT766" s="1" t="str">
        <f>HYPERLINK("https%3A%2F%2Fwww.webofscience.com%2Fwos%2Fwoscc%2Ffull-record%2FWOS:000861603400001","View Full Record in Web of Science")</f>
        <v>View Full Record in Web of Science</v>
      </c>
    </row>
    <row r="767" ht="12.75" customHeight="1">
      <c r="A767" s="1" t="s">
        <v>72</v>
      </c>
      <c r="B767" s="1" t="s">
        <v>7699</v>
      </c>
      <c r="C767" s="1" t="s">
        <v>74</v>
      </c>
      <c r="D767" s="1" t="s">
        <v>74</v>
      </c>
      <c r="E767" s="1" t="s">
        <v>74</v>
      </c>
      <c r="F767" s="1" t="s">
        <v>7700</v>
      </c>
      <c r="G767" s="1" t="s">
        <v>74</v>
      </c>
      <c r="H767" s="1" t="s">
        <v>74</v>
      </c>
      <c r="I767" s="1" t="s">
        <v>7701</v>
      </c>
      <c r="J767" s="1" t="s">
        <v>7702</v>
      </c>
      <c r="K767" s="1" t="s">
        <v>74</v>
      </c>
      <c r="L767" s="1" t="s">
        <v>74</v>
      </c>
      <c r="M767" s="1" t="s">
        <v>74</v>
      </c>
      <c r="N767" s="1" t="s">
        <v>74</v>
      </c>
      <c r="O767" s="1" t="s">
        <v>74</v>
      </c>
      <c r="P767" s="1" t="s">
        <v>74</v>
      </c>
      <c r="Q767" s="1" t="s">
        <v>74</v>
      </c>
      <c r="R767" s="1" t="s">
        <v>74</v>
      </c>
      <c r="S767" s="1" t="s">
        <v>74</v>
      </c>
      <c r="T767" s="1" t="s">
        <v>74</v>
      </c>
      <c r="U767" s="1" t="s">
        <v>74</v>
      </c>
      <c r="V767" s="1" t="s">
        <v>7703</v>
      </c>
      <c r="W767" s="1" t="s">
        <v>74</v>
      </c>
      <c r="X767" s="1" t="s">
        <v>74</v>
      </c>
      <c r="Y767" s="1" t="s">
        <v>74</v>
      </c>
      <c r="Z767" s="1" t="s">
        <v>74</v>
      </c>
      <c r="AA767" s="1" t="s">
        <v>7704</v>
      </c>
      <c r="AB767" s="1" t="s">
        <v>7705</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7706</v>
      </c>
      <c r="AP767" s="1" t="s">
        <v>7707</v>
      </c>
      <c r="AQ767" s="1" t="s">
        <v>74</v>
      </c>
      <c r="AR767" s="1" t="s">
        <v>74</v>
      </c>
      <c r="AS767" s="1" t="s">
        <v>74</v>
      </c>
      <c r="AT767" s="1" t="s">
        <v>600</v>
      </c>
      <c r="AU767" s="1">
        <v>2022.0</v>
      </c>
      <c r="AV767" s="1">
        <v>102.0</v>
      </c>
      <c r="AW767" s="1" t="s">
        <v>4351</v>
      </c>
      <c r="AX767" s="1" t="s">
        <v>74</v>
      </c>
      <c r="AY767" s="1" t="s">
        <v>74</v>
      </c>
      <c r="AZ767" s="1" t="s">
        <v>74</v>
      </c>
      <c r="BA767" s="1" t="s">
        <v>74</v>
      </c>
      <c r="BB767" s="1">
        <v>65.0</v>
      </c>
      <c r="BC767" s="1">
        <v>76.0</v>
      </c>
      <c r="BD767" s="1" t="s">
        <v>74</v>
      </c>
      <c r="BE767" s="1" t="s">
        <v>7708</v>
      </c>
      <c r="BF767" s="2" t="str">
        <f>HYPERLINK("http://dx.doi.org/10.1007/s10847-021-01101-6","http://dx.doi.org/10.1007/s10847-021-01101-6")</f>
        <v>http://dx.doi.org/10.1007/s10847-021-01101-6</v>
      </c>
      <c r="BG767" s="1" t="s">
        <v>74</v>
      </c>
      <c r="BH767" s="1" t="s">
        <v>1649</v>
      </c>
      <c r="BI767" s="1" t="s">
        <v>74</v>
      </c>
      <c r="BJ767" s="1" t="s">
        <v>74</v>
      </c>
      <c r="BK767" s="1" t="s">
        <v>74</v>
      </c>
      <c r="BL767" s="1" t="s">
        <v>74</v>
      </c>
      <c r="BM767" s="1" t="s">
        <v>74</v>
      </c>
      <c r="BN767" s="1" t="s">
        <v>74</v>
      </c>
      <c r="BO767" s="1" t="s">
        <v>74</v>
      </c>
      <c r="BP767" s="1" t="s">
        <v>74</v>
      </c>
      <c r="BQ767" s="1" t="s">
        <v>74</v>
      </c>
      <c r="BR767" s="1" t="s">
        <v>74</v>
      </c>
      <c r="BS767" s="1" t="s">
        <v>7709</v>
      </c>
      <c r="BT767" s="1" t="str">
        <f>HYPERLINK("https%3A%2F%2Fwww.webofscience.com%2Fwos%2Fwoscc%2Ffull-record%2FWOS:000692636200002","View Full Record in Web of Science")</f>
        <v>View Full Record in Web of Science</v>
      </c>
    </row>
    <row r="768" ht="12.75" customHeight="1">
      <c r="A768" s="1" t="s">
        <v>72</v>
      </c>
      <c r="B768" s="1" t="s">
        <v>7710</v>
      </c>
      <c r="C768" s="1" t="s">
        <v>74</v>
      </c>
      <c r="D768" s="1" t="s">
        <v>74</v>
      </c>
      <c r="E768" s="1" t="s">
        <v>74</v>
      </c>
      <c r="F768" s="1" t="s">
        <v>7711</v>
      </c>
      <c r="G768" s="1" t="s">
        <v>74</v>
      </c>
      <c r="H768" s="1" t="s">
        <v>74</v>
      </c>
      <c r="I768" s="1" t="s">
        <v>7712</v>
      </c>
      <c r="J768" s="1" t="s">
        <v>3552</v>
      </c>
      <c r="K768" s="1" t="s">
        <v>74</v>
      </c>
      <c r="L768" s="1" t="s">
        <v>74</v>
      </c>
      <c r="M768" s="1" t="s">
        <v>74</v>
      </c>
      <c r="N768" s="1" t="s">
        <v>74</v>
      </c>
      <c r="O768" s="1" t="s">
        <v>74</v>
      </c>
      <c r="P768" s="1" t="s">
        <v>74</v>
      </c>
      <c r="Q768" s="1" t="s">
        <v>74</v>
      </c>
      <c r="R768" s="1" t="s">
        <v>74</v>
      </c>
      <c r="S768" s="1" t="s">
        <v>74</v>
      </c>
      <c r="T768" s="1" t="s">
        <v>74</v>
      </c>
      <c r="U768" s="1" t="s">
        <v>74</v>
      </c>
      <c r="V768" s="1" t="s">
        <v>7713</v>
      </c>
      <c r="W768" s="1" t="s">
        <v>74</v>
      </c>
      <c r="X768" s="1" t="s">
        <v>74</v>
      </c>
      <c r="Y768" s="1" t="s">
        <v>74</v>
      </c>
      <c r="Z768" s="1" t="s">
        <v>74</v>
      </c>
      <c r="AA768" s="1" t="s">
        <v>7714</v>
      </c>
      <c r="AB768" s="1" t="s">
        <v>7715</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74</v>
      </c>
      <c r="AP768" s="1" t="s">
        <v>3556</v>
      </c>
      <c r="AQ768" s="1" t="s">
        <v>74</v>
      </c>
      <c r="AR768" s="1" t="s">
        <v>74</v>
      </c>
      <c r="AS768" s="1" t="s">
        <v>74</v>
      </c>
      <c r="AT768" s="1" t="s">
        <v>7716</v>
      </c>
      <c r="AU768" s="1">
        <v>2021.0</v>
      </c>
      <c r="AV768" s="1">
        <v>5.0</v>
      </c>
      <c r="AW768" s="1">
        <v>18.0</v>
      </c>
      <c r="AX768" s="1" t="s">
        <v>74</v>
      </c>
      <c r="AY768" s="1" t="s">
        <v>74</v>
      </c>
      <c r="AZ768" s="1" t="s">
        <v>74</v>
      </c>
      <c r="BA768" s="1" t="s">
        <v>74</v>
      </c>
      <c r="BB768" s="1">
        <v>6779.0</v>
      </c>
      <c r="BC768" s="1">
        <v>6802.0</v>
      </c>
      <c r="BD768" s="1" t="s">
        <v>74</v>
      </c>
      <c r="BE768" s="1" t="s">
        <v>7717</v>
      </c>
      <c r="BF768" s="2" t="str">
        <f>HYPERLINK("http://dx.doi.org/10.1039/d1qm00617g","http://dx.doi.org/10.1039/d1qm00617g")</f>
        <v>http://dx.doi.org/10.1039/d1qm00617g</v>
      </c>
      <c r="BG768" s="1" t="s">
        <v>74</v>
      </c>
      <c r="BH768" s="1" t="s">
        <v>3558</v>
      </c>
      <c r="BI768" s="1" t="s">
        <v>74</v>
      </c>
      <c r="BJ768" s="1" t="s">
        <v>74</v>
      </c>
      <c r="BK768" s="1" t="s">
        <v>74</v>
      </c>
      <c r="BL768" s="1" t="s">
        <v>74</v>
      </c>
      <c r="BM768" s="1" t="s">
        <v>74</v>
      </c>
      <c r="BN768" s="1" t="s">
        <v>74</v>
      </c>
      <c r="BO768" s="1" t="s">
        <v>74</v>
      </c>
      <c r="BP768" s="1" t="s">
        <v>74</v>
      </c>
      <c r="BQ768" s="1" t="s">
        <v>74</v>
      </c>
      <c r="BR768" s="1" t="s">
        <v>74</v>
      </c>
      <c r="BS768" s="1" t="s">
        <v>7718</v>
      </c>
      <c r="BT768" s="1" t="str">
        <f>HYPERLINK("https%3A%2F%2Fwww.webofscience.com%2Fwos%2Fwoscc%2Ffull-record%2FWOS:000685150600001","View Full Record in Web of Science")</f>
        <v>View Full Record in Web of Science</v>
      </c>
    </row>
    <row r="769" ht="12.75" customHeight="1">
      <c r="A769" s="1" t="s">
        <v>72</v>
      </c>
      <c r="B769" s="1" t="s">
        <v>7719</v>
      </c>
      <c r="C769" s="1" t="s">
        <v>74</v>
      </c>
      <c r="D769" s="1" t="s">
        <v>74</v>
      </c>
      <c r="E769" s="1" t="s">
        <v>74</v>
      </c>
      <c r="F769" s="1" t="s">
        <v>7720</v>
      </c>
      <c r="G769" s="1" t="s">
        <v>74</v>
      </c>
      <c r="H769" s="1" t="s">
        <v>74</v>
      </c>
      <c r="I769" s="1" t="s">
        <v>7721</v>
      </c>
      <c r="J769" s="1" t="s">
        <v>6968</v>
      </c>
      <c r="K769" s="1" t="s">
        <v>74</v>
      </c>
      <c r="L769" s="1" t="s">
        <v>74</v>
      </c>
      <c r="M769" s="1" t="s">
        <v>74</v>
      </c>
      <c r="N769" s="1" t="s">
        <v>74</v>
      </c>
      <c r="O769" s="1" t="s">
        <v>74</v>
      </c>
      <c r="P769" s="1" t="s">
        <v>74</v>
      </c>
      <c r="Q769" s="1" t="s">
        <v>74</v>
      </c>
      <c r="R769" s="1" t="s">
        <v>74</v>
      </c>
      <c r="S769" s="1" t="s">
        <v>74</v>
      </c>
      <c r="T769" s="1" t="s">
        <v>74</v>
      </c>
      <c r="U769" s="1" t="s">
        <v>74</v>
      </c>
      <c r="V769" s="1" t="s">
        <v>7722</v>
      </c>
      <c r="W769" s="1" t="s">
        <v>74</v>
      </c>
      <c r="X769" s="1" t="s">
        <v>74</v>
      </c>
      <c r="Y769" s="1" t="s">
        <v>74</v>
      </c>
      <c r="Z769" s="1" t="s">
        <v>74</v>
      </c>
      <c r="AA769" s="1" t="s">
        <v>7723</v>
      </c>
      <c r="AB769" s="1" t="s">
        <v>7724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6972</v>
      </c>
      <c r="AP769" s="1" t="s">
        <v>6973</v>
      </c>
      <c r="AQ769" s="1" t="s">
        <v>74</v>
      </c>
      <c r="AR769" s="1" t="s">
        <v>74</v>
      </c>
      <c r="AS769" s="1" t="s">
        <v>74</v>
      </c>
      <c r="AT769" s="1" t="s">
        <v>7725</v>
      </c>
      <c r="AU769" s="1">
        <v>2021.0</v>
      </c>
      <c r="AV769" s="1">
        <v>32.0</v>
      </c>
      <c r="AW769" s="1">
        <v>14.0</v>
      </c>
      <c r="AX769" s="1" t="s">
        <v>74</v>
      </c>
      <c r="AY769" s="1" t="s">
        <v>74</v>
      </c>
      <c r="AZ769" s="1" t="s">
        <v>74</v>
      </c>
      <c r="BA769" s="1" t="s">
        <v>74</v>
      </c>
      <c r="BB769" s="1" t="s">
        <v>74</v>
      </c>
      <c r="BC769" s="1" t="s">
        <v>74</v>
      </c>
      <c r="BD769" s="1">
        <v>145715.0</v>
      </c>
      <c r="BE769" s="1" t="s">
        <v>7726</v>
      </c>
      <c r="BF769" s="2" t="str">
        <f>HYPERLINK("http://dx.doi.org/10.1088/1361-6528/abd5e8","http://dx.doi.org/10.1088/1361-6528/abd5e8")</f>
        <v>http://dx.doi.org/10.1088/1361-6528/abd5e8</v>
      </c>
      <c r="BG769" s="1" t="s">
        <v>74</v>
      </c>
      <c r="BH769" s="1" t="s">
        <v>74</v>
      </c>
      <c r="BI769" s="1" t="s">
        <v>74</v>
      </c>
      <c r="BJ769" s="1" t="s">
        <v>74</v>
      </c>
      <c r="BK769" s="1" t="s">
        <v>74</v>
      </c>
      <c r="BL769" s="1" t="s">
        <v>74</v>
      </c>
      <c r="BM769" s="1" t="s">
        <v>74</v>
      </c>
      <c r="BN769" s="1">
        <v>3.3352539E7</v>
      </c>
      <c r="BO769" s="1" t="s">
        <v>74</v>
      </c>
      <c r="BP769" s="1" t="s">
        <v>74</v>
      </c>
      <c r="BQ769" s="1" t="s">
        <v>74</v>
      </c>
      <c r="BR769" s="1" t="s">
        <v>74</v>
      </c>
      <c r="BS769" s="1" t="s">
        <v>7727</v>
      </c>
      <c r="BT769" s="1" t="str">
        <f>HYPERLINK("https%3A%2F%2Fwww.webofscience.com%2Fwos%2Fwoscc%2Ffull-record%2FWOS:000608626100001","View Full Record in Web of Science")</f>
        <v>View Full Record in Web of Science</v>
      </c>
    </row>
    <row r="770" ht="12.75" customHeight="1">
      <c r="A770" s="1" t="s">
        <v>72</v>
      </c>
      <c r="B770" s="1" t="s">
        <v>7728</v>
      </c>
      <c r="C770" s="1" t="s">
        <v>74</v>
      </c>
      <c r="D770" s="1" t="s">
        <v>74</v>
      </c>
      <c r="E770" s="1" t="s">
        <v>74</v>
      </c>
      <c r="F770" s="1" t="s">
        <v>7729</v>
      </c>
      <c r="G770" s="1" t="s">
        <v>74</v>
      </c>
      <c r="H770" s="1" t="s">
        <v>74</v>
      </c>
      <c r="I770" s="1" t="s">
        <v>7730</v>
      </c>
      <c r="J770" s="1" t="s">
        <v>7731</v>
      </c>
      <c r="K770" s="1" t="s">
        <v>74</v>
      </c>
      <c r="L770" s="1" t="s">
        <v>74</v>
      </c>
      <c r="M770" s="1" t="s">
        <v>74</v>
      </c>
      <c r="N770" s="1" t="s">
        <v>74</v>
      </c>
      <c r="O770" s="1" t="s">
        <v>74</v>
      </c>
      <c r="P770" s="1" t="s">
        <v>74</v>
      </c>
      <c r="Q770" s="1" t="s">
        <v>74</v>
      </c>
      <c r="R770" s="1" t="s">
        <v>74</v>
      </c>
      <c r="S770" s="1" t="s">
        <v>74</v>
      </c>
      <c r="T770" s="1" t="s">
        <v>74</v>
      </c>
      <c r="U770" s="1" t="s">
        <v>74</v>
      </c>
      <c r="V770" s="1" t="s">
        <v>7732</v>
      </c>
      <c r="W770" s="1" t="s">
        <v>74</v>
      </c>
      <c r="X770" s="1" t="s">
        <v>74</v>
      </c>
      <c r="Y770" s="1" t="s">
        <v>74</v>
      </c>
      <c r="Z770" s="1" t="s">
        <v>74</v>
      </c>
      <c r="AA770" s="1" t="s">
        <v>7733</v>
      </c>
      <c r="AB770" s="1" t="s">
        <v>7734</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7735</v>
      </c>
      <c r="AP770" s="1" t="s">
        <v>7736</v>
      </c>
      <c r="AQ770" s="1" t="s">
        <v>74</v>
      </c>
      <c r="AR770" s="1" t="s">
        <v>74</v>
      </c>
      <c r="AS770" s="1" t="s">
        <v>74</v>
      </c>
      <c r="AT770" s="1" t="s">
        <v>600</v>
      </c>
      <c r="AU770" s="1">
        <v>2021.0</v>
      </c>
      <c r="AV770" s="1">
        <v>28.0</v>
      </c>
      <c r="AW770" s="1">
        <v>1.0</v>
      </c>
      <c r="AX770" s="1" t="s">
        <v>74</v>
      </c>
      <c r="AY770" s="1" t="s">
        <v>74</v>
      </c>
      <c r="AZ770" s="1" t="s">
        <v>74</v>
      </c>
      <c r="BA770" s="1" t="s">
        <v>74</v>
      </c>
      <c r="BB770" s="1">
        <v>238.0</v>
      </c>
      <c r="BC770" s="1">
        <v>250.0</v>
      </c>
      <c r="BD770" s="1" t="s">
        <v>74</v>
      </c>
      <c r="BE770" s="1" t="s">
        <v>7737</v>
      </c>
      <c r="BF770" s="2" t="str">
        <f>HYPERLINK("http://dx.doi.org/10.1111/1744-7917.12756","http://dx.doi.org/10.1111/1744-7917.12756")</f>
        <v>http://dx.doi.org/10.1111/1744-7917.12756</v>
      </c>
      <c r="BG770" s="1" t="s">
        <v>74</v>
      </c>
      <c r="BH770" s="1" t="s">
        <v>857</v>
      </c>
      <c r="BI770" s="1" t="s">
        <v>74</v>
      </c>
      <c r="BJ770" s="1" t="s">
        <v>74</v>
      </c>
      <c r="BK770" s="1" t="s">
        <v>74</v>
      </c>
      <c r="BL770" s="1" t="s">
        <v>74</v>
      </c>
      <c r="BM770" s="1" t="s">
        <v>74</v>
      </c>
      <c r="BN770" s="1">
        <v>3.1989775E7</v>
      </c>
      <c r="BO770" s="1" t="s">
        <v>74</v>
      </c>
      <c r="BP770" s="1" t="s">
        <v>74</v>
      </c>
      <c r="BQ770" s="1" t="s">
        <v>74</v>
      </c>
      <c r="BR770" s="1" t="s">
        <v>74</v>
      </c>
      <c r="BS770" s="1" t="s">
        <v>7738</v>
      </c>
      <c r="BT770" s="1" t="str">
        <f>HYPERLINK("https%3A%2F%2Fwww.webofscience.com%2Fwos%2Fwoscc%2Ffull-record%2FWOS:000541510700001","View Full Record in Web of Science")</f>
        <v>View Full Record in Web of Science</v>
      </c>
    </row>
    <row r="771" ht="12.75" customHeight="1">
      <c r="A771" s="1" t="s">
        <v>72</v>
      </c>
      <c r="B771" s="1" t="s">
        <v>7739</v>
      </c>
      <c r="C771" s="1" t="s">
        <v>74</v>
      </c>
      <c r="D771" s="1" t="s">
        <v>74</v>
      </c>
      <c r="E771" s="1" t="s">
        <v>74</v>
      </c>
      <c r="F771" s="1" t="s">
        <v>7740</v>
      </c>
      <c r="G771" s="1" t="s">
        <v>74</v>
      </c>
      <c r="H771" s="1" t="s">
        <v>74</v>
      </c>
      <c r="I771" s="1" t="s">
        <v>7741</v>
      </c>
      <c r="J771" s="1" t="s">
        <v>1749</v>
      </c>
      <c r="K771" s="1" t="s">
        <v>74</v>
      </c>
      <c r="L771" s="1" t="s">
        <v>74</v>
      </c>
      <c r="M771" s="1" t="s">
        <v>74</v>
      </c>
      <c r="N771" s="1" t="s">
        <v>74</v>
      </c>
      <c r="O771" s="1" t="s">
        <v>74</v>
      </c>
      <c r="P771" s="1" t="s">
        <v>74</v>
      </c>
      <c r="Q771" s="1" t="s">
        <v>74</v>
      </c>
      <c r="R771" s="1" t="s">
        <v>74</v>
      </c>
      <c r="S771" s="1" t="s">
        <v>74</v>
      </c>
      <c r="T771" s="1" t="s">
        <v>74</v>
      </c>
      <c r="U771" s="1" t="s">
        <v>74</v>
      </c>
      <c r="V771" s="1" t="s">
        <v>7742</v>
      </c>
      <c r="W771" s="1" t="s">
        <v>74</v>
      </c>
      <c r="X771" s="1" t="s">
        <v>74</v>
      </c>
      <c r="Y771" s="1" t="s">
        <v>74</v>
      </c>
      <c r="Z771" s="1" t="s">
        <v>74</v>
      </c>
      <c r="AA771" s="1" t="s">
        <v>7743</v>
      </c>
      <c r="AB771" s="1" t="s">
        <v>7744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1753</v>
      </c>
      <c r="AP771" s="1" t="s">
        <v>74</v>
      </c>
      <c r="AQ771" s="1" t="s">
        <v>74</v>
      </c>
      <c r="AR771" s="1" t="s">
        <v>74</v>
      </c>
      <c r="AS771" s="1" t="s">
        <v>74</v>
      </c>
      <c r="AT771" s="1" t="s">
        <v>877</v>
      </c>
      <c r="AU771" s="1">
        <v>2019.0</v>
      </c>
      <c r="AV771" s="1">
        <v>14.0</v>
      </c>
      <c r="AW771" s="1">
        <v>8.0</v>
      </c>
      <c r="AX771" s="1" t="s">
        <v>74</v>
      </c>
      <c r="AY771" s="1" t="s">
        <v>74</v>
      </c>
      <c r="AZ771" s="1" t="s">
        <v>74</v>
      </c>
      <c r="BA771" s="1" t="s">
        <v>74</v>
      </c>
      <c r="BB771" s="1">
        <v>8131.0</v>
      </c>
      <c r="BC771" s="1">
        <v>8140.0</v>
      </c>
      <c r="BD771" s="1" t="s">
        <v>74</v>
      </c>
      <c r="BE771" s="1" t="s">
        <v>7745</v>
      </c>
      <c r="BF771" s="2" t="str">
        <f>HYPERLINK("http://dx.doi.org/10.20964/2019.08.64","http://dx.doi.org/10.20964/2019.08.64")</f>
        <v>http://dx.doi.org/10.20964/2019.08.64</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7746</v>
      </c>
      <c r="BT771" s="1" t="str">
        <f>HYPERLINK("https%3A%2F%2Fwww.webofscience.com%2Fwos%2Fwoscc%2Ffull-record%2FWOS:000477867100089","View Full Record in Web of Science")</f>
        <v>View Full Record in Web of Science</v>
      </c>
    </row>
    <row r="772" ht="12.75" customHeight="1">
      <c r="A772" s="1" t="s">
        <v>72</v>
      </c>
      <c r="B772" s="1" t="s">
        <v>7747</v>
      </c>
      <c r="C772" s="1" t="s">
        <v>74</v>
      </c>
      <c r="D772" s="1" t="s">
        <v>74</v>
      </c>
      <c r="E772" s="1" t="s">
        <v>74</v>
      </c>
      <c r="F772" s="1" t="s">
        <v>7748</v>
      </c>
      <c r="G772" s="1" t="s">
        <v>74</v>
      </c>
      <c r="H772" s="1" t="s">
        <v>74</v>
      </c>
      <c r="I772" s="1" t="s">
        <v>7749</v>
      </c>
      <c r="J772" s="1" t="s">
        <v>7750</v>
      </c>
      <c r="K772" s="1" t="s">
        <v>74</v>
      </c>
      <c r="L772" s="1" t="s">
        <v>74</v>
      </c>
      <c r="M772" s="1" t="s">
        <v>74</v>
      </c>
      <c r="N772" s="1" t="s">
        <v>74</v>
      </c>
      <c r="O772" s="1" t="s">
        <v>74</v>
      </c>
      <c r="P772" s="1" t="s">
        <v>74</v>
      </c>
      <c r="Q772" s="1" t="s">
        <v>74</v>
      </c>
      <c r="R772" s="1" t="s">
        <v>74</v>
      </c>
      <c r="S772" s="1" t="s">
        <v>74</v>
      </c>
      <c r="T772" s="1" t="s">
        <v>74</v>
      </c>
      <c r="U772" s="1" t="s">
        <v>74</v>
      </c>
      <c r="V772" s="1" t="s">
        <v>7751</v>
      </c>
      <c r="W772" s="1" t="s">
        <v>74</v>
      </c>
      <c r="X772" s="1" t="s">
        <v>74</v>
      </c>
      <c r="Y772" s="1" t="s">
        <v>74</v>
      </c>
      <c r="Z772" s="1" t="s">
        <v>74</v>
      </c>
      <c r="AA772" s="1" t="s">
        <v>7752</v>
      </c>
      <c r="AB772" s="1" t="s">
        <v>7753</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7754</v>
      </c>
      <c r="AP772" s="1" t="s">
        <v>7755</v>
      </c>
      <c r="AQ772" s="1" t="s">
        <v>74</v>
      </c>
      <c r="AR772" s="1" t="s">
        <v>74</v>
      </c>
      <c r="AS772" s="1" t="s">
        <v>74</v>
      </c>
      <c r="AT772" s="1" t="s">
        <v>877</v>
      </c>
      <c r="AU772" s="1">
        <v>2019.0</v>
      </c>
      <c r="AV772" s="1">
        <v>34.0</v>
      </c>
      <c r="AW772" s="1">
        <v>4.0</v>
      </c>
      <c r="AX772" s="1" t="s">
        <v>74</v>
      </c>
      <c r="AY772" s="1" t="s">
        <v>74</v>
      </c>
      <c r="AZ772" s="1" t="s">
        <v>74</v>
      </c>
      <c r="BA772" s="1" t="s">
        <v>74</v>
      </c>
      <c r="BB772" s="1">
        <v>519.0</v>
      </c>
      <c r="BC772" s="1">
        <v>537.0</v>
      </c>
      <c r="BD772" s="1" t="s">
        <v>74</v>
      </c>
      <c r="BE772" s="1" t="s">
        <v>7756</v>
      </c>
      <c r="BF772" s="2" t="str">
        <f>HYPERLINK("http://dx.doi.org/10.1007/s10869-018-9553-x","http://dx.doi.org/10.1007/s10869-018-9553-x")</f>
        <v>http://dx.doi.org/10.1007/s10869-018-9553-x</v>
      </c>
      <c r="BG772" s="1" t="s">
        <v>74</v>
      </c>
      <c r="BH772" s="1" t="s">
        <v>74</v>
      </c>
      <c r="BI772" s="1" t="s">
        <v>74</v>
      </c>
      <c r="BJ772" s="1" t="s">
        <v>74</v>
      </c>
      <c r="BK772" s="1" t="s">
        <v>74</v>
      </c>
      <c r="BL772" s="1" t="s">
        <v>74</v>
      </c>
      <c r="BM772" s="1" t="s">
        <v>74</v>
      </c>
      <c r="BN772" s="1" t="s">
        <v>74</v>
      </c>
      <c r="BO772" s="1" t="s">
        <v>74</v>
      </c>
      <c r="BP772" s="1" t="s">
        <v>74</v>
      </c>
      <c r="BQ772" s="1" t="s">
        <v>74</v>
      </c>
      <c r="BR772" s="1" t="s">
        <v>74</v>
      </c>
      <c r="BS772" s="1" t="s">
        <v>7757</v>
      </c>
      <c r="BT772" s="1" t="str">
        <f>HYPERLINK("https%3A%2F%2Fwww.webofscience.com%2Fwos%2Fwoscc%2Ffull-record%2FWOS:000475660800007","View Full Record in Web of Science")</f>
        <v>View Full Record in Web of Science</v>
      </c>
    </row>
    <row r="773" ht="12.75" customHeight="1">
      <c r="A773" s="1" t="s">
        <v>72</v>
      </c>
      <c r="B773" s="1" t="s">
        <v>7758</v>
      </c>
      <c r="C773" s="1" t="s">
        <v>74</v>
      </c>
      <c r="D773" s="1" t="s">
        <v>74</v>
      </c>
      <c r="E773" s="1" t="s">
        <v>74</v>
      </c>
      <c r="F773" s="1" t="s">
        <v>7759</v>
      </c>
      <c r="G773" s="1" t="s">
        <v>74</v>
      </c>
      <c r="H773" s="1" t="s">
        <v>74</v>
      </c>
      <c r="I773" s="1" t="s">
        <v>7760</v>
      </c>
      <c r="J773" s="1" t="s">
        <v>7761</v>
      </c>
      <c r="K773" s="1" t="s">
        <v>74</v>
      </c>
      <c r="L773" s="1" t="s">
        <v>74</v>
      </c>
      <c r="M773" s="1" t="s">
        <v>74</v>
      </c>
      <c r="N773" s="1" t="s">
        <v>74</v>
      </c>
      <c r="O773" s="1" t="s">
        <v>74</v>
      </c>
      <c r="P773" s="1" t="s">
        <v>74</v>
      </c>
      <c r="Q773" s="1" t="s">
        <v>74</v>
      </c>
      <c r="R773" s="1" t="s">
        <v>74</v>
      </c>
      <c r="S773" s="1" t="s">
        <v>74</v>
      </c>
      <c r="T773" s="1" t="s">
        <v>74</v>
      </c>
      <c r="U773" s="1" t="s">
        <v>74</v>
      </c>
      <c r="V773" s="1" t="s">
        <v>7762</v>
      </c>
      <c r="W773" s="1" t="s">
        <v>74</v>
      </c>
      <c r="X773" s="1" t="s">
        <v>74</v>
      </c>
      <c r="Y773" s="1" t="s">
        <v>74</v>
      </c>
      <c r="Z773" s="1" t="s">
        <v>74</v>
      </c>
      <c r="AA773" s="1" t="s">
        <v>7763</v>
      </c>
      <c r="AB773" s="1" t="s">
        <v>7764</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7765</v>
      </c>
      <c r="AP773" s="1" t="s">
        <v>7766</v>
      </c>
      <c r="AQ773" s="1" t="s">
        <v>74</v>
      </c>
      <c r="AR773" s="1" t="s">
        <v>74</v>
      </c>
      <c r="AS773" s="1" t="s">
        <v>74</v>
      </c>
      <c r="AT773" s="1" t="s">
        <v>94</v>
      </c>
      <c r="AU773" s="1">
        <v>2019.0</v>
      </c>
      <c r="AV773" s="1">
        <v>91.0</v>
      </c>
      <c r="AW773" s="1">
        <v>1.0</v>
      </c>
      <c r="AX773" s="1" t="s">
        <v>74</v>
      </c>
      <c r="AY773" s="1" t="s">
        <v>74</v>
      </c>
      <c r="AZ773" s="1" t="s">
        <v>74</v>
      </c>
      <c r="BA773" s="1" t="s">
        <v>74</v>
      </c>
      <c r="BB773" s="1">
        <v>5.0</v>
      </c>
      <c r="BC773" s="1">
        <v>15.0</v>
      </c>
      <c r="BD773" s="1" t="s">
        <v>74</v>
      </c>
      <c r="BE773" s="1" t="s">
        <v>7767</v>
      </c>
      <c r="BF773" s="2" t="str">
        <f>HYPERLINK("http://dx.doi.org/10.1002/jgt.22417","http://dx.doi.org/10.1002/jgt.22417")</f>
        <v>http://dx.doi.org/10.1002/jgt.22417</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7768</v>
      </c>
      <c r="BT773" s="1" t="str">
        <f>HYPERLINK("https%3A%2F%2Fwww.webofscience.com%2Fwos%2Fwoscc%2Ffull-record%2FWOS:000462358700001","View Full Record in Web of Science")</f>
        <v>View Full Record in Web of Science</v>
      </c>
    </row>
    <row r="774" ht="12.75" customHeight="1">
      <c r="A774" s="1" t="s">
        <v>72</v>
      </c>
      <c r="B774" s="1" t="s">
        <v>7769</v>
      </c>
      <c r="C774" s="1" t="s">
        <v>74</v>
      </c>
      <c r="D774" s="1" t="s">
        <v>74</v>
      </c>
      <c r="E774" s="1" t="s">
        <v>74</v>
      </c>
      <c r="F774" s="1" t="s">
        <v>7770</v>
      </c>
      <c r="G774" s="1" t="s">
        <v>74</v>
      </c>
      <c r="H774" s="1" t="s">
        <v>74</v>
      </c>
      <c r="I774" s="1" t="s">
        <v>7771</v>
      </c>
      <c r="J774" s="1" t="s">
        <v>7772</v>
      </c>
      <c r="K774" s="1" t="s">
        <v>74</v>
      </c>
      <c r="L774" s="1" t="s">
        <v>74</v>
      </c>
      <c r="M774" s="1" t="s">
        <v>74</v>
      </c>
      <c r="N774" s="1" t="s">
        <v>74</v>
      </c>
      <c r="O774" s="1" t="s">
        <v>74</v>
      </c>
      <c r="P774" s="1" t="s">
        <v>74</v>
      </c>
      <c r="Q774" s="1" t="s">
        <v>74</v>
      </c>
      <c r="R774" s="1" t="s">
        <v>74</v>
      </c>
      <c r="S774" s="1" t="s">
        <v>74</v>
      </c>
      <c r="T774" s="1" t="s">
        <v>74</v>
      </c>
      <c r="U774" s="1" t="s">
        <v>74</v>
      </c>
      <c r="V774" s="1" t="s">
        <v>7773</v>
      </c>
      <c r="W774" s="1" t="s">
        <v>74</v>
      </c>
      <c r="X774" s="1" t="s">
        <v>74</v>
      </c>
      <c r="Y774" s="1" t="s">
        <v>74</v>
      </c>
      <c r="Z774" s="1" t="s">
        <v>74</v>
      </c>
      <c r="AA774" s="1" t="s">
        <v>7774</v>
      </c>
      <c r="AB774" s="1" t="s">
        <v>7775</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7776</v>
      </c>
      <c r="AP774" s="1" t="s">
        <v>7777</v>
      </c>
      <c r="AQ774" s="1" t="s">
        <v>74</v>
      </c>
      <c r="AR774" s="1" t="s">
        <v>74</v>
      </c>
      <c r="AS774" s="1" t="s">
        <v>74</v>
      </c>
      <c r="AT774" s="1" t="s">
        <v>83</v>
      </c>
      <c r="AU774" s="1">
        <v>2018.0</v>
      </c>
      <c r="AV774" s="1">
        <v>38.0</v>
      </c>
      <c r="AW774" s="1">
        <v>15.0</v>
      </c>
      <c r="AX774" s="1" t="s">
        <v>74</v>
      </c>
      <c r="AY774" s="1" t="s">
        <v>74</v>
      </c>
      <c r="AZ774" s="1" t="s">
        <v>74</v>
      </c>
      <c r="BA774" s="1" t="s">
        <v>74</v>
      </c>
      <c r="BB774" s="1">
        <v>4986.0</v>
      </c>
      <c r="BC774" s="1">
        <v>4993.0</v>
      </c>
      <c r="BD774" s="1" t="s">
        <v>74</v>
      </c>
      <c r="BE774" s="1" t="s">
        <v>7778</v>
      </c>
      <c r="BF774" s="2" t="str">
        <f>HYPERLINK("http://dx.doi.org/10.1016/j.jeurceramsoc.2018.07.031","http://dx.doi.org/10.1016/j.jeurceramsoc.2018.07.031")</f>
        <v>http://dx.doi.org/10.1016/j.jeurceramsoc.2018.07.031</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7779</v>
      </c>
      <c r="BT774" s="1" t="str">
        <f>HYPERLINK("https%3A%2F%2Fwww.webofscience.com%2Fwos%2Fwoscc%2Ffull-record%2FWOS:000444664300020","View Full Record in Web of Science")</f>
        <v>View Full Record in Web of Science</v>
      </c>
    </row>
    <row r="775" ht="12.75" customHeight="1">
      <c r="A775" s="1" t="s">
        <v>72</v>
      </c>
      <c r="B775" s="1" t="s">
        <v>7780</v>
      </c>
      <c r="C775" s="1" t="s">
        <v>74</v>
      </c>
      <c r="D775" s="1" t="s">
        <v>74</v>
      </c>
      <c r="E775" s="1" t="s">
        <v>74</v>
      </c>
      <c r="F775" s="1" t="s">
        <v>7781</v>
      </c>
      <c r="G775" s="1" t="s">
        <v>74</v>
      </c>
      <c r="H775" s="1" t="s">
        <v>74</v>
      </c>
      <c r="I775" s="1" t="s">
        <v>7782</v>
      </c>
      <c r="J775" s="1" t="s">
        <v>6988</v>
      </c>
      <c r="K775" s="1" t="s">
        <v>74</v>
      </c>
      <c r="L775" s="1" t="s">
        <v>74</v>
      </c>
      <c r="M775" s="1" t="s">
        <v>74</v>
      </c>
      <c r="N775" s="1" t="s">
        <v>74</v>
      </c>
      <c r="O775" s="1" t="s">
        <v>74</v>
      </c>
      <c r="P775" s="1" t="s">
        <v>74</v>
      </c>
      <c r="Q775" s="1" t="s">
        <v>74</v>
      </c>
      <c r="R775" s="1" t="s">
        <v>74</v>
      </c>
      <c r="S775" s="1" t="s">
        <v>74</v>
      </c>
      <c r="T775" s="1" t="s">
        <v>74</v>
      </c>
      <c r="U775" s="1" t="s">
        <v>74</v>
      </c>
      <c r="V775" s="1" t="s">
        <v>74</v>
      </c>
      <c r="W775" s="1" t="s">
        <v>74</v>
      </c>
      <c r="X775" s="1" t="s">
        <v>74</v>
      </c>
      <c r="Y775" s="1" t="s">
        <v>74</v>
      </c>
      <c r="Z775" s="1" t="s">
        <v>74</v>
      </c>
      <c r="AA775" s="1" t="s">
        <v>7783</v>
      </c>
      <c r="AB775" s="1" t="s">
        <v>7784</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6993</v>
      </c>
      <c r="AP775" s="1" t="s">
        <v>74</v>
      </c>
      <c r="AQ775" s="1" t="s">
        <v>74</v>
      </c>
      <c r="AR775" s="1" t="s">
        <v>74</v>
      </c>
      <c r="AS775" s="1" t="s">
        <v>74</v>
      </c>
      <c r="AT775" s="1" t="s">
        <v>7785</v>
      </c>
      <c r="AU775" s="1">
        <v>2018.0</v>
      </c>
      <c r="AV775" s="1">
        <v>618.0</v>
      </c>
      <c r="AW775" s="1" t="s">
        <v>74</v>
      </c>
      <c r="AX775" s="1" t="s">
        <v>74</v>
      </c>
      <c r="AY775" s="1" t="s">
        <v>74</v>
      </c>
      <c r="AZ775" s="1" t="s">
        <v>74</v>
      </c>
      <c r="BA775" s="1" t="s">
        <v>74</v>
      </c>
      <c r="BB775" s="1" t="s">
        <v>74</v>
      </c>
      <c r="BC775" s="1" t="s">
        <v>74</v>
      </c>
      <c r="BD775" s="1" t="s">
        <v>7786</v>
      </c>
      <c r="BE775" s="1" t="s">
        <v>7787</v>
      </c>
      <c r="BF775" s="2" t="str">
        <f>HYPERLINK("http://dx.doi.org/10.1051/0004-6361/201731519e","http://dx.doi.org/10.1051/0004-6361/201731519e")</f>
        <v>http://dx.doi.org/10.1051/0004-6361/201731519e</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7788</v>
      </c>
      <c r="BT775" s="1" t="str">
        <f>HYPERLINK("https%3A%2F%2Fwww.webofscience.com%2Fwos%2Fwoscc%2Ffull-record%2FWOS:000446427100001","View Full Record in Web of Science")</f>
        <v>View Full Record in Web of Science</v>
      </c>
    </row>
    <row r="776" ht="12.75" customHeight="1">
      <c r="A776" s="1" t="s">
        <v>72</v>
      </c>
      <c r="B776" s="1" t="s">
        <v>7789</v>
      </c>
      <c r="C776" s="1" t="s">
        <v>74</v>
      </c>
      <c r="D776" s="1" t="s">
        <v>74</v>
      </c>
      <c r="E776" s="1" t="s">
        <v>74</v>
      </c>
      <c r="F776" s="1" t="s">
        <v>7790</v>
      </c>
      <c r="G776" s="1" t="s">
        <v>74</v>
      </c>
      <c r="H776" s="1" t="s">
        <v>74</v>
      </c>
      <c r="I776" s="1" t="s">
        <v>7791</v>
      </c>
      <c r="J776" s="1" t="s">
        <v>7792</v>
      </c>
      <c r="K776" s="1" t="s">
        <v>74</v>
      </c>
      <c r="L776" s="1" t="s">
        <v>74</v>
      </c>
      <c r="M776" s="1" t="s">
        <v>74</v>
      </c>
      <c r="N776" s="1" t="s">
        <v>74</v>
      </c>
      <c r="O776" s="1" t="s">
        <v>74</v>
      </c>
      <c r="P776" s="1" t="s">
        <v>74</v>
      </c>
      <c r="Q776" s="1" t="s">
        <v>74</v>
      </c>
      <c r="R776" s="1" t="s">
        <v>74</v>
      </c>
      <c r="S776" s="1" t="s">
        <v>74</v>
      </c>
      <c r="T776" s="1" t="s">
        <v>74</v>
      </c>
      <c r="U776" s="1" t="s">
        <v>74</v>
      </c>
      <c r="V776" s="1" t="s">
        <v>7793</v>
      </c>
      <c r="W776" s="1" t="s">
        <v>74</v>
      </c>
      <c r="X776" s="1" t="s">
        <v>74</v>
      </c>
      <c r="Y776" s="1" t="s">
        <v>74</v>
      </c>
      <c r="Z776" s="1" t="s">
        <v>74</v>
      </c>
      <c r="AA776" s="1" t="s">
        <v>7794</v>
      </c>
      <c r="AB776" s="1" t="s">
        <v>7795</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7796</v>
      </c>
      <c r="AP776" s="1" t="s">
        <v>74</v>
      </c>
      <c r="AQ776" s="1" t="s">
        <v>74</v>
      </c>
      <c r="AR776" s="1" t="s">
        <v>74</v>
      </c>
      <c r="AS776" s="1" t="s">
        <v>74</v>
      </c>
      <c r="AT776" s="1" t="s">
        <v>241</v>
      </c>
      <c r="AU776" s="1">
        <v>2018.0</v>
      </c>
      <c r="AV776" s="1">
        <v>33.0</v>
      </c>
      <c r="AW776" s="1">
        <v>4.0</v>
      </c>
      <c r="AX776" s="1" t="s">
        <v>74</v>
      </c>
      <c r="AY776" s="1" t="s">
        <v>74</v>
      </c>
      <c r="AZ776" s="1" t="s">
        <v>74</v>
      </c>
      <c r="BA776" s="1" t="s">
        <v>74</v>
      </c>
      <c r="BB776" s="1">
        <v>245.0</v>
      </c>
      <c r="BC776" s="1">
        <v>252.0</v>
      </c>
      <c r="BD776" s="1" t="s">
        <v>74</v>
      </c>
      <c r="BE776" s="1" t="s">
        <v>7797</v>
      </c>
      <c r="BF776" s="2" t="str">
        <f>HYPERLINK("http://dx.doi.org/10.1016/j.scispo.2017.12.002","http://dx.doi.org/10.1016/j.scispo.2017.12.002")</f>
        <v>http://dx.doi.org/10.1016/j.scispo.2017.12.002</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7798</v>
      </c>
      <c r="BT776" s="1" t="str">
        <f>HYPERLINK("https%3A%2F%2Fwww.webofscience.com%2Fwos%2Fwoscc%2Ffull-record%2FWOS:000443929400007","View Full Record in Web of Science")</f>
        <v>View Full Record in Web of Science</v>
      </c>
    </row>
    <row r="777" ht="12.75" customHeight="1">
      <c r="A777" s="1" t="s">
        <v>72</v>
      </c>
      <c r="B777" s="1" t="s">
        <v>7799</v>
      </c>
      <c r="C777" s="1" t="s">
        <v>74</v>
      </c>
      <c r="D777" s="1" t="s">
        <v>74</v>
      </c>
      <c r="E777" s="1" t="s">
        <v>74</v>
      </c>
      <c r="F777" s="1" t="s">
        <v>7800</v>
      </c>
      <c r="G777" s="1" t="s">
        <v>74</v>
      </c>
      <c r="H777" s="1" t="s">
        <v>74</v>
      </c>
      <c r="I777" s="1" t="s">
        <v>7801</v>
      </c>
      <c r="J777" s="1" t="s">
        <v>392</v>
      </c>
      <c r="K777" s="1" t="s">
        <v>74</v>
      </c>
      <c r="L777" s="1" t="s">
        <v>74</v>
      </c>
      <c r="M777" s="1" t="s">
        <v>74</v>
      </c>
      <c r="N777" s="1" t="s">
        <v>74</v>
      </c>
      <c r="O777" s="1" t="s">
        <v>74</v>
      </c>
      <c r="P777" s="1" t="s">
        <v>74</v>
      </c>
      <c r="Q777" s="1" t="s">
        <v>74</v>
      </c>
      <c r="R777" s="1" t="s">
        <v>74</v>
      </c>
      <c r="S777" s="1" t="s">
        <v>74</v>
      </c>
      <c r="T777" s="1" t="s">
        <v>74</v>
      </c>
      <c r="U777" s="1" t="s">
        <v>74</v>
      </c>
      <c r="V777" s="1" t="s">
        <v>7802</v>
      </c>
      <c r="W777" s="1" t="s">
        <v>74</v>
      </c>
      <c r="X777" s="1" t="s">
        <v>74</v>
      </c>
      <c r="Y777" s="1" t="s">
        <v>74</v>
      </c>
      <c r="Z777" s="1" t="s">
        <v>74</v>
      </c>
      <c r="AA777" s="1" t="s">
        <v>7803</v>
      </c>
      <c r="AB777" s="1" t="s">
        <v>7804</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1839</v>
      </c>
      <c r="AP777" s="1" t="s">
        <v>1840</v>
      </c>
      <c r="AQ777" s="1" t="s">
        <v>74</v>
      </c>
      <c r="AR777" s="1" t="s">
        <v>74</v>
      </c>
      <c r="AS777" s="1" t="s">
        <v>74</v>
      </c>
      <c r="AT777" s="1" t="s">
        <v>7805</v>
      </c>
      <c r="AU777" s="1">
        <v>2015.0</v>
      </c>
      <c r="AV777" s="1">
        <v>91.0</v>
      </c>
      <c r="AW777" s="1">
        <v>10.0</v>
      </c>
      <c r="AX777" s="1" t="s">
        <v>74</v>
      </c>
      <c r="AY777" s="1" t="s">
        <v>74</v>
      </c>
      <c r="AZ777" s="1" t="s">
        <v>74</v>
      </c>
      <c r="BA777" s="1" t="s">
        <v>74</v>
      </c>
      <c r="BB777" s="1" t="s">
        <v>74</v>
      </c>
      <c r="BC777" s="1" t="s">
        <v>74</v>
      </c>
      <c r="BD777" s="1">
        <v>105026.0</v>
      </c>
      <c r="BE777" s="1" t="s">
        <v>7806</v>
      </c>
      <c r="BF777" s="2" t="str">
        <f>HYPERLINK("http://dx.doi.org/10.1103/PhysRevD.91.105026","http://dx.doi.org/10.1103/PhysRevD.91.105026")</f>
        <v>http://dx.doi.org/10.1103/PhysRevD.91.105026</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7807</v>
      </c>
      <c r="BT777" s="1" t="str">
        <f>HYPERLINK("https%3A%2F%2Fwww.webofscience.com%2Fwos%2Fwoscc%2Ffull-record%2FWOS:000355095200014","View Full Record in Web of Science")</f>
        <v>View Full Record in Web of Science</v>
      </c>
    </row>
    <row r="778" ht="12.75" customHeight="1">
      <c r="A778" s="1" t="s">
        <v>72</v>
      </c>
      <c r="B778" s="1" t="s">
        <v>7808</v>
      </c>
      <c r="C778" s="1" t="s">
        <v>74</v>
      </c>
      <c r="D778" s="1" t="s">
        <v>74</v>
      </c>
      <c r="E778" s="1" t="s">
        <v>74</v>
      </c>
      <c r="F778" s="1" t="s">
        <v>7809</v>
      </c>
      <c r="G778" s="1" t="s">
        <v>74</v>
      </c>
      <c r="H778" s="1" t="s">
        <v>74</v>
      </c>
      <c r="I778" s="1" t="s">
        <v>7810</v>
      </c>
      <c r="J778" s="1" t="s">
        <v>2172</v>
      </c>
      <c r="K778" s="1" t="s">
        <v>74</v>
      </c>
      <c r="L778" s="1" t="s">
        <v>74</v>
      </c>
      <c r="M778" s="1" t="s">
        <v>74</v>
      </c>
      <c r="N778" s="1" t="s">
        <v>74</v>
      </c>
      <c r="O778" s="1" t="s">
        <v>74</v>
      </c>
      <c r="P778" s="1" t="s">
        <v>74</v>
      </c>
      <c r="Q778" s="1" t="s">
        <v>74</v>
      </c>
      <c r="R778" s="1" t="s">
        <v>74</v>
      </c>
      <c r="S778" s="1" t="s">
        <v>74</v>
      </c>
      <c r="T778" s="1" t="s">
        <v>74</v>
      </c>
      <c r="U778" s="1" t="s">
        <v>74</v>
      </c>
      <c r="V778" s="1" t="s">
        <v>7811</v>
      </c>
      <c r="W778" s="1" t="s">
        <v>74</v>
      </c>
      <c r="X778" s="1" t="s">
        <v>74</v>
      </c>
      <c r="Y778" s="1" t="s">
        <v>74</v>
      </c>
      <c r="Z778" s="1" t="s">
        <v>74</v>
      </c>
      <c r="AA778" s="1" t="s">
        <v>7812</v>
      </c>
      <c r="AB778" s="1" t="s">
        <v>7813</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2176</v>
      </c>
      <c r="AP778" s="1" t="s">
        <v>2177</v>
      </c>
      <c r="AQ778" s="1" t="s">
        <v>74</v>
      </c>
      <c r="AR778" s="1" t="s">
        <v>74</v>
      </c>
      <c r="AS778" s="1" t="s">
        <v>74</v>
      </c>
      <c r="AT778" s="1" t="s">
        <v>1082</v>
      </c>
      <c r="AU778" s="1">
        <v>2014.0</v>
      </c>
      <c r="AV778" s="1">
        <v>140.0</v>
      </c>
      <c r="AW778" s="1" t="s">
        <v>74</v>
      </c>
      <c r="AX778" s="1" t="s">
        <v>74</v>
      </c>
      <c r="AY778" s="1" t="s">
        <v>74</v>
      </c>
      <c r="AZ778" s="1" t="s">
        <v>74</v>
      </c>
      <c r="BA778" s="1" t="s">
        <v>74</v>
      </c>
      <c r="BB778" s="1">
        <v>28.0</v>
      </c>
      <c r="BC778" s="1">
        <v>38.0</v>
      </c>
      <c r="BD778" s="1" t="s">
        <v>74</v>
      </c>
      <c r="BE778" s="1" t="s">
        <v>7814</v>
      </c>
      <c r="BF778" s="2" t="str">
        <f>HYPERLINK("http://dx.doi.org/10.1016/j.jfoodeng.2014.04.010","http://dx.doi.org/10.1016/j.jfoodeng.2014.04.010")</f>
        <v>http://dx.doi.org/10.1016/j.jfoodeng.2014.04.010</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7815</v>
      </c>
      <c r="BT778" s="1" t="str">
        <f>HYPERLINK("https%3A%2F%2Fwww.webofscience.com%2Fwos%2Fwoscc%2Ffull-record%2FWOS:000338400800004","View Full Record in Web of Science")</f>
        <v>View Full Record in Web of Science</v>
      </c>
    </row>
    <row r="779" ht="12.75" customHeight="1">
      <c r="A779" s="1" t="s">
        <v>72</v>
      </c>
      <c r="B779" s="1" t="s">
        <v>7816</v>
      </c>
      <c r="C779" s="1" t="s">
        <v>74</v>
      </c>
      <c r="D779" s="1" t="s">
        <v>74</v>
      </c>
      <c r="E779" s="1" t="s">
        <v>74</v>
      </c>
      <c r="F779" s="1" t="s">
        <v>7817</v>
      </c>
      <c r="G779" s="1" t="s">
        <v>74</v>
      </c>
      <c r="H779" s="1" t="s">
        <v>74</v>
      </c>
      <c r="I779" s="1" t="s">
        <v>7818</v>
      </c>
      <c r="J779" s="1" t="s">
        <v>2428</v>
      </c>
      <c r="K779" s="1" t="s">
        <v>74</v>
      </c>
      <c r="L779" s="1" t="s">
        <v>74</v>
      </c>
      <c r="M779" s="1" t="s">
        <v>74</v>
      </c>
      <c r="N779" s="1" t="s">
        <v>74</v>
      </c>
      <c r="O779" s="1" t="s">
        <v>74</v>
      </c>
      <c r="P779" s="1" t="s">
        <v>74</v>
      </c>
      <c r="Q779" s="1" t="s">
        <v>74</v>
      </c>
      <c r="R779" s="1" t="s">
        <v>74</v>
      </c>
      <c r="S779" s="1" t="s">
        <v>74</v>
      </c>
      <c r="T779" s="1" t="s">
        <v>74</v>
      </c>
      <c r="U779" s="1" t="s">
        <v>74</v>
      </c>
      <c r="V779" s="1" t="s">
        <v>7819</v>
      </c>
      <c r="W779" s="1" t="s">
        <v>74</v>
      </c>
      <c r="X779" s="1" t="s">
        <v>74</v>
      </c>
      <c r="Y779" s="1" t="s">
        <v>74</v>
      </c>
      <c r="Z779" s="1" t="s">
        <v>74</v>
      </c>
      <c r="AA779" s="1" t="s">
        <v>7820</v>
      </c>
      <c r="AB779" s="1" t="s">
        <v>7821</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2431</v>
      </c>
      <c r="AP779" s="1" t="s">
        <v>2432</v>
      </c>
      <c r="AQ779" s="1" t="s">
        <v>74</v>
      </c>
      <c r="AR779" s="1" t="s">
        <v>74</v>
      </c>
      <c r="AS779" s="1" t="s">
        <v>74</v>
      </c>
      <c r="AT779" s="1" t="s">
        <v>1426</v>
      </c>
      <c r="AU779" s="1">
        <v>2013.0</v>
      </c>
      <c r="AV779" s="1">
        <v>94.0</v>
      </c>
      <c r="AW779" s="1" t="s">
        <v>74</v>
      </c>
      <c r="AX779" s="1" t="s">
        <v>74</v>
      </c>
      <c r="AY779" s="1" t="s">
        <v>74</v>
      </c>
      <c r="AZ779" s="1" t="s">
        <v>74</v>
      </c>
      <c r="BA779" s="1" t="s">
        <v>74</v>
      </c>
      <c r="BB779" s="1">
        <v>121.0</v>
      </c>
      <c r="BC779" s="1">
        <v>123.0</v>
      </c>
      <c r="BD779" s="1" t="s">
        <v>74</v>
      </c>
      <c r="BE779" s="1" t="s">
        <v>7822</v>
      </c>
      <c r="BF779" s="2" t="str">
        <f>HYPERLINK("http://dx.doi.org/10.1016/j.matlet.2012.12.044","http://dx.doi.org/10.1016/j.matlet.2012.12.044")</f>
        <v>http://dx.doi.org/10.1016/j.matlet.2012.12.044</v>
      </c>
      <c r="BG779" s="1" t="s">
        <v>74</v>
      </c>
      <c r="BH779" s="1" t="s">
        <v>74</v>
      </c>
      <c r="BI779" s="1" t="s">
        <v>74</v>
      </c>
      <c r="BJ779" s="1" t="s">
        <v>74</v>
      </c>
      <c r="BK779" s="1" t="s">
        <v>74</v>
      </c>
      <c r="BL779" s="1" t="s">
        <v>74</v>
      </c>
      <c r="BM779" s="1" t="s">
        <v>74</v>
      </c>
      <c r="BN779" s="1" t="s">
        <v>74</v>
      </c>
      <c r="BO779" s="1" t="s">
        <v>74</v>
      </c>
      <c r="BP779" s="1" t="s">
        <v>74</v>
      </c>
      <c r="BQ779" s="1" t="s">
        <v>74</v>
      </c>
      <c r="BR779" s="1" t="s">
        <v>74</v>
      </c>
      <c r="BS779" s="1" t="s">
        <v>7823</v>
      </c>
      <c r="BT779" s="1" t="str">
        <f>HYPERLINK("https%3A%2F%2Fwww.webofscience.com%2Fwos%2Fwoscc%2Ffull-record%2FWOS:000315254400033","View Full Record in Web of Science")</f>
        <v>View Full Record in Web of Science</v>
      </c>
    </row>
    <row r="780" ht="12.75" customHeight="1">
      <c r="A780" s="1" t="s">
        <v>72</v>
      </c>
      <c r="B780" s="1" t="s">
        <v>7824</v>
      </c>
      <c r="C780" s="1" t="s">
        <v>74</v>
      </c>
      <c r="D780" s="1" t="s">
        <v>74</v>
      </c>
      <c r="E780" s="1" t="s">
        <v>74</v>
      </c>
      <c r="F780" s="1" t="s">
        <v>7825</v>
      </c>
      <c r="G780" s="1" t="s">
        <v>74</v>
      </c>
      <c r="H780" s="1" t="s">
        <v>74</v>
      </c>
      <c r="I780" s="1" t="s">
        <v>7826</v>
      </c>
      <c r="J780" s="1" t="s">
        <v>7827</v>
      </c>
      <c r="K780" s="1" t="s">
        <v>74</v>
      </c>
      <c r="L780" s="1" t="s">
        <v>74</v>
      </c>
      <c r="M780" s="1" t="s">
        <v>74</v>
      </c>
      <c r="N780" s="1" t="s">
        <v>74</v>
      </c>
      <c r="O780" s="1" t="s">
        <v>74</v>
      </c>
      <c r="P780" s="1" t="s">
        <v>74</v>
      </c>
      <c r="Q780" s="1" t="s">
        <v>74</v>
      </c>
      <c r="R780" s="1" t="s">
        <v>74</v>
      </c>
      <c r="S780" s="1" t="s">
        <v>74</v>
      </c>
      <c r="T780" s="1" t="s">
        <v>74</v>
      </c>
      <c r="U780" s="1" t="s">
        <v>74</v>
      </c>
      <c r="V780" s="1" t="s">
        <v>74</v>
      </c>
      <c r="W780" s="1" t="s">
        <v>74</v>
      </c>
      <c r="X780" s="1" t="s">
        <v>74</v>
      </c>
      <c r="Y780" s="1" t="s">
        <v>74</v>
      </c>
      <c r="Z780" s="1" t="s">
        <v>74</v>
      </c>
      <c r="AA780" s="1" t="s">
        <v>7828</v>
      </c>
      <c r="AB780" s="1" t="s">
        <v>74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7829</v>
      </c>
      <c r="AP780" s="1" t="s">
        <v>74</v>
      </c>
      <c r="AQ780" s="1" t="s">
        <v>74</v>
      </c>
      <c r="AR780" s="1" t="s">
        <v>74</v>
      </c>
      <c r="AS780" s="1" t="s">
        <v>74</v>
      </c>
      <c r="AT780" s="1" t="s">
        <v>83</v>
      </c>
      <c r="AU780" s="1">
        <v>2012.0</v>
      </c>
      <c r="AV780" s="1">
        <v>26.0</v>
      </c>
      <c r="AW780" s="1" t="s">
        <v>74</v>
      </c>
      <c r="AX780" s="1" t="s">
        <v>74</v>
      </c>
      <c r="AY780" s="1">
        <v>1.0</v>
      </c>
      <c r="AZ780" s="1" t="s">
        <v>74</v>
      </c>
      <c r="BA780" s="1" t="s">
        <v>74</v>
      </c>
      <c r="BB780" s="1">
        <v>34.0</v>
      </c>
      <c r="BC780" s="1">
        <v>34.0</v>
      </c>
      <c r="BD780" s="1" t="s">
        <v>74</v>
      </c>
      <c r="BE780" s="1" t="s">
        <v>74</v>
      </c>
      <c r="BF780" s="1" t="s">
        <v>74</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7830</v>
      </c>
      <c r="BT780" s="1" t="str">
        <f>HYPERLINK("https%3A%2F%2Fwww.webofscience.com%2Fwos%2Fwoscc%2Ffull-record%2FWOS:000314975100082","View Full Record in Web of Science")</f>
        <v>View Full Record in Web of Science</v>
      </c>
    </row>
    <row r="781" ht="12.75" customHeight="1">
      <c r="A781" s="1" t="s">
        <v>72</v>
      </c>
      <c r="B781" s="1" t="s">
        <v>7831</v>
      </c>
      <c r="C781" s="1" t="s">
        <v>74</v>
      </c>
      <c r="D781" s="1" t="s">
        <v>74</v>
      </c>
      <c r="E781" s="1" t="s">
        <v>74</v>
      </c>
      <c r="F781" s="1" t="s">
        <v>7832</v>
      </c>
      <c r="G781" s="1" t="s">
        <v>74</v>
      </c>
      <c r="H781" s="1" t="s">
        <v>74</v>
      </c>
      <c r="I781" s="1" t="s">
        <v>7833</v>
      </c>
      <c r="J781" s="1" t="s">
        <v>7834</v>
      </c>
      <c r="K781" s="1" t="s">
        <v>74</v>
      </c>
      <c r="L781" s="1" t="s">
        <v>74</v>
      </c>
      <c r="M781" s="1" t="s">
        <v>74</v>
      </c>
      <c r="N781" s="1" t="s">
        <v>74</v>
      </c>
      <c r="O781" s="1" t="s">
        <v>74</v>
      </c>
      <c r="P781" s="1" t="s">
        <v>74</v>
      </c>
      <c r="Q781" s="1" t="s">
        <v>74</v>
      </c>
      <c r="R781" s="1" t="s">
        <v>74</v>
      </c>
      <c r="S781" s="1" t="s">
        <v>74</v>
      </c>
      <c r="T781" s="1" t="s">
        <v>74</v>
      </c>
      <c r="U781" s="1" t="s">
        <v>74</v>
      </c>
      <c r="V781" s="1" t="s">
        <v>7835</v>
      </c>
      <c r="W781" s="1" t="s">
        <v>74</v>
      </c>
      <c r="X781" s="1" t="s">
        <v>74</v>
      </c>
      <c r="Y781" s="1" t="s">
        <v>74</v>
      </c>
      <c r="Z781" s="1" t="s">
        <v>74</v>
      </c>
      <c r="AA781" s="1" t="s">
        <v>7836</v>
      </c>
      <c r="AB781" s="1" t="s">
        <v>7837</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7838</v>
      </c>
      <c r="AP781" s="1" t="s">
        <v>7839</v>
      </c>
      <c r="AQ781" s="1" t="s">
        <v>74</v>
      </c>
      <c r="AR781" s="1" t="s">
        <v>74</v>
      </c>
      <c r="AS781" s="1" t="s">
        <v>74</v>
      </c>
      <c r="AT781" s="1" t="s">
        <v>7840</v>
      </c>
      <c r="AU781" s="1">
        <v>2010.0</v>
      </c>
      <c r="AV781" s="1">
        <v>23.0</v>
      </c>
      <c r="AW781" s="1">
        <v>5.0</v>
      </c>
      <c r="AX781" s="1" t="s">
        <v>74</v>
      </c>
      <c r="AY781" s="1" t="s">
        <v>74</v>
      </c>
      <c r="AZ781" s="1" t="s">
        <v>74</v>
      </c>
      <c r="BA781" s="1" t="s">
        <v>74</v>
      </c>
      <c r="BB781" s="1">
        <v>253.0</v>
      </c>
      <c r="BC781" s="1">
        <v>266.0</v>
      </c>
      <c r="BD781" s="1" t="s">
        <v>74</v>
      </c>
      <c r="BE781" s="1" t="s">
        <v>7841</v>
      </c>
      <c r="BF781" s="2" t="str">
        <f>HYPERLINK("http://dx.doi.org/10.1002/pts.893","http://dx.doi.org/10.1002/pts.893")</f>
        <v>http://dx.doi.org/10.1002/pts.893</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7842</v>
      </c>
      <c r="BT781" s="1" t="str">
        <f>HYPERLINK("https%3A%2F%2Fwww.webofscience.com%2Fwos%2Fwoscc%2Ffull-record%2FWOS:000281271100002","View Full Record in Web of Science")</f>
        <v>View Full Record in Web of Science</v>
      </c>
    </row>
    <row r="782" ht="12.75" customHeight="1">
      <c r="A782" s="1" t="s">
        <v>72</v>
      </c>
      <c r="B782" s="1" t="s">
        <v>7843</v>
      </c>
      <c r="C782" s="1" t="s">
        <v>74</v>
      </c>
      <c r="D782" s="1" t="s">
        <v>74</v>
      </c>
      <c r="E782" s="1" t="s">
        <v>74</v>
      </c>
      <c r="F782" s="1" t="s">
        <v>7844</v>
      </c>
      <c r="G782" s="1" t="s">
        <v>74</v>
      </c>
      <c r="H782" s="1" t="s">
        <v>74</v>
      </c>
      <c r="I782" s="1" t="s">
        <v>7845</v>
      </c>
      <c r="J782" s="1" t="s">
        <v>7846</v>
      </c>
      <c r="K782" s="1" t="s">
        <v>74</v>
      </c>
      <c r="L782" s="1" t="s">
        <v>74</v>
      </c>
      <c r="M782" s="1" t="s">
        <v>74</v>
      </c>
      <c r="N782" s="1" t="s">
        <v>74</v>
      </c>
      <c r="O782" s="1" t="s">
        <v>74</v>
      </c>
      <c r="P782" s="1" t="s">
        <v>74</v>
      </c>
      <c r="Q782" s="1" t="s">
        <v>74</v>
      </c>
      <c r="R782" s="1" t="s">
        <v>74</v>
      </c>
      <c r="S782" s="1" t="s">
        <v>74</v>
      </c>
      <c r="T782" s="1" t="s">
        <v>74</v>
      </c>
      <c r="U782" s="1" t="s">
        <v>74</v>
      </c>
      <c r="V782" s="1" t="s">
        <v>7847</v>
      </c>
      <c r="W782" s="1" t="s">
        <v>74</v>
      </c>
      <c r="X782" s="1" t="s">
        <v>74</v>
      </c>
      <c r="Y782" s="1" t="s">
        <v>74</v>
      </c>
      <c r="Z782" s="1" t="s">
        <v>74</v>
      </c>
      <c r="AA782" s="1" t="s">
        <v>5083</v>
      </c>
      <c r="AB782" s="1" t="s">
        <v>7567</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7848</v>
      </c>
      <c r="AP782" s="1" t="s">
        <v>7849</v>
      </c>
      <c r="AQ782" s="1" t="s">
        <v>74</v>
      </c>
      <c r="AR782" s="1" t="s">
        <v>74</v>
      </c>
      <c r="AS782" s="1" t="s">
        <v>74</v>
      </c>
      <c r="AT782" s="1" t="s">
        <v>1786</v>
      </c>
      <c r="AU782" s="1">
        <v>2008.0</v>
      </c>
      <c r="AV782" s="1">
        <v>281.0</v>
      </c>
      <c r="AW782" s="1">
        <v>8.0</v>
      </c>
      <c r="AX782" s="1" t="s">
        <v>74</v>
      </c>
      <c r="AY782" s="1" t="s">
        <v>74</v>
      </c>
      <c r="AZ782" s="1" t="s">
        <v>74</v>
      </c>
      <c r="BA782" s="1" t="s">
        <v>74</v>
      </c>
      <c r="BB782" s="1">
        <v>2195.0</v>
      </c>
      <c r="BC782" s="1">
        <v>2206.0</v>
      </c>
      <c r="BD782" s="1" t="s">
        <v>74</v>
      </c>
      <c r="BE782" s="1" t="s">
        <v>7850</v>
      </c>
      <c r="BF782" s="2" t="str">
        <f>HYPERLINK("http://dx.doi.org/10.1016/j.optcom.2007.12.005","http://dx.doi.org/10.1016/j.optcom.2007.12.005")</f>
        <v>http://dx.doi.org/10.1016/j.optcom.2007.12.005</v>
      </c>
      <c r="BG782" s="1" t="s">
        <v>74</v>
      </c>
      <c r="BH782" s="1" t="s">
        <v>74</v>
      </c>
      <c r="BI782" s="1" t="s">
        <v>74</v>
      </c>
      <c r="BJ782" s="1" t="s">
        <v>74</v>
      </c>
      <c r="BK782" s="1" t="s">
        <v>74</v>
      </c>
      <c r="BL782" s="1" t="s">
        <v>74</v>
      </c>
      <c r="BM782" s="1" t="s">
        <v>74</v>
      </c>
      <c r="BN782" s="1" t="s">
        <v>74</v>
      </c>
      <c r="BO782" s="1" t="s">
        <v>74</v>
      </c>
      <c r="BP782" s="1" t="s">
        <v>74</v>
      </c>
      <c r="BQ782" s="1" t="s">
        <v>74</v>
      </c>
      <c r="BR782" s="1" t="s">
        <v>74</v>
      </c>
      <c r="BS782" s="1" t="s">
        <v>7851</v>
      </c>
      <c r="BT782" s="1" t="str">
        <f>HYPERLINK("https%3A%2F%2Fwww.webofscience.com%2Fwos%2Fwoscc%2Ffull-record%2FWOS:000254566000048","View Full Record in Web of Science")</f>
        <v>View Full Record in Web of Science</v>
      </c>
    </row>
    <row r="783" ht="12.75" customHeight="1">
      <c r="A783" s="1" t="s">
        <v>154</v>
      </c>
      <c r="B783" s="1" t="s">
        <v>7852</v>
      </c>
      <c r="C783" s="1" t="s">
        <v>74</v>
      </c>
      <c r="D783" s="1" t="s">
        <v>7853</v>
      </c>
      <c r="E783" s="1" t="s">
        <v>74</v>
      </c>
      <c r="F783" s="1" t="s">
        <v>7854</v>
      </c>
      <c r="G783" s="1" t="s">
        <v>74</v>
      </c>
      <c r="H783" s="1" t="s">
        <v>74</v>
      </c>
      <c r="I783" s="1" t="s">
        <v>7855</v>
      </c>
      <c r="J783" s="1" t="s">
        <v>7856</v>
      </c>
      <c r="K783" s="1" t="s">
        <v>1294</v>
      </c>
      <c r="L783" s="1" t="s">
        <v>74</v>
      </c>
      <c r="M783" s="1" t="s">
        <v>74</v>
      </c>
      <c r="N783" s="1" t="s">
        <v>74</v>
      </c>
      <c r="O783" s="1" t="s">
        <v>7857</v>
      </c>
      <c r="P783" s="1" t="s">
        <v>7858</v>
      </c>
      <c r="Q783" s="1" t="s">
        <v>7859</v>
      </c>
      <c r="R783" s="1" t="s">
        <v>74</v>
      </c>
      <c r="S783" s="1" t="s">
        <v>74</v>
      </c>
      <c r="T783" s="1" t="s">
        <v>74</v>
      </c>
      <c r="U783" s="1" t="s">
        <v>74</v>
      </c>
      <c r="V783" s="1" t="s">
        <v>7860</v>
      </c>
      <c r="W783" s="1" t="s">
        <v>74</v>
      </c>
      <c r="X783" s="1" t="s">
        <v>74</v>
      </c>
      <c r="Y783" s="1" t="s">
        <v>74</v>
      </c>
      <c r="Z783" s="1" t="s">
        <v>74</v>
      </c>
      <c r="AA783" s="1" t="s">
        <v>7861</v>
      </c>
      <c r="AB783" s="1" t="s">
        <v>7862</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1300</v>
      </c>
      <c r="AP783" s="1" t="s">
        <v>74</v>
      </c>
      <c r="AQ783" s="1" t="s">
        <v>7863</v>
      </c>
      <c r="AR783" s="1" t="s">
        <v>74</v>
      </c>
      <c r="AS783" s="1" t="s">
        <v>74</v>
      </c>
      <c r="AT783" s="1" t="s">
        <v>74</v>
      </c>
      <c r="AU783" s="1">
        <v>2008.0</v>
      </c>
      <c r="AV783" s="1">
        <v>5168.0</v>
      </c>
      <c r="AW783" s="1" t="s">
        <v>74</v>
      </c>
      <c r="AX783" s="1" t="s">
        <v>74</v>
      </c>
      <c r="AY783" s="1" t="s">
        <v>74</v>
      </c>
      <c r="AZ783" s="1" t="s">
        <v>74</v>
      </c>
      <c r="BA783" s="1" t="s">
        <v>74</v>
      </c>
      <c r="BB783" s="1">
        <v>866.0</v>
      </c>
      <c r="BC783" s="1">
        <v>875.0</v>
      </c>
      <c r="BD783" s="1" t="s">
        <v>74</v>
      </c>
      <c r="BE783" s="1" t="s">
        <v>74</v>
      </c>
      <c r="BF783" s="1" t="s">
        <v>74</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7864</v>
      </c>
      <c r="BT783" s="1" t="str">
        <f>HYPERLINK("https%3A%2F%2Fwww.webofscience.com%2Fwos%2Fwoscc%2Ffull-record%2FWOS:000259084900080","View Full Record in Web of Science")</f>
        <v>View Full Record in Web of Science</v>
      </c>
    </row>
    <row r="784" ht="12.75" customHeight="1">
      <c r="A784" s="1" t="s">
        <v>72</v>
      </c>
      <c r="B784" s="1" t="s">
        <v>7865</v>
      </c>
      <c r="C784" s="1" t="s">
        <v>74</v>
      </c>
      <c r="D784" s="1" t="s">
        <v>74</v>
      </c>
      <c r="E784" s="1" t="s">
        <v>74</v>
      </c>
      <c r="F784" s="1" t="s">
        <v>7866</v>
      </c>
      <c r="G784" s="1" t="s">
        <v>74</v>
      </c>
      <c r="H784" s="1" t="s">
        <v>74</v>
      </c>
      <c r="I784" s="1" t="s">
        <v>7867</v>
      </c>
      <c r="J784" s="1" t="s">
        <v>6968</v>
      </c>
      <c r="K784" s="1" t="s">
        <v>74</v>
      </c>
      <c r="L784" s="1" t="s">
        <v>74</v>
      </c>
      <c r="M784" s="1" t="s">
        <v>74</v>
      </c>
      <c r="N784" s="1" t="s">
        <v>74</v>
      </c>
      <c r="O784" s="1" t="s">
        <v>74</v>
      </c>
      <c r="P784" s="1" t="s">
        <v>74</v>
      </c>
      <c r="Q784" s="1" t="s">
        <v>74</v>
      </c>
      <c r="R784" s="1" t="s">
        <v>74</v>
      </c>
      <c r="S784" s="1" t="s">
        <v>74</v>
      </c>
      <c r="T784" s="1" t="s">
        <v>74</v>
      </c>
      <c r="U784" s="1" t="s">
        <v>74</v>
      </c>
      <c r="V784" s="1" t="s">
        <v>7868</v>
      </c>
      <c r="W784" s="1" t="s">
        <v>74</v>
      </c>
      <c r="X784" s="1" t="s">
        <v>74</v>
      </c>
      <c r="Y784" s="1" t="s">
        <v>74</v>
      </c>
      <c r="Z784" s="1" t="s">
        <v>74</v>
      </c>
      <c r="AA784" s="1" t="s">
        <v>7869</v>
      </c>
      <c r="AB784" s="1" t="s">
        <v>7870</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6972</v>
      </c>
      <c r="AP784" s="1" t="s">
        <v>74</v>
      </c>
      <c r="AQ784" s="1" t="s">
        <v>74</v>
      </c>
      <c r="AR784" s="1" t="s">
        <v>74</v>
      </c>
      <c r="AS784" s="1" t="s">
        <v>74</v>
      </c>
      <c r="AT784" s="1" t="s">
        <v>7871</v>
      </c>
      <c r="AU784" s="1">
        <v>2007.0</v>
      </c>
      <c r="AV784" s="1">
        <v>18.0</v>
      </c>
      <c r="AW784" s="1">
        <v>48.0</v>
      </c>
      <c r="AX784" s="1" t="s">
        <v>74</v>
      </c>
      <c r="AY784" s="1" t="s">
        <v>74</v>
      </c>
      <c r="AZ784" s="1" t="s">
        <v>74</v>
      </c>
      <c r="BA784" s="1" t="s">
        <v>74</v>
      </c>
      <c r="BB784" s="1" t="s">
        <v>74</v>
      </c>
      <c r="BC784" s="1" t="s">
        <v>74</v>
      </c>
      <c r="BD784" s="1">
        <v>485707.0</v>
      </c>
      <c r="BE784" s="1" t="s">
        <v>7872</v>
      </c>
      <c r="BF784" s="2" t="str">
        <f>HYPERLINK("http://dx.doi.org/10.1088/0957-4484/18/48/485707","http://dx.doi.org/10.1088/0957-4484/18/48/485707")</f>
        <v>http://dx.doi.org/10.1088/0957-4484/18/48/485707</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7873</v>
      </c>
      <c r="BT784" s="1" t="str">
        <f>HYPERLINK("https%3A%2F%2Fwww.webofscience.com%2Fwos%2Fwoscc%2Ffull-record%2FWOS:000250725600027","View Full Record in Web of Science")</f>
        <v>View Full Record in Web of Science</v>
      </c>
    </row>
    <row r="785" ht="12.75" customHeight="1">
      <c r="A785" s="1" t="s">
        <v>72</v>
      </c>
      <c r="B785" s="1" t="s">
        <v>7874</v>
      </c>
      <c r="C785" s="1" t="s">
        <v>74</v>
      </c>
      <c r="D785" s="1" t="s">
        <v>74</v>
      </c>
      <c r="E785" s="1" t="s">
        <v>74</v>
      </c>
      <c r="F785" s="1" t="s">
        <v>7875</v>
      </c>
      <c r="G785" s="1" t="s">
        <v>74</v>
      </c>
      <c r="H785" s="1" t="s">
        <v>74</v>
      </c>
      <c r="I785" s="1" t="s">
        <v>7876</v>
      </c>
      <c r="J785" s="1" t="s">
        <v>7877</v>
      </c>
      <c r="K785" s="1" t="s">
        <v>74</v>
      </c>
      <c r="L785" s="1" t="s">
        <v>74</v>
      </c>
      <c r="M785" s="1" t="s">
        <v>74</v>
      </c>
      <c r="N785" s="1" t="s">
        <v>74</v>
      </c>
      <c r="O785" s="1" t="s">
        <v>74</v>
      </c>
      <c r="P785" s="1" t="s">
        <v>74</v>
      </c>
      <c r="Q785" s="1" t="s">
        <v>74</v>
      </c>
      <c r="R785" s="1" t="s">
        <v>74</v>
      </c>
      <c r="S785" s="1" t="s">
        <v>74</v>
      </c>
      <c r="T785" s="1" t="s">
        <v>74</v>
      </c>
      <c r="U785" s="1" t="s">
        <v>74</v>
      </c>
      <c r="V785" s="1" t="s">
        <v>7878</v>
      </c>
      <c r="W785" s="1" t="s">
        <v>74</v>
      </c>
      <c r="X785" s="1" t="s">
        <v>74</v>
      </c>
      <c r="Y785" s="1" t="s">
        <v>74</v>
      </c>
      <c r="Z785" s="1" t="s">
        <v>74</v>
      </c>
      <c r="AA785" s="1" t="s">
        <v>7879</v>
      </c>
      <c r="AB785" s="1" t="s">
        <v>7880</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7881</v>
      </c>
      <c r="AP785" s="1" t="s">
        <v>7882</v>
      </c>
      <c r="AQ785" s="1" t="s">
        <v>74</v>
      </c>
      <c r="AR785" s="1" t="s">
        <v>74</v>
      </c>
      <c r="AS785" s="1" t="s">
        <v>74</v>
      </c>
      <c r="AT785" s="1" t="s">
        <v>176</v>
      </c>
      <c r="AU785" s="1">
        <v>2025.0</v>
      </c>
      <c r="AV785" s="1">
        <v>21.0</v>
      </c>
      <c r="AW785" s="1">
        <v>1.0</v>
      </c>
      <c r="AX785" s="1" t="s">
        <v>74</v>
      </c>
      <c r="AY785" s="1" t="s">
        <v>74</v>
      </c>
      <c r="AZ785" s="1" t="s">
        <v>74</v>
      </c>
      <c r="BA785" s="1" t="s">
        <v>74</v>
      </c>
      <c r="BB785" s="1">
        <v>101.0</v>
      </c>
      <c r="BC785" s="1">
        <v>110.0</v>
      </c>
      <c r="BD785" s="1" t="s">
        <v>74</v>
      </c>
      <c r="BE785" s="1" t="s">
        <v>7883</v>
      </c>
      <c r="BF785" s="2" t="str">
        <f>HYPERLINK("http://dx.doi.org/10.1007/s11332-024-01234-4","http://dx.doi.org/10.1007/s11332-024-01234-4")</f>
        <v>http://dx.doi.org/10.1007/s11332-024-01234-4</v>
      </c>
      <c r="BG785" s="1" t="s">
        <v>74</v>
      </c>
      <c r="BH785" s="1" t="s">
        <v>4624</v>
      </c>
      <c r="BI785" s="1" t="s">
        <v>74</v>
      </c>
      <c r="BJ785" s="1" t="s">
        <v>74</v>
      </c>
      <c r="BK785" s="1" t="s">
        <v>74</v>
      </c>
      <c r="BL785" s="1" t="s">
        <v>74</v>
      </c>
      <c r="BM785" s="1" t="s">
        <v>74</v>
      </c>
      <c r="BN785" s="1" t="s">
        <v>74</v>
      </c>
      <c r="BO785" s="1" t="s">
        <v>74</v>
      </c>
      <c r="BP785" s="1" t="s">
        <v>74</v>
      </c>
      <c r="BQ785" s="1" t="s">
        <v>74</v>
      </c>
      <c r="BR785" s="1" t="s">
        <v>74</v>
      </c>
      <c r="BS785" s="1" t="s">
        <v>7884</v>
      </c>
      <c r="BT785" s="1" t="str">
        <f>HYPERLINK("https%3A%2F%2Fwww.webofscience.com%2Fwos%2Fwoscc%2Ffull-record%2FWOS:001272270500001","View Full Record in Web of Science")</f>
        <v>View Full Record in Web of Science</v>
      </c>
    </row>
    <row r="786" ht="12.75" customHeight="1">
      <c r="A786" s="1" t="s">
        <v>72</v>
      </c>
      <c r="B786" s="1" t="s">
        <v>7885</v>
      </c>
      <c r="C786" s="1" t="s">
        <v>74</v>
      </c>
      <c r="D786" s="1" t="s">
        <v>74</v>
      </c>
      <c r="E786" s="1" t="s">
        <v>74</v>
      </c>
      <c r="F786" s="1" t="s">
        <v>4946</v>
      </c>
      <c r="G786" s="1" t="s">
        <v>74</v>
      </c>
      <c r="H786" s="1" t="s">
        <v>74</v>
      </c>
      <c r="I786" s="1" t="s">
        <v>7886</v>
      </c>
      <c r="J786" s="1" t="s">
        <v>7887</v>
      </c>
      <c r="K786" s="1" t="s">
        <v>74</v>
      </c>
      <c r="L786" s="1" t="s">
        <v>74</v>
      </c>
      <c r="M786" s="1" t="s">
        <v>74</v>
      </c>
      <c r="N786" s="1" t="s">
        <v>74</v>
      </c>
      <c r="O786" s="1" t="s">
        <v>74</v>
      </c>
      <c r="P786" s="1" t="s">
        <v>74</v>
      </c>
      <c r="Q786" s="1" t="s">
        <v>74</v>
      </c>
      <c r="R786" s="1" t="s">
        <v>74</v>
      </c>
      <c r="S786" s="1" t="s">
        <v>74</v>
      </c>
      <c r="T786" s="1" t="s">
        <v>74</v>
      </c>
      <c r="U786" s="1" t="s">
        <v>74</v>
      </c>
      <c r="V786" s="1" t="s">
        <v>7888</v>
      </c>
      <c r="W786" s="1" t="s">
        <v>74</v>
      </c>
      <c r="X786" s="1" t="s">
        <v>74</v>
      </c>
      <c r="Y786" s="1" t="s">
        <v>74</v>
      </c>
      <c r="Z786" s="1" t="s">
        <v>74</v>
      </c>
      <c r="AA786" s="1" t="s">
        <v>74</v>
      </c>
      <c r="AB786" s="1" t="s">
        <v>7889</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7890</v>
      </c>
      <c r="AP786" s="1" t="s">
        <v>7891</v>
      </c>
      <c r="AQ786" s="1" t="s">
        <v>74</v>
      </c>
      <c r="AR786" s="1" t="s">
        <v>74</v>
      </c>
      <c r="AS786" s="1" t="s">
        <v>74</v>
      </c>
      <c r="AT786" s="1" t="s">
        <v>7892</v>
      </c>
      <c r="AU786" s="1">
        <v>2024.0</v>
      </c>
      <c r="AV786" s="1">
        <v>35.0</v>
      </c>
      <c r="AW786" s="1">
        <v>9.0</v>
      </c>
      <c r="AX786" s="1" t="s">
        <v>74</v>
      </c>
      <c r="AY786" s="1" t="s">
        <v>74</v>
      </c>
      <c r="AZ786" s="1" t="s">
        <v>74</v>
      </c>
      <c r="BA786" s="1" t="s">
        <v>74</v>
      </c>
      <c r="BB786" s="1">
        <v>1681.0</v>
      </c>
      <c r="BC786" s="1">
        <v>1707.0</v>
      </c>
      <c r="BD786" s="1" t="s">
        <v>74</v>
      </c>
      <c r="BE786" s="1" t="s">
        <v>7893</v>
      </c>
      <c r="BF786" s="2" t="str">
        <f>HYPERLINK("http://dx.doi.org/10.1080/09585192.2023.2237863","http://dx.doi.org/10.1080/09585192.2023.2237863")</f>
        <v>http://dx.doi.org/10.1080/09585192.2023.2237863</v>
      </c>
      <c r="BG786" s="1" t="s">
        <v>74</v>
      </c>
      <c r="BH786" s="1" t="s">
        <v>7894</v>
      </c>
      <c r="BI786" s="1" t="s">
        <v>74</v>
      </c>
      <c r="BJ786" s="1" t="s">
        <v>74</v>
      </c>
      <c r="BK786" s="1" t="s">
        <v>74</v>
      </c>
      <c r="BL786" s="1" t="s">
        <v>74</v>
      </c>
      <c r="BM786" s="1" t="s">
        <v>74</v>
      </c>
      <c r="BN786" s="1" t="s">
        <v>74</v>
      </c>
      <c r="BO786" s="1" t="s">
        <v>74</v>
      </c>
      <c r="BP786" s="1" t="s">
        <v>74</v>
      </c>
      <c r="BQ786" s="1" t="s">
        <v>74</v>
      </c>
      <c r="BR786" s="1" t="s">
        <v>74</v>
      </c>
      <c r="BS786" s="1" t="s">
        <v>7895</v>
      </c>
      <c r="BT786" s="1" t="str">
        <f>HYPERLINK("https%3A%2F%2Fwww.webofscience.com%2Fwos%2Fwoscc%2Ffull-record%2FWOS:001032142400001","View Full Record in Web of Science")</f>
        <v>View Full Record in Web of Science</v>
      </c>
    </row>
    <row r="787" ht="12.75" customHeight="1">
      <c r="A787" s="1" t="s">
        <v>320</v>
      </c>
      <c r="B787" s="1" t="s">
        <v>7896</v>
      </c>
      <c r="C787" s="1" t="s">
        <v>74</v>
      </c>
      <c r="D787" s="1" t="s">
        <v>7897</v>
      </c>
      <c r="E787" s="1" t="s">
        <v>74</v>
      </c>
      <c r="F787" s="1" t="s">
        <v>7898</v>
      </c>
      <c r="G787" s="1" t="s">
        <v>74</v>
      </c>
      <c r="H787" s="1" t="s">
        <v>74</v>
      </c>
      <c r="I787" s="1" t="s">
        <v>7899</v>
      </c>
      <c r="J787" s="1" t="s">
        <v>7900</v>
      </c>
      <c r="K787" s="1" t="s">
        <v>7901</v>
      </c>
      <c r="L787" s="1" t="s">
        <v>74</v>
      </c>
      <c r="M787" s="1" t="s">
        <v>74</v>
      </c>
      <c r="N787" s="1" t="s">
        <v>74</v>
      </c>
      <c r="O787" s="1" t="s">
        <v>74</v>
      </c>
      <c r="P787" s="1" t="s">
        <v>74</v>
      </c>
      <c r="Q787" s="1" t="s">
        <v>74</v>
      </c>
      <c r="R787" s="1" t="s">
        <v>74</v>
      </c>
      <c r="S787" s="1" t="s">
        <v>74</v>
      </c>
      <c r="T787" s="1" t="s">
        <v>74</v>
      </c>
      <c r="U787" s="1" t="s">
        <v>74</v>
      </c>
      <c r="V787" s="1" t="s">
        <v>7902</v>
      </c>
      <c r="W787" s="1" t="s">
        <v>74</v>
      </c>
      <c r="X787" s="1" t="s">
        <v>74</v>
      </c>
      <c r="Y787" s="1" t="s">
        <v>74</v>
      </c>
      <c r="Z787" s="1" t="s">
        <v>74</v>
      </c>
      <c r="AA787" s="1" t="s">
        <v>7903</v>
      </c>
      <c r="AB787" s="1" t="s">
        <v>7904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7905</v>
      </c>
      <c r="AP787" s="1" t="s">
        <v>7906</v>
      </c>
      <c r="AQ787" s="1" t="s">
        <v>7907</v>
      </c>
      <c r="AR787" s="1" t="s">
        <v>74</v>
      </c>
      <c r="AS787" s="1" t="s">
        <v>74</v>
      </c>
      <c r="AT787" s="1" t="s">
        <v>74</v>
      </c>
      <c r="AU787" s="1">
        <v>2023.0</v>
      </c>
      <c r="AV787" s="1">
        <v>1428.0</v>
      </c>
      <c r="AW787" s="1" t="s">
        <v>74</v>
      </c>
      <c r="AX787" s="1" t="s">
        <v>74</v>
      </c>
      <c r="AY787" s="1" t="s">
        <v>74</v>
      </c>
      <c r="AZ787" s="1" t="s">
        <v>74</v>
      </c>
      <c r="BA787" s="1" t="s">
        <v>74</v>
      </c>
      <c r="BB787" s="1">
        <v>179.0</v>
      </c>
      <c r="BC787" s="1">
        <v>198.0</v>
      </c>
      <c r="BD787" s="1" t="s">
        <v>74</v>
      </c>
      <c r="BE787" s="1" t="s">
        <v>7908</v>
      </c>
      <c r="BF787" s="2" t="str">
        <f>HYPERLINK("http://dx.doi.org/10.1007/978-3-031-32554-0_8","http://dx.doi.org/10.1007/978-3-031-32554-0_8")</f>
        <v>http://dx.doi.org/10.1007/978-3-031-32554-0_8</v>
      </c>
      <c r="BG787" s="1" t="s">
        <v>7909</v>
      </c>
      <c r="BH787" s="1" t="s">
        <v>74</v>
      </c>
      <c r="BI787" s="1" t="s">
        <v>74</v>
      </c>
      <c r="BJ787" s="1" t="s">
        <v>74</v>
      </c>
      <c r="BK787" s="1" t="s">
        <v>74</v>
      </c>
      <c r="BL787" s="1" t="s">
        <v>74</v>
      </c>
      <c r="BM787" s="1" t="s">
        <v>74</v>
      </c>
      <c r="BN787" s="1">
        <v>3.7466774E7</v>
      </c>
      <c r="BO787" s="1" t="s">
        <v>74</v>
      </c>
      <c r="BP787" s="1" t="s">
        <v>74</v>
      </c>
      <c r="BQ787" s="1" t="s">
        <v>74</v>
      </c>
      <c r="BR787" s="1" t="s">
        <v>74</v>
      </c>
      <c r="BS787" s="1" t="s">
        <v>7910</v>
      </c>
      <c r="BT787" s="1" t="str">
        <f>HYPERLINK("https%3A%2F%2Fwww.webofscience.com%2Fwos%2Fwoscc%2Ffull-record%2FWOS:001168210800008","View Full Record in Web of Science")</f>
        <v>View Full Record in Web of Science</v>
      </c>
    </row>
    <row r="788" ht="12.75" customHeight="1">
      <c r="A788" s="1" t="s">
        <v>72</v>
      </c>
      <c r="B788" s="1" t="s">
        <v>7911</v>
      </c>
      <c r="C788" s="1" t="s">
        <v>74</v>
      </c>
      <c r="D788" s="1" t="s">
        <v>74</v>
      </c>
      <c r="E788" s="1" t="s">
        <v>74</v>
      </c>
      <c r="F788" s="1" t="s">
        <v>7912</v>
      </c>
      <c r="G788" s="1" t="s">
        <v>74</v>
      </c>
      <c r="H788" s="1" t="s">
        <v>74</v>
      </c>
      <c r="I788" s="1" t="s">
        <v>7913</v>
      </c>
      <c r="J788" s="1" t="s">
        <v>4650</v>
      </c>
      <c r="K788" s="1" t="s">
        <v>74</v>
      </c>
      <c r="L788" s="1" t="s">
        <v>74</v>
      </c>
      <c r="M788" s="1" t="s">
        <v>74</v>
      </c>
      <c r="N788" s="1" t="s">
        <v>74</v>
      </c>
      <c r="O788" s="1" t="s">
        <v>74</v>
      </c>
      <c r="P788" s="1" t="s">
        <v>74</v>
      </c>
      <c r="Q788" s="1" t="s">
        <v>74</v>
      </c>
      <c r="R788" s="1" t="s">
        <v>74</v>
      </c>
      <c r="S788" s="1" t="s">
        <v>74</v>
      </c>
      <c r="T788" s="1" t="s">
        <v>74</v>
      </c>
      <c r="U788" s="1" t="s">
        <v>74</v>
      </c>
      <c r="V788" s="1" t="s">
        <v>7914</v>
      </c>
      <c r="W788" s="1" t="s">
        <v>74</v>
      </c>
      <c r="X788" s="1" t="s">
        <v>74</v>
      </c>
      <c r="Y788" s="1" t="s">
        <v>74</v>
      </c>
      <c r="Z788" s="1" t="s">
        <v>74</v>
      </c>
      <c r="AA788" s="1" t="s">
        <v>7915</v>
      </c>
      <c r="AB788" s="1" t="s">
        <v>74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4653</v>
      </c>
      <c r="AP788" s="1" t="s">
        <v>74</v>
      </c>
      <c r="AQ788" s="1" t="s">
        <v>74</v>
      </c>
      <c r="AR788" s="1" t="s">
        <v>74</v>
      </c>
      <c r="AS788" s="1" t="s">
        <v>74</v>
      </c>
      <c r="AT788" s="1" t="s">
        <v>74</v>
      </c>
      <c r="AU788" s="1">
        <v>2023.0</v>
      </c>
      <c r="AV788" s="1">
        <v>12.0</v>
      </c>
      <c r="AW788" s="1" t="s">
        <v>74</v>
      </c>
      <c r="AX788" s="1" t="s">
        <v>74</v>
      </c>
      <c r="AY788" s="1">
        <v>4.0</v>
      </c>
      <c r="AZ788" s="1" t="s">
        <v>74</v>
      </c>
      <c r="BA788" s="1" t="s">
        <v>74</v>
      </c>
      <c r="BB788" s="1" t="s">
        <v>74</v>
      </c>
      <c r="BC788" s="1" t="s">
        <v>74</v>
      </c>
      <c r="BD788" s="1">
        <v>10.0</v>
      </c>
      <c r="BE788" s="1" t="s">
        <v>74</v>
      </c>
      <c r="BF788" s="1" t="s">
        <v>74</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7916</v>
      </c>
      <c r="BT788" s="1" t="str">
        <f>HYPERLINK("https%3A%2F%2Fwww.webofscience.com%2Fwos%2Fwoscc%2Ffull-record%2FWOS:001143891900009","View Full Record in Web of Science")</f>
        <v>View Full Record in Web of Science</v>
      </c>
    </row>
    <row r="789" ht="12.75" customHeight="1">
      <c r="A789" s="1" t="s">
        <v>72</v>
      </c>
      <c r="B789" s="1" t="s">
        <v>7917</v>
      </c>
      <c r="C789" s="1" t="s">
        <v>74</v>
      </c>
      <c r="D789" s="1" t="s">
        <v>74</v>
      </c>
      <c r="E789" s="1" t="s">
        <v>74</v>
      </c>
      <c r="F789" s="1" t="s">
        <v>7918</v>
      </c>
      <c r="G789" s="1" t="s">
        <v>74</v>
      </c>
      <c r="H789" s="1" t="s">
        <v>74</v>
      </c>
      <c r="I789" s="1" t="s">
        <v>7919</v>
      </c>
      <c r="J789" s="1" t="s">
        <v>2365</v>
      </c>
      <c r="K789" s="1" t="s">
        <v>74</v>
      </c>
      <c r="L789" s="1" t="s">
        <v>74</v>
      </c>
      <c r="M789" s="1" t="s">
        <v>74</v>
      </c>
      <c r="N789" s="1" t="s">
        <v>74</v>
      </c>
      <c r="O789" s="1" t="s">
        <v>74</v>
      </c>
      <c r="P789" s="1" t="s">
        <v>74</v>
      </c>
      <c r="Q789" s="1" t="s">
        <v>74</v>
      </c>
      <c r="R789" s="1" t="s">
        <v>74</v>
      </c>
      <c r="S789" s="1" t="s">
        <v>74</v>
      </c>
      <c r="T789" s="1" t="s">
        <v>74</v>
      </c>
      <c r="U789" s="1" t="s">
        <v>74</v>
      </c>
      <c r="V789" s="1" t="s">
        <v>7920</v>
      </c>
      <c r="W789" s="1" t="s">
        <v>74</v>
      </c>
      <c r="X789" s="1" t="s">
        <v>74</v>
      </c>
      <c r="Y789" s="1" t="s">
        <v>74</v>
      </c>
      <c r="Z789" s="1" t="s">
        <v>74</v>
      </c>
      <c r="AA789" s="1" t="s">
        <v>7921</v>
      </c>
      <c r="AB789" s="1" t="s">
        <v>7922</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74</v>
      </c>
      <c r="AP789" s="1" t="s">
        <v>2369</v>
      </c>
      <c r="AQ789" s="1" t="s">
        <v>74</v>
      </c>
      <c r="AR789" s="1" t="s">
        <v>74</v>
      </c>
      <c r="AS789" s="1" t="s">
        <v>74</v>
      </c>
      <c r="AT789" s="1" t="s">
        <v>822</v>
      </c>
      <c r="AU789" s="1">
        <v>2023.0</v>
      </c>
      <c r="AV789" s="1">
        <v>15.0</v>
      </c>
      <c r="AW789" s="1">
        <v>2.0</v>
      </c>
      <c r="AX789" s="1" t="s">
        <v>74</v>
      </c>
      <c r="AY789" s="1" t="s">
        <v>74</v>
      </c>
      <c r="AZ789" s="1" t="s">
        <v>74</v>
      </c>
      <c r="BA789" s="1" t="s">
        <v>74</v>
      </c>
      <c r="BB789" s="1" t="s">
        <v>74</v>
      </c>
      <c r="BC789" s="1" t="s">
        <v>74</v>
      </c>
      <c r="BD789" s="1">
        <v>361.0</v>
      </c>
      <c r="BE789" s="1" t="s">
        <v>7923</v>
      </c>
      <c r="BF789" s="2" t="str">
        <f>HYPERLINK("http://dx.doi.org/10.3390/polym15020361","http://dx.doi.org/10.3390/polym15020361")</f>
        <v>http://dx.doi.org/10.3390/polym15020361</v>
      </c>
      <c r="BG789" s="1" t="s">
        <v>74</v>
      </c>
      <c r="BH789" s="1" t="s">
        <v>74</v>
      </c>
      <c r="BI789" s="1" t="s">
        <v>74</v>
      </c>
      <c r="BJ789" s="1" t="s">
        <v>74</v>
      </c>
      <c r="BK789" s="1" t="s">
        <v>74</v>
      </c>
      <c r="BL789" s="1" t="s">
        <v>74</v>
      </c>
      <c r="BM789" s="1" t="s">
        <v>74</v>
      </c>
      <c r="BN789" s="1">
        <v>3.6679242E7</v>
      </c>
      <c r="BO789" s="1" t="s">
        <v>74</v>
      </c>
      <c r="BP789" s="1" t="s">
        <v>74</v>
      </c>
      <c r="BQ789" s="1" t="s">
        <v>74</v>
      </c>
      <c r="BR789" s="1" t="s">
        <v>74</v>
      </c>
      <c r="BS789" s="1" t="s">
        <v>7924</v>
      </c>
      <c r="BT789" s="1" t="str">
        <f>HYPERLINK("https%3A%2F%2Fwww.webofscience.com%2Fwos%2Fwoscc%2Ffull-record%2FWOS:000918607700001","View Full Record in Web of Science")</f>
        <v>View Full Record in Web of Science</v>
      </c>
    </row>
    <row r="790" ht="12.75" customHeight="1">
      <c r="A790" s="1" t="s">
        <v>72</v>
      </c>
      <c r="B790" s="1" t="s">
        <v>7925</v>
      </c>
      <c r="C790" s="1" t="s">
        <v>74</v>
      </c>
      <c r="D790" s="1" t="s">
        <v>74</v>
      </c>
      <c r="E790" s="1" t="s">
        <v>74</v>
      </c>
      <c r="F790" s="1" t="s">
        <v>7926</v>
      </c>
      <c r="G790" s="1" t="s">
        <v>74</v>
      </c>
      <c r="H790" s="1" t="s">
        <v>74</v>
      </c>
      <c r="I790" s="1" t="s">
        <v>7927</v>
      </c>
      <c r="J790" s="1" t="s">
        <v>7928</v>
      </c>
      <c r="K790" s="1" t="s">
        <v>74</v>
      </c>
      <c r="L790" s="1" t="s">
        <v>74</v>
      </c>
      <c r="M790" s="1" t="s">
        <v>74</v>
      </c>
      <c r="N790" s="1" t="s">
        <v>74</v>
      </c>
      <c r="O790" s="1" t="s">
        <v>74</v>
      </c>
      <c r="P790" s="1" t="s">
        <v>74</v>
      </c>
      <c r="Q790" s="1" t="s">
        <v>74</v>
      </c>
      <c r="R790" s="1" t="s">
        <v>74</v>
      </c>
      <c r="S790" s="1" t="s">
        <v>74</v>
      </c>
      <c r="T790" s="1" t="s">
        <v>74</v>
      </c>
      <c r="U790" s="1" t="s">
        <v>74</v>
      </c>
      <c r="V790" s="1" t="s">
        <v>7929</v>
      </c>
      <c r="W790" s="1" t="s">
        <v>74</v>
      </c>
      <c r="X790" s="1" t="s">
        <v>74</v>
      </c>
      <c r="Y790" s="1" t="s">
        <v>74</v>
      </c>
      <c r="Z790" s="1" t="s">
        <v>74</v>
      </c>
      <c r="AA790" s="1" t="s">
        <v>7930</v>
      </c>
      <c r="AB790" s="1" t="s">
        <v>7931</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7932</v>
      </c>
      <c r="AP790" s="1" t="s">
        <v>7933</v>
      </c>
      <c r="AQ790" s="1" t="s">
        <v>74</v>
      </c>
      <c r="AR790" s="1" t="s">
        <v>74</v>
      </c>
      <c r="AS790" s="1" t="s">
        <v>74</v>
      </c>
      <c r="AT790" s="1" t="s">
        <v>1082</v>
      </c>
      <c r="AU790" s="1">
        <v>2022.0</v>
      </c>
      <c r="AV790" s="1">
        <v>184.0</v>
      </c>
      <c r="AW790" s="1" t="s">
        <v>74</v>
      </c>
      <c r="AX790" s="1" t="s">
        <v>74</v>
      </c>
      <c r="AY790" s="1" t="s">
        <v>74</v>
      </c>
      <c r="AZ790" s="1" t="s">
        <v>74</v>
      </c>
      <c r="BA790" s="1" t="s">
        <v>74</v>
      </c>
      <c r="BB790" s="1" t="s">
        <v>74</v>
      </c>
      <c r="BC790" s="1" t="s">
        <v>74</v>
      </c>
      <c r="BD790" s="1">
        <v>114149.0</v>
      </c>
      <c r="BE790" s="1" t="s">
        <v>7934</v>
      </c>
      <c r="BF790" s="2" t="str">
        <f>HYPERLINK("http://dx.doi.org/10.1016/j.marpolbul.2022.114149","http://dx.doi.org/10.1016/j.marpolbul.2022.114149")</f>
        <v>http://dx.doi.org/10.1016/j.marpolbul.2022.114149</v>
      </c>
      <c r="BG790" s="1" t="s">
        <v>74</v>
      </c>
      <c r="BH790" s="1" t="s">
        <v>7935</v>
      </c>
      <c r="BI790" s="1" t="s">
        <v>74</v>
      </c>
      <c r="BJ790" s="1" t="s">
        <v>74</v>
      </c>
      <c r="BK790" s="1" t="s">
        <v>74</v>
      </c>
      <c r="BL790" s="1" t="s">
        <v>74</v>
      </c>
      <c r="BM790" s="1" t="s">
        <v>74</v>
      </c>
      <c r="BN790" s="1">
        <v>3.6162293E7</v>
      </c>
      <c r="BO790" s="1" t="s">
        <v>74</v>
      </c>
      <c r="BP790" s="1" t="s">
        <v>74</v>
      </c>
      <c r="BQ790" s="1" t="s">
        <v>74</v>
      </c>
      <c r="BR790" s="1" t="s">
        <v>74</v>
      </c>
      <c r="BS790" s="1" t="s">
        <v>7936</v>
      </c>
      <c r="BT790" s="1" t="str">
        <f>HYPERLINK("https%3A%2F%2Fwww.webofscience.com%2Fwos%2Fwoscc%2Ffull-record%2FWOS:000876716300001","View Full Record in Web of Science")</f>
        <v>View Full Record in Web of Science</v>
      </c>
    </row>
    <row r="791" ht="12.75" customHeight="1">
      <c r="A791" s="1" t="s">
        <v>72</v>
      </c>
      <c r="B791" s="1" t="s">
        <v>7937</v>
      </c>
      <c r="C791" s="1" t="s">
        <v>74</v>
      </c>
      <c r="D791" s="1" t="s">
        <v>74</v>
      </c>
      <c r="E791" s="1" t="s">
        <v>74</v>
      </c>
      <c r="F791" s="1" t="s">
        <v>7938</v>
      </c>
      <c r="G791" s="1" t="s">
        <v>74</v>
      </c>
      <c r="H791" s="1" t="s">
        <v>74</v>
      </c>
      <c r="I791" s="1" t="s">
        <v>7939</v>
      </c>
      <c r="J791" s="1" t="s">
        <v>7940</v>
      </c>
      <c r="K791" s="1" t="s">
        <v>74</v>
      </c>
      <c r="L791" s="1" t="s">
        <v>74</v>
      </c>
      <c r="M791" s="1" t="s">
        <v>74</v>
      </c>
      <c r="N791" s="1" t="s">
        <v>74</v>
      </c>
      <c r="O791" s="1" t="s">
        <v>74</v>
      </c>
      <c r="P791" s="1" t="s">
        <v>74</v>
      </c>
      <c r="Q791" s="1" t="s">
        <v>74</v>
      </c>
      <c r="R791" s="1" t="s">
        <v>74</v>
      </c>
      <c r="S791" s="1" t="s">
        <v>74</v>
      </c>
      <c r="T791" s="1" t="s">
        <v>74</v>
      </c>
      <c r="U791" s="1" t="s">
        <v>74</v>
      </c>
      <c r="V791" s="1" t="s">
        <v>7941</v>
      </c>
      <c r="W791" s="1" t="s">
        <v>74</v>
      </c>
      <c r="X791" s="1" t="s">
        <v>74</v>
      </c>
      <c r="Y791" s="1" t="s">
        <v>74</v>
      </c>
      <c r="Z791" s="1" t="s">
        <v>74</v>
      </c>
      <c r="AA791" s="1" t="s">
        <v>7942</v>
      </c>
      <c r="AB791" s="1" t="s">
        <v>7943</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7944</v>
      </c>
      <c r="AP791" s="1" t="s">
        <v>7945</v>
      </c>
      <c r="AQ791" s="1" t="s">
        <v>74</v>
      </c>
      <c r="AR791" s="1" t="s">
        <v>74</v>
      </c>
      <c r="AS791" s="1" t="s">
        <v>74</v>
      </c>
      <c r="AT791" s="1" t="s">
        <v>7785</v>
      </c>
      <c r="AU791" s="1">
        <v>2021.0</v>
      </c>
      <c r="AV791" s="1">
        <v>50.0</v>
      </c>
      <c r="AW791" s="1">
        <v>38.0</v>
      </c>
      <c r="AX791" s="1" t="s">
        <v>74</v>
      </c>
      <c r="AY791" s="1" t="s">
        <v>74</v>
      </c>
      <c r="AZ791" s="1" t="s">
        <v>74</v>
      </c>
      <c r="BA791" s="1" t="s">
        <v>74</v>
      </c>
      <c r="BB791" s="1">
        <v>13561.0</v>
      </c>
      <c r="BC791" s="1">
        <v>13571.0</v>
      </c>
      <c r="BD791" s="1" t="s">
        <v>74</v>
      </c>
      <c r="BE791" s="1" t="s">
        <v>7946</v>
      </c>
      <c r="BF791" s="2" t="str">
        <f>HYPERLINK("http://dx.doi.org/10.1039/d1dt02037d","http://dx.doi.org/10.1039/d1dt02037d")</f>
        <v>http://dx.doi.org/10.1039/d1dt02037d</v>
      </c>
      <c r="BG791" s="1" t="s">
        <v>74</v>
      </c>
      <c r="BH791" s="1" t="s">
        <v>4665</v>
      </c>
      <c r="BI791" s="1" t="s">
        <v>74</v>
      </c>
      <c r="BJ791" s="1" t="s">
        <v>74</v>
      </c>
      <c r="BK791" s="1" t="s">
        <v>74</v>
      </c>
      <c r="BL791" s="1" t="s">
        <v>74</v>
      </c>
      <c r="BM791" s="1" t="s">
        <v>74</v>
      </c>
      <c r="BN791" s="1">
        <v>3.4514486E7</v>
      </c>
      <c r="BO791" s="1" t="s">
        <v>74</v>
      </c>
      <c r="BP791" s="1" t="s">
        <v>74</v>
      </c>
      <c r="BQ791" s="1" t="s">
        <v>74</v>
      </c>
      <c r="BR791" s="1" t="s">
        <v>74</v>
      </c>
      <c r="BS791" s="1" t="s">
        <v>7947</v>
      </c>
      <c r="BT791" s="1" t="str">
        <f>HYPERLINK("https%3A%2F%2Fwww.webofscience.com%2Fwos%2Fwoscc%2Ffull-record%2FWOS:000695152900001","View Full Record in Web of Science")</f>
        <v>View Full Record in Web of Science</v>
      </c>
    </row>
    <row r="792" ht="12.75" customHeight="1">
      <c r="A792" s="1" t="s">
        <v>72</v>
      </c>
      <c r="B792" s="1" t="s">
        <v>7948</v>
      </c>
      <c r="C792" s="1" t="s">
        <v>74</v>
      </c>
      <c r="D792" s="1" t="s">
        <v>74</v>
      </c>
      <c r="E792" s="1" t="s">
        <v>74</v>
      </c>
      <c r="F792" s="1" t="s">
        <v>7949</v>
      </c>
      <c r="G792" s="1" t="s">
        <v>74</v>
      </c>
      <c r="H792" s="1" t="s">
        <v>74</v>
      </c>
      <c r="I792" s="1" t="s">
        <v>7950</v>
      </c>
      <c r="J792" s="1" t="s">
        <v>6368</v>
      </c>
      <c r="K792" s="1" t="s">
        <v>74</v>
      </c>
      <c r="L792" s="1" t="s">
        <v>74</v>
      </c>
      <c r="M792" s="1" t="s">
        <v>74</v>
      </c>
      <c r="N792" s="1" t="s">
        <v>74</v>
      </c>
      <c r="O792" s="1" t="s">
        <v>74</v>
      </c>
      <c r="P792" s="1" t="s">
        <v>74</v>
      </c>
      <c r="Q792" s="1" t="s">
        <v>74</v>
      </c>
      <c r="R792" s="1" t="s">
        <v>74</v>
      </c>
      <c r="S792" s="1" t="s">
        <v>74</v>
      </c>
      <c r="T792" s="1" t="s">
        <v>74</v>
      </c>
      <c r="U792" s="1" t="s">
        <v>74</v>
      </c>
      <c r="V792" s="1" t="s">
        <v>7951</v>
      </c>
      <c r="W792" s="1" t="s">
        <v>74</v>
      </c>
      <c r="X792" s="1" t="s">
        <v>74</v>
      </c>
      <c r="Y792" s="1" t="s">
        <v>74</v>
      </c>
      <c r="Z792" s="1" t="s">
        <v>74</v>
      </c>
      <c r="AA792" s="1" t="s">
        <v>6040</v>
      </c>
      <c r="AB792" s="1" t="s">
        <v>6041</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6372</v>
      </c>
      <c r="AP792" s="1" t="s">
        <v>74</v>
      </c>
      <c r="AQ792" s="1" t="s">
        <v>74</v>
      </c>
      <c r="AR792" s="1" t="s">
        <v>74</v>
      </c>
      <c r="AS792" s="1" t="s">
        <v>74</v>
      </c>
      <c r="AT792" s="1" t="s">
        <v>6373</v>
      </c>
      <c r="AU792" s="1">
        <v>2021.0</v>
      </c>
      <c r="AV792" s="1">
        <v>8.0</v>
      </c>
      <c r="AW792" s="1" t="s">
        <v>74</v>
      </c>
      <c r="AX792" s="1" t="s">
        <v>74</v>
      </c>
      <c r="AY792" s="1" t="s">
        <v>74</v>
      </c>
      <c r="AZ792" s="1" t="s">
        <v>74</v>
      </c>
      <c r="BA792" s="1" t="s">
        <v>74</v>
      </c>
      <c r="BB792" s="1" t="s">
        <v>74</v>
      </c>
      <c r="BC792" s="1" t="s">
        <v>74</v>
      </c>
      <c r="BD792" s="1">
        <v>622570.0</v>
      </c>
      <c r="BE792" s="1" t="s">
        <v>7952</v>
      </c>
      <c r="BF792" s="2" t="str">
        <f>HYPERLINK("http://dx.doi.org/10.3389/fspas.2021.622570","http://dx.doi.org/10.3389/fspas.2021.622570")</f>
        <v>http://dx.doi.org/10.3389/fspas.2021.622570</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7953</v>
      </c>
      <c r="BT792" s="1" t="str">
        <f>HYPERLINK("https%3A%2F%2Fwww.webofscience.com%2Fwos%2Fwoscc%2Ffull-record%2FWOS:000840829300001","View Full Record in Web of Science")</f>
        <v>View Full Record in Web of Science</v>
      </c>
    </row>
    <row r="793" ht="12.75" customHeight="1">
      <c r="A793" s="1" t="s">
        <v>72</v>
      </c>
      <c r="B793" s="1" t="s">
        <v>7954</v>
      </c>
      <c r="C793" s="1" t="s">
        <v>74</v>
      </c>
      <c r="D793" s="1" t="s">
        <v>74</v>
      </c>
      <c r="E793" s="1" t="s">
        <v>74</v>
      </c>
      <c r="F793" s="1" t="s">
        <v>7955</v>
      </c>
      <c r="G793" s="1" t="s">
        <v>74</v>
      </c>
      <c r="H793" s="1" t="s">
        <v>74</v>
      </c>
      <c r="I793" s="1" t="s">
        <v>7956</v>
      </c>
      <c r="J793" s="1" t="s">
        <v>7957</v>
      </c>
      <c r="K793" s="1" t="s">
        <v>74</v>
      </c>
      <c r="L793" s="1" t="s">
        <v>74</v>
      </c>
      <c r="M793" s="1" t="s">
        <v>74</v>
      </c>
      <c r="N793" s="1" t="s">
        <v>74</v>
      </c>
      <c r="O793" s="1" t="s">
        <v>74</v>
      </c>
      <c r="P793" s="1" t="s">
        <v>74</v>
      </c>
      <c r="Q793" s="1" t="s">
        <v>74</v>
      </c>
      <c r="R793" s="1" t="s">
        <v>74</v>
      </c>
      <c r="S793" s="1" t="s">
        <v>74</v>
      </c>
      <c r="T793" s="1" t="s">
        <v>74</v>
      </c>
      <c r="U793" s="1" t="s">
        <v>74</v>
      </c>
      <c r="V793" s="1" t="s">
        <v>7958</v>
      </c>
      <c r="W793" s="1" t="s">
        <v>74</v>
      </c>
      <c r="X793" s="1" t="s">
        <v>74</v>
      </c>
      <c r="Y793" s="1" t="s">
        <v>74</v>
      </c>
      <c r="Z793" s="1" t="s">
        <v>74</v>
      </c>
      <c r="AA793" s="1" t="s">
        <v>7959</v>
      </c>
      <c r="AB793" s="1" t="s">
        <v>7960</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7961</v>
      </c>
      <c r="AP793" s="1" t="s">
        <v>7962</v>
      </c>
      <c r="AQ793" s="1" t="s">
        <v>74</v>
      </c>
      <c r="AR793" s="1" t="s">
        <v>74</v>
      </c>
      <c r="AS793" s="1" t="s">
        <v>74</v>
      </c>
      <c r="AT793" s="1" t="s">
        <v>7963</v>
      </c>
      <c r="AU793" s="1">
        <v>2021.0</v>
      </c>
      <c r="AV793" s="1">
        <v>2021.0</v>
      </c>
      <c r="AW793" s="1" t="s">
        <v>74</v>
      </c>
      <c r="AX793" s="1" t="s">
        <v>74</v>
      </c>
      <c r="AY793" s="1" t="s">
        <v>74</v>
      </c>
      <c r="AZ793" s="1" t="s">
        <v>74</v>
      </c>
      <c r="BA793" s="1" t="s">
        <v>74</v>
      </c>
      <c r="BB793" s="1" t="s">
        <v>74</v>
      </c>
      <c r="BC793" s="1" t="s">
        <v>74</v>
      </c>
      <c r="BD793" s="1">
        <v>6626851.0</v>
      </c>
      <c r="BE793" s="1" t="s">
        <v>7964</v>
      </c>
      <c r="BF793" s="2" t="str">
        <f>HYPERLINK("http://dx.doi.org/10.1155/2021/6626851","http://dx.doi.org/10.1155/2021/6626851")</f>
        <v>http://dx.doi.org/10.1155/2021/6626851</v>
      </c>
      <c r="BG793" s="1" t="s">
        <v>74</v>
      </c>
      <c r="BH793" s="1" t="s">
        <v>74</v>
      </c>
      <c r="BI793" s="1" t="s">
        <v>74</v>
      </c>
      <c r="BJ793" s="1" t="s">
        <v>74</v>
      </c>
      <c r="BK793" s="1" t="s">
        <v>74</v>
      </c>
      <c r="BL793" s="1" t="s">
        <v>74</v>
      </c>
      <c r="BM793" s="1" t="s">
        <v>74</v>
      </c>
      <c r="BN793" s="1">
        <v>3.3623783E7</v>
      </c>
      <c r="BO793" s="1" t="s">
        <v>74</v>
      </c>
      <c r="BP793" s="1" t="s">
        <v>74</v>
      </c>
      <c r="BQ793" s="1" t="s">
        <v>74</v>
      </c>
      <c r="BR793" s="1" t="s">
        <v>74</v>
      </c>
      <c r="BS793" s="1" t="s">
        <v>7965</v>
      </c>
      <c r="BT793" s="1" t="str">
        <f>HYPERLINK("https%3A%2F%2Fwww.webofscience.com%2Fwos%2Fwoscc%2Ffull-record%2FWOS:000620155600010","View Full Record in Web of Science")</f>
        <v>View Full Record in Web of Science</v>
      </c>
    </row>
    <row r="794" ht="12.75" customHeight="1">
      <c r="A794" s="1" t="s">
        <v>72</v>
      </c>
      <c r="B794" s="1" t="s">
        <v>7966</v>
      </c>
      <c r="C794" s="1" t="s">
        <v>74</v>
      </c>
      <c r="D794" s="1" t="s">
        <v>74</v>
      </c>
      <c r="E794" s="1" t="s">
        <v>74</v>
      </c>
      <c r="F794" s="1" t="s">
        <v>7967</v>
      </c>
      <c r="G794" s="1" t="s">
        <v>74</v>
      </c>
      <c r="H794" s="1" t="s">
        <v>74</v>
      </c>
      <c r="I794" s="1" t="s">
        <v>7968</v>
      </c>
      <c r="J794" s="1" t="s">
        <v>828</v>
      </c>
      <c r="K794" s="1" t="s">
        <v>74</v>
      </c>
      <c r="L794" s="1" t="s">
        <v>74</v>
      </c>
      <c r="M794" s="1" t="s">
        <v>74</v>
      </c>
      <c r="N794" s="1" t="s">
        <v>74</v>
      </c>
      <c r="O794" s="1" t="s">
        <v>74</v>
      </c>
      <c r="P794" s="1" t="s">
        <v>74</v>
      </c>
      <c r="Q794" s="1" t="s">
        <v>74</v>
      </c>
      <c r="R794" s="1" t="s">
        <v>74</v>
      </c>
      <c r="S794" s="1" t="s">
        <v>74</v>
      </c>
      <c r="T794" s="1" t="s">
        <v>74</v>
      </c>
      <c r="U794" s="1" t="s">
        <v>74</v>
      </c>
      <c r="V794" s="1" t="s">
        <v>7969</v>
      </c>
      <c r="W794" s="1" t="s">
        <v>74</v>
      </c>
      <c r="X794" s="1" t="s">
        <v>74</v>
      </c>
      <c r="Y794" s="1" t="s">
        <v>74</v>
      </c>
      <c r="Z794" s="1" t="s">
        <v>74</v>
      </c>
      <c r="AA794" s="1" t="s">
        <v>7970</v>
      </c>
      <c r="AB794" s="1" t="s">
        <v>7971</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832</v>
      </c>
      <c r="AP794" s="1" t="s">
        <v>833</v>
      </c>
      <c r="AQ794" s="1" t="s">
        <v>74</v>
      </c>
      <c r="AR794" s="1" t="s">
        <v>74</v>
      </c>
      <c r="AS794" s="1" t="s">
        <v>74</v>
      </c>
      <c r="AT794" s="1" t="s">
        <v>83</v>
      </c>
      <c r="AU794" s="1">
        <v>2021.0</v>
      </c>
      <c r="AV794" s="1">
        <v>16.0</v>
      </c>
      <c r="AW794" s="1">
        <v>4.0</v>
      </c>
      <c r="AX794" s="1" t="s">
        <v>74</v>
      </c>
      <c r="AY794" s="1" t="s">
        <v>74</v>
      </c>
      <c r="AZ794" s="1" t="s">
        <v>1350</v>
      </c>
      <c r="BA794" s="1" t="s">
        <v>74</v>
      </c>
      <c r="BB794" s="1">
        <v>818.0</v>
      </c>
      <c r="BC794" s="1">
        <v>834.0</v>
      </c>
      <c r="BD794" s="1" t="s">
        <v>74</v>
      </c>
      <c r="BE794" s="1" t="s">
        <v>7972</v>
      </c>
      <c r="BF794" s="2" t="str">
        <f>HYPERLINK("http://dx.doi.org/10.1007/s11481-021-09983-6","http://dx.doi.org/10.1007/s11481-021-09983-6")</f>
        <v>http://dx.doi.org/10.1007/s11481-021-09983-6</v>
      </c>
      <c r="BG794" s="1" t="s">
        <v>74</v>
      </c>
      <c r="BH794" s="1" t="s">
        <v>2027</v>
      </c>
      <c r="BI794" s="1" t="s">
        <v>74</v>
      </c>
      <c r="BJ794" s="1" t="s">
        <v>74</v>
      </c>
      <c r="BK794" s="1" t="s">
        <v>74</v>
      </c>
      <c r="BL794" s="1" t="s">
        <v>74</v>
      </c>
      <c r="BM794" s="1" t="s">
        <v>74</v>
      </c>
      <c r="BN794" s="1">
        <v>3.3502706E7</v>
      </c>
      <c r="BO794" s="1" t="s">
        <v>74</v>
      </c>
      <c r="BP794" s="1" t="s">
        <v>74</v>
      </c>
      <c r="BQ794" s="1" t="s">
        <v>74</v>
      </c>
      <c r="BR794" s="1" t="s">
        <v>74</v>
      </c>
      <c r="BS794" s="1" t="s">
        <v>7973</v>
      </c>
      <c r="BT794" s="1" t="str">
        <f>HYPERLINK("https%3A%2F%2Fwww.webofscience.com%2Fwos%2Fwoscc%2Ffull-record%2FWOS:000612297100001","View Full Record in Web of Science")</f>
        <v>View Full Record in Web of Science</v>
      </c>
    </row>
    <row r="795" ht="12.75" customHeight="1">
      <c r="A795" s="1" t="s">
        <v>72</v>
      </c>
      <c r="B795" s="1" t="s">
        <v>6192</v>
      </c>
      <c r="C795" s="1" t="s">
        <v>74</v>
      </c>
      <c r="D795" s="1" t="s">
        <v>74</v>
      </c>
      <c r="E795" s="1" t="s">
        <v>74</v>
      </c>
      <c r="F795" s="1" t="s">
        <v>6193</v>
      </c>
      <c r="G795" s="1" t="s">
        <v>74</v>
      </c>
      <c r="H795" s="1" t="s">
        <v>74</v>
      </c>
      <c r="I795" s="1" t="s">
        <v>7974</v>
      </c>
      <c r="J795" s="1" t="s">
        <v>5123</v>
      </c>
      <c r="K795" s="1" t="s">
        <v>74</v>
      </c>
      <c r="L795" s="1" t="s">
        <v>74</v>
      </c>
      <c r="M795" s="1" t="s">
        <v>74</v>
      </c>
      <c r="N795" s="1" t="s">
        <v>74</v>
      </c>
      <c r="O795" s="1" t="s">
        <v>74</v>
      </c>
      <c r="P795" s="1" t="s">
        <v>74</v>
      </c>
      <c r="Q795" s="1" t="s">
        <v>74</v>
      </c>
      <c r="R795" s="1" t="s">
        <v>74</v>
      </c>
      <c r="S795" s="1" t="s">
        <v>74</v>
      </c>
      <c r="T795" s="1" t="s">
        <v>74</v>
      </c>
      <c r="U795" s="1" t="s">
        <v>74</v>
      </c>
      <c r="V795" s="1" t="s">
        <v>74</v>
      </c>
      <c r="W795" s="1" t="s">
        <v>74</v>
      </c>
      <c r="X795" s="1" t="s">
        <v>74</v>
      </c>
      <c r="Y795" s="1" t="s">
        <v>74</v>
      </c>
      <c r="Z795" s="1" t="s">
        <v>74</v>
      </c>
      <c r="AA795" s="1" t="s">
        <v>7975</v>
      </c>
      <c r="AB795" s="1" t="s">
        <v>7976</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5127</v>
      </c>
      <c r="AP795" s="1" t="s">
        <v>5128</v>
      </c>
      <c r="AQ795" s="1" t="s">
        <v>74</v>
      </c>
      <c r="AR795" s="1" t="s">
        <v>74</v>
      </c>
      <c r="AS795" s="1" t="s">
        <v>74</v>
      </c>
      <c r="AT795" s="1" t="s">
        <v>822</v>
      </c>
      <c r="AU795" s="1">
        <v>2020.0</v>
      </c>
      <c r="AV795" s="1">
        <v>491.0</v>
      </c>
      <c r="AW795" s="1">
        <v>1.0</v>
      </c>
      <c r="AX795" s="1" t="s">
        <v>74</v>
      </c>
      <c r="AY795" s="1" t="s">
        <v>74</v>
      </c>
      <c r="AZ795" s="1" t="s">
        <v>74</v>
      </c>
      <c r="BA795" s="1" t="s">
        <v>74</v>
      </c>
      <c r="BB795" s="1" t="s">
        <v>7977</v>
      </c>
      <c r="BC795" s="1" t="s">
        <v>7977</v>
      </c>
      <c r="BD795" s="1" t="s">
        <v>74</v>
      </c>
      <c r="BE795" s="1" t="s">
        <v>7978</v>
      </c>
      <c r="BF795" s="2" t="str">
        <f>HYPERLINK("http://dx.doi.org/10.1093/mnrasl/slz159","http://dx.doi.org/10.1093/mnrasl/slz159")</f>
        <v>http://dx.doi.org/10.1093/mnrasl/slz159</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7979</v>
      </c>
      <c r="BT795" s="1" t="str">
        <f>HYPERLINK("https%3A%2F%2Fwww.webofscience.com%2Fwos%2Fwoscc%2Ffull-record%2FWOS:000525753500004","View Full Record in Web of Science")</f>
        <v>View Full Record in Web of Science</v>
      </c>
    </row>
    <row r="796" ht="12.75" customHeight="1">
      <c r="A796" s="1" t="s">
        <v>72</v>
      </c>
      <c r="B796" s="1" t="s">
        <v>5974</v>
      </c>
      <c r="C796" s="1" t="s">
        <v>74</v>
      </c>
      <c r="D796" s="1" t="s">
        <v>74</v>
      </c>
      <c r="E796" s="1" t="s">
        <v>74</v>
      </c>
      <c r="F796" s="1" t="s">
        <v>5975</v>
      </c>
      <c r="G796" s="1" t="s">
        <v>74</v>
      </c>
      <c r="H796" s="1" t="s">
        <v>74</v>
      </c>
      <c r="I796" s="1" t="s">
        <v>7980</v>
      </c>
      <c r="J796" s="1" t="s">
        <v>3049</v>
      </c>
      <c r="K796" s="1" t="s">
        <v>74</v>
      </c>
      <c r="L796" s="1" t="s">
        <v>74</v>
      </c>
      <c r="M796" s="1" t="s">
        <v>74</v>
      </c>
      <c r="N796" s="1" t="s">
        <v>74</v>
      </c>
      <c r="O796" s="1" t="s">
        <v>74</v>
      </c>
      <c r="P796" s="1" t="s">
        <v>74</v>
      </c>
      <c r="Q796" s="1" t="s">
        <v>74</v>
      </c>
      <c r="R796" s="1" t="s">
        <v>74</v>
      </c>
      <c r="S796" s="1" t="s">
        <v>74</v>
      </c>
      <c r="T796" s="1" t="s">
        <v>74</v>
      </c>
      <c r="U796" s="1" t="s">
        <v>74</v>
      </c>
      <c r="V796" s="1" t="s">
        <v>7981</v>
      </c>
      <c r="W796" s="1" t="s">
        <v>74</v>
      </c>
      <c r="X796" s="1" t="s">
        <v>74</v>
      </c>
      <c r="Y796" s="1" t="s">
        <v>74</v>
      </c>
      <c r="Z796" s="1" t="s">
        <v>74</v>
      </c>
      <c r="AA796" s="1" t="s">
        <v>5978</v>
      </c>
      <c r="AB796" s="1" t="s">
        <v>7982</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3053</v>
      </c>
      <c r="AP796" s="1" t="s">
        <v>3054</v>
      </c>
      <c r="AQ796" s="1" t="s">
        <v>74</v>
      </c>
      <c r="AR796" s="1" t="s">
        <v>74</v>
      </c>
      <c r="AS796" s="1" t="s">
        <v>74</v>
      </c>
      <c r="AT796" s="1" t="s">
        <v>94</v>
      </c>
      <c r="AU796" s="1">
        <v>2019.0</v>
      </c>
      <c r="AV796" s="1">
        <v>19.0</v>
      </c>
      <c r="AW796" s="1">
        <v>2.0</v>
      </c>
      <c r="AX796" s="1" t="s">
        <v>74</v>
      </c>
      <c r="AY796" s="1" t="s">
        <v>74</v>
      </c>
      <c r="AZ796" s="1" t="s">
        <v>74</v>
      </c>
      <c r="BA796" s="1" t="s">
        <v>74</v>
      </c>
      <c r="BB796" s="1">
        <v>391.0</v>
      </c>
      <c r="BC796" s="1">
        <v>412.0</v>
      </c>
      <c r="BD796" s="1" t="s">
        <v>74</v>
      </c>
      <c r="BE796" s="1" t="s">
        <v>7983</v>
      </c>
      <c r="BF796" s="2" t="str">
        <f>HYPERLINK("http://dx.doi.org/10.1515/ans-2018-2027","http://dx.doi.org/10.1515/ans-2018-2027")</f>
        <v>http://dx.doi.org/10.1515/ans-2018-2027</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7984</v>
      </c>
      <c r="BT796" s="1" t="str">
        <f>HYPERLINK("https%3A%2F%2Fwww.webofscience.com%2Fwos%2Fwoscc%2Ffull-record%2FWOS:000465562200008","View Full Record in Web of Science")</f>
        <v>View Full Record in Web of Science</v>
      </c>
    </row>
    <row r="797" ht="12.75" customHeight="1">
      <c r="A797" s="1" t="s">
        <v>72</v>
      </c>
      <c r="B797" s="1" t="s">
        <v>7985</v>
      </c>
      <c r="C797" s="1" t="s">
        <v>74</v>
      </c>
      <c r="D797" s="1" t="s">
        <v>74</v>
      </c>
      <c r="E797" s="1" t="s">
        <v>74</v>
      </c>
      <c r="F797" s="1" t="s">
        <v>7986</v>
      </c>
      <c r="G797" s="1" t="s">
        <v>74</v>
      </c>
      <c r="H797" s="1" t="s">
        <v>74</v>
      </c>
      <c r="I797" s="1" t="s">
        <v>7987</v>
      </c>
      <c r="J797" s="1" t="s">
        <v>7988</v>
      </c>
      <c r="K797" s="1" t="s">
        <v>74</v>
      </c>
      <c r="L797" s="1" t="s">
        <v>74</v>
      </c>
      <c r="M797" s="1" t="s">
        <v>74</v>
      </c>
      <c r="N797" s="1" t="s">
        <v>74</v>
      </c>
      <c r="O797" s="1" t="s">
        <v>74</v>
      </c>
      <c r="P797" s="1" t="s">
        <v>74</v>
      </c>
      <c r="Q797" s="1" t="s">
        <v>74</v>
      </c>
      <c r="R797" s="1" t="s">
        <v>74</v>
      </c>
      <c r="S797" s="1" t="s">
        <v>74</v>
      </c>
      <c r="T797" s="1" t="s">
        <v>74</v>
      </c>
      <c r="U797" s="1" t="s">
        <v>74</v>
      </c>
      <c r="V797" s="1" t="s">
        <v>7989</v>
      </c>
      <c r="W797" s="1" t="s">
        <v>74</v>
      </c>
      <c r="X797" s="1" t="s">
        <v>74</v>
      </c>
      <c r="Y797" s="1" t="s">
        <v>74</v>
      </c>
      <c r="Z797" s="1" t="s">
        <v>74</v>
      </c>
      <c r="AA797" s="1" t="s">
        <v>7990</v>
      </c>
      <c r="AB797" s="1" t="s">
        <v>7991</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7992</v>
      </c>
      <c r="AP797" s="1" t="s">
        <v>7993</v>
      </c>
      <c r="AQ797" s="1" t="s">
        <v>74</v>
      </c>
      <c r="AR797" s="1" t="s">
        <v>74</v>
      </c>
      <c r="AS797" s="1" t="s">
        <v>74</v>
      </c>
      <c r="AT797" s="1" t="s">
        <v>308</v>
      </c>
      <c r="AU797" s="1">
        <v>2019.0</v>
      </c>
      <c r="AV797" s="1">
        <v>146.0</v>
      </c>
      <c r="AW797" s="1" t="s">
        <v>74</v>
      </c>
      <c r="AX797" s="1" t="s">
        <v>74</v>
      </c>
      <c r="AY797" s="1" t="s">
        <v>74</v>
      </c>
      <c r="AZ797" s="1" t="s">
        <v>74</v>
      </c>
      <c r="BA797" s="1" t="s">
        <v>74</v>
      </c>
      <c r="BB797" s="1">
        <v>341.0</v>
      </c>
      <c r="BC797" s="1">
        <v>350.0</v>
      </c>
      <c r="BD797" s="1" t="s">
        <v>74</v>
      </c>
      <c r="BE797" s="1" t="s">
        <v>7994</v>
      </c>
      <c r="BF797" s="2" t="str">
        <f>HYPERLINK("http://dx.doi.org/10.5004/dwt.2019.23613","http://dx.doi.org/10.5004/dwt.2019.23613")</f>
        <v>http://dx.doi.org/10.5004/dwt.2019.23613</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7995</v>
      </c>
      <c r="BT797" s="1" t="str">
        <f>HYPERLINK("https%3A%2F%2Fwww.webofscience.com%2Fwos%2Fwoscc%2Ffull-record%2FWOS:000462344600032","View Full Record in Web of Science")</f>
        <v>View Full Record in Web of Science</v>
      </c>
    </row>
    <row r="798" ht="12.75" customHeight="1">
      <c r="A798" s="1" t="s">
        <v>72</v>
      </c>
      <c r="B798" s="1" t="s">
        <v>7996</v>
      </c>
      <c r="C798" s="1" t="s">
        <v>74</v>
      </c>
      <c r="D798" s="1" t="s">
        <v>74</v>
      </c>
      <c r="E798" s="1" t="s">
        <v>74</v>
      </c>
      <c r="F798" s="1" t="s">
        <v>7997</v>
      </c>
      <c r="G798" s="1" t="s">
        <v>74</v>
      </c>
      <c r="H798" s="1" t="s">
        <v>74</v>
      </c>
      <c r="I798" s="1" t="s">
        <v>7998</v>
      </c>
      <c r="J798" s="1" t="s">
        <v>5769</v>
      </c>
      <c r="K798" s="1" t="s">
        <v>74</v>
      </c>
      <c r="L798" s="1" t="s">
        <v>74</v>
      </c>
      <c r="M798" s="1" t="s">
        <v>74</v>
      </c>
      <c r="N798" s="1" t="s">
        <v>74</v>
      </c>
      <c r="O798" s="1" t="s">
        <v>74</v>
      </c>
      <c r="P798" s="1" t="s">
        <v>74</v>
      </c>
      <c r="Q798" s="1" t="s">
        <v>74</v>
      </c>
      <c r="R798" s="1" t="s">
        <v>74</v>
      </c>
      <c r="S798" s="1" t="s">
        <v>74</v>
      </c>
      <c r="T798" s="1" t="s">
        <v>74</v>
      </c>
      <c r="U798" s="1" t="s">
        <v>74</v>
      </c>
      <c r="V798" s="1" t="s">
        <v>7999</v>
      </c>
      <c r="W798" s="1" t="s">
        <v>74</v>
      </c>
      <c r="X798" s="1" t="s">
        <v>74</v>
      </c>
      <c r="Y798" s="1" t="s">
        <v>74</v>
      </c>
      <c r="Z798" s="1" t="s">
        <v>74</v>
      </c>
      <c r="AA798" s="1" t="s">
        <v>8000</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5773</v>
      </c>
      <c r="AP798" s="1" t="s">
        <v>5774</v>
      </c>
      <c r="AQ798" s="1" t="s">
        <v>74</v>
      </c>
      <c r="AR798" s="1" t="s">
        <v>74</v>
      </c>
      <c r="AS798" s="1" t="s">
        <v>74</v>
      </c>
      <c r="AT798" s="1" t="s">
        <v>877</v>
      </c>
      <c r="AU798" s="1">
        <v>2018.0</v>
      </c>
      <c r="AV798" s="1">
        <v>6.0</v>
      </c>
      <c r="AW798" s="1">
        <v>4.0</v>
      </c>
      <c r="AX798" s="1" t="s">
        <v>74</v>
      </c>
      <c r="AY798" s="1" t="s">
        <v>74</v>
      </c>
      <c r="AZ798" s="1" t="s">
        <v>74</v>
      </c>
      <c r="BA798" s="1" t="s">
        <v>74</v>
      </c>
      <c r="BB798" s="1">
        <v>5498.0</v>
      </c>
      <c r="BC798" s="1">
        <v>5509.0</v>
      </c>
      <c r="BD798" s="1" t="s">
        <v>74</v>
      </c>
      <c r="BE798" s="1" t="s">
        <v>8001</v>
      </c>
      <c r="BF798" s="2" t="str">
        <f>HYPERLINK("http://dx.doi.org/10.1016/j.jece.2018.08.048","http://dx.doi.org/10.1016/j.jece.2018.08.048")</f>
        <v>http://dx.doi.org/10.1016/j.jece.2018.08.048</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8002</v>
      </c>
      <c r="BT798" s="1" t="str">
        <f>HYPERLINK("https%3A%2F%2Fwww.webofscience.com%2Fwos%2Fwoscc%2Ffull-record%2FWOS:000444046700178","View Full Record in Web of Science")</f>
        <v>View Full Record in Web of Science</v>
      </c>
    </row>
    <row r="799" ht="12.75" customHeight="1">
      <c r="A799" s="1" t="s">
        <v>72</v>
      </c>
      <c r="B799" s="1" t="s">
        <v>8003</v>
      </c>
      <c r="C799" s="1" t="s">
        <v>74</v>
      </c>
      <c r="D799" s="1" t="s">
        <v>74</v>
      </c>
      <c r="E799" s="1" t="s">
        <v>74</v>
      </c>
      <c r="F799" s="1" t="s">
        <v>8004</v>
      </c>
      <c r="G799" s="1" t="s">
        <v>74</v>
      </c>
      <c r="H799" s="1" t="s">
        <v>74</v>
      </c>
      <c r="I799" s="1" t="s">
        <v>8005</v>
      </c>
      <c r="J799" s="1" t="s">
        <v>5769</v>
      </c>
      <c r="K799" s="1" t="s">
        <v>74</v>
      </c>
      <c r="L799" s="1" t="s">
        <v>74</v>
      </c>
      <c r="M799" s="1" t="s">
        <v>74</v>
      </c>
      <c r="N799" s="1" t="s">
        <v>74</v>
      </c>
      <c r="O799" s="1" t="s">
        <v>74</v>
      </c>
      <c r="P799" s="1" t="s">
        <v>74</v>
      </c>
      <c r="Q799" s="1" t="s">
        <v>74</v>
      </c>
      <c r="R799" s="1" t="s">
        <v>74</v>
      </c>
      <c r="S799" s="1" t="s">
        <v>74</v>
      </c>
      <c r="T799" s="1" t="s">
        <v>74</v>
      </c>
      <c r="U799" s="1" t="s">
        <v>74</v>
      </c>
      <c r="V799" s="1" t="s">
        <v>8006</v>
      </c>
      <c r="W799" s="1" t="s">
        <v>74</v>
      </c>
      <c r="X799" s="1" t="s">
        <v>74</v>
      </c>
      <c r="Y799" s="1" t="s">
        <v>74</v>
      </c>
      <c r="Z799" s="1" t="s">
        <v>74</v>
      </c>
      <c r="AA799" s="1" t="s">
        <v>8000</v>
      </c>
      <c r="AB799" s="1" t="s">
        <v>74</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74</v>
      </c>
      <c r="AP799" s="1" t="s">
        <v>5774</v>
      </c>
      <c r="AQ799" s="1" t="s">
        <v>74</v>
      </c>
      <c r="AR799" s="1" t="s">
        <v>74</v>
      </c>
      <c r="AS799" s="1" t="s">
        <v>74</v>
      </c>
      <c r="AT799" s="1" t="s">
        <v>308</v>
      </c>
      <c r="AU799" s="1">
        <v>2018.0</v>
      </c>
      <c r="AV799" s="1">
        <v>6.0</v>
      </c>
      <c r="AW799" s="1">
        <v>2.0</v>
      </c>
      <c r="AX799" s="1" t="s">
        <v>74</v>
      </c>
      <c r="AY799" s="1" t="s">
        <v>74</v>
      </c>
      <c r="AZ799" s="1" t="s">
        <v>74</v>
      </c>
      <c r="BA799" s="1" t="s">
        <v>74</v>
      </c>
      <c r="BB799" s="1">
        <v>2470.0</v>
      </c>
      <c r="BC799" s="1">
        <v>2479.0</v>
      </c>
      <c r="BD799" s="1" t="s">
        <v>74</v>
      </c>
      <c r="BE799" s="1" t="s">
        <v>8007</v>
      </c>
      <c r="BF799" s="2" t="str">
        <f>HYPERLINK("http://dx.doi.org/10.1016/j.jece.2018.03.043","http://dx.doi.org/10.1016/j.jece.2018.03.043")</f>
        <v>http://dx.doi.org/10.1016/j.jece.2018.03.043</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8008</v>
      </c>
      <c r="BT799" s="1" t="str">
        <f>HYPERLINK("https%3A%2F%2Fwww.webofscience.com%2Fwos%2Fwoscc%2Ffull-record%2FWOS:000436927400092","View Full Record in Web of Science")</f>
        <v>View Full Record in Web of Science</v>
      </c>
    </row>
    <row r="800" ht="12.75" customHeight="1">
      <c r="A800" s="1" t="s">
        <v>72</v>
      </c>
      <c r="B800" s="1" t="s">
        <v>7780</v>
      </c>
      <c r="C800" s="1" t="s">
        <v>74</v>
      </c>
      <c r="D800" s="1" t="s">
        <v>74</v>
      </c>
      <c r="E800" s="1" t="s">
        <v>74</v>
      </c>
      <c r="F800" s="1" t="s">
        <v>7781</v>
      </c>
      <c r="G800" s="1" t="s">
        <v>74</v>
      </c>
      <c r="H800" s="1" t="s">
        <v>74</v>
      </c>
      <c r="I800" s="1" t="s">
        <v>8009</v>
      </c>
      <c r="J800" s="1" t="s">
        <v>6988</v>
      </c>
      <c r="K800" s="1" t="s">
        <v>74</v>
      </c>
      <c r="L800" s="1" t="s">
        <v>74</v>
      </c>
      <c r="M800" s="1" t="s">
        <v>74</v>
      </c>
      <c r="N800" s="1" t="s">
        <v>74</v>
      </c>
      <c r="O800" s="1" t="s">
        <v>74</v>
      </c>
      <c r="P800" s="1" t="s">
        <v>74</v>
      </c>
      <c r="Q800" s="1" t="s">
        <v>74</v>
      </c>
      <c r="R800" s="1" t="s">
        <v>74</v>
      </c>
      <c r="S800" s="1" t="s">
        <v>74</v>
      </c>
      <c r="T800" s="1" t="s">
        <v>74</v>
      </c>
      <c r="U800" s="1" t="s">
        <v>74</v>
      </c>
      <c r="V800" s="1" t="s">
        <v>8010</v>
      </c>
      <c r="W800" s="1" t="s">
        <v>74</v>
      </c>
      <c r="X800" s="1" t="s">
        <v>74</v>
      </c>
      <c r="Y800" s="1" t="s">
        <v>74</v>
      </c>
      <c r="Z800" s="1" t="s">
        <v>74</v>
      </c>
      <c r="AA800" s="1" t="s">
        <v>8011</v>
      </c>
      <c r="AB800" s="1" t="s">
        <v>8012</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6993</v>
      </c>
      <c r="AP800" s="1" t="s">
        <v>74</v>
      </c>
      <c r="AQ800" s="1" t="s">
        <v>74</v>
      </c>
      <c r="AR800" s="1" t="s">
        <v>74</v>
      </c>
      <c r="AS800" s="1" t="s">
        <v>74</v>
      </c>
      <c r="AT800" s="1" t="s">
        <v>4585</v>
      </c>
      <c r="AU800" s="1">
        <v>2017.0</v>
      </c>
      <c r="AV800" s="1">
        <v>608.0</v>
      </c>
      <c r="AW800" s="1" t="s">
        <v>74</v>
      </c>
      <c r="AX800" s="1" t="s">
        <v>74</v>
      </c>
      <c r="AY800" s="1" t="s">
        <v>74</v>
      </c>
      <c r="AZ800" s="1" t="s">
        <v>74</v>
      </c>
      <c r="BA800" s="1" t="s">
        <v>74</v>
      </c>
      <c r="BB800" s="1" t="s">
        <v>74</v>
      </c>
      <c r="BC800" s="1" t="s">
        <v>74</v>
      </c>
      <c r="BD800" s="1" t="s">
        <v>8013</v>
      </c>
      <c r="BE800" s="1" t="s">
        <v>8014</v>
      </c>
      <c r="BF800" s="2" t="str">
        <f>HYPERLINK("http://dx.doi.org/10.1051/0004-6361/201731519","http://dx.doi.org/10.1051/0004-6361/201731519")</f>
        <v>http://dx.doi.org/10.1051/0004-6361/201731519</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8015</v>
      </c>
      <c r="BT800" s="1" t="str">
        <f>HYPERLINK("https%3A%2F%2Fwww.webofscience.com%2Fwos%2Fwoscc%2Ffull-record%2FWOS:000418459900002","View Full Record in Web of Science")</f>
        <v>View Full Record in Web of Science</v>
      </c>
    </row>
    <row r="801" ht="12.75" customHeight="1">
      <c r="A801" s="1" t="s">
        <v>72</v>
      </c>
      <c r="B801" s="1" t="s">
        <v>5974</v>
      </c>
      <c r="C801" s="1" t="s">
        <v>74</v>
      </c>
      <c r="D801" s="1" t="s">
        <v>74</v>
      </c>
      <c r="E801" s="1" t="s">
        <v>74</v>
      </c>
      <c r="F801" s="1" t="s">
        <v>8016</v>
      </c>
      <c r="G801" s="1" t="s">
        <v>74</v>
      </c>
      <c r="H801" s="1" t="s">
        <v>74</v>
      </c>
      <c r="I801" s="1" t="s">
        <v>8017</v>
      </c>
      <c r="J801" s="1" t="s">
        <v>1558</v>
      </c>
      <c r="K801" s="1" t="s">
        <v>74</v>
      </c>
      <c r="L801" s="1" t="s">
        <v>74</v>
      </c>
      <c r="M801" s="1" t="s">
        <v>74</v>
      </c>
      <c r="N801" s="1" t="s">
        <v>74</v>
      </c>
      <c r="O801" s="1" t="s">
        <v>74</v>
      </c>
      <c r="P801" s="1" t="s">
        <v>74</v>
      </c>
      <c r="Q801" s="1" t="s">
        <v>74</v>
      </c>
      <c r="R801" s="1" t="s">
        <v>74</v>
      </c>
      <c r="S801" s="1" t="s">
        <v>74</v>
      </c>
      <c r="T801" s="1" t="s">
        <v>74</v>
      </c>
      <c r="U801" s="1" t="s">
        <v>74</v>
      </c>
      <c r="V801" s="1" t="s">
        <v>8018</v>
      </c>
      <c r="W801" s="1" t="s">
        <v>74</v>
      </c>
      <c r="X801" s="1" t="s">
        <v>74</v>
      </c>
      <c r="Y801" s="1" t="s">
        <v>74</v>
      </c>
      <c r="Z801" s="1" t="s">
        <v>74</v>
      </c>
      <c r="AA801" s="1" t="s">
        <v>5978</v>
      </c>
      <c r="AB801" s="1" t="s">
        <v>7982</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1562</v>
      </c>
      <c r="AP801" s="1" t="s">
        <v>1563</v>
      </c>
      <c r="AQ801" s="1" t="s">
        <v>74</v>
      </c>
      <c r="AR801" s="1" t="s">
        <v>74</v>
      </c>
      <c r="AS801" s="1" t="s">
        <v>74</v>
      </c>
      <c r="AT801" s="1" t="s">
        <v>3537</v>
      </c>
      <c r="AU801" s="1">
        <v>2017.0</v>
      </c>
      <c r="AV801" s="1">
        <v>263.0</v>
      </c>
      <c r="AW801" s="1">
        <v>8.0</v>
      </c>
      <c r="AX801" s="1" t="s">
        <v>74</v>
      </c>
      <c r="AY801" s="1" t="s">
        <v>74</v>
      </c>
      <c r="AZ801" s="1" t="s">
        <v>74</v>
      </c>
      <c r="BA801" s="1" t="s">
        <v>74</v>
      </c>
      <c r="BB801" s="1">
        <v>4481.0</v>
      </c>
      <c r="BC801" s="1">
        <v>4502.0</v>
      </c>
      <c r="BD801" s="1" t="s">
        <v>74</v>
      </c>
      <c r="BE801" s="1" t="s">
        <v>8019</v>
      </c>
      <c r="BF801" s="2" t="str">
        <f>HYPERLINK("http://dx.doi.org/10.1016/j.jde.2017.05.021","http://dx.doi.org/10.1016/j.jde.2017.05.021")</f>
        <v>http://dx.doi.org/10.1016/j.jde.2017.05.021</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8020</v>
      </c>
      <c r="BT801" s="1" t="str">
        <f>HYPERLINK("https%3A%2F%2Fwww.webofscience.com%2Fwos%2Fwoscc%2Ffull-record%2FWOS:000407665900003","View Full Record in Web of Science")</f>
        <v>View Full Record in Web of Science</v>
      </c>
    </row>
    <row r="802" ht="12.75" customHeight="1">
      <c r="A802" s="1" t="s">
        <v>72</v>
      </c>
      <c r="B802" s="1" t="s">
        <v>8021</v>
      </c>
      <c r="C802" s="1" t="s">
        <v>74</v>
      </c>
      <c r="D802" s="1" t="s">
        <v>74</v>
      </c>
      <c r="E802" s="1" t="s">
        <v>74</v>
      </c>
      <c r="F802" s="1" t="s">
        <v>8022</v>
      </c>
      <c r="G802" s="1" t="s">
        <v>74</v>
      </c>
      <c r="H802" s="1" t="s">
        <v>74</v>
      </c>
      <c r="I802" s="1" t="s">
        <v>8023</v>
      </c>
      <c r="J802" s="1" t="s">
        <v>8024</v>
      </c>
      <c r="K802" s="1" t="s">
        <v>74</v>
      </c>
      <c r="L802" s="1" t="s">
        <v>74</v>
      </c>
      <c r="M802" s="1" t="s">
        <v>74</v>
      </c>
      <c r="N802" s="1" t="s">
        <v>74</v>
      </c>
      <c r="O802" s="1" t="s">
        <v>74</v>
      </c>
      <c r="P802" s="1" t="s">
        <v>74</v>
      </c>
      <c r="Q802" s="1" t="s">
        <v>74</v>
      </c>
      <c r="R802" s="1" t="s">
        <v>74</v>
      </c>
      <c r="S802" s="1" t="s">
        <v>74</v>
      </c>
      <c r="T802" s="1" t="s">
        <v>74</v>
      </c>
      <c r="U802" s="1" t="s">
        <v>74</v>
      </c>
      <c r="V802" s="1" t="s">
        <v>8025</v>
      </c>
      <c r="W802" s="1" t="s">
        <v>74</v>
      </c>
      <c r="X802" s="1" t="s">
        <v>74</v>
      </c>
      <c r="Y802" s="1" t="s">
        <v>74</v>
      </c>
      <c r="Z802" s="1" t="s">
        <v>74</v>
      </c>
      <c r="AA802" s="1" t="s">
        <v>8026</v>
      </c>
      <c r="AB802" s="1" t="s">
        <v>8027</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8028</v>
      </c>
      <c r="AP802" s="1" t="s">
        <v>8029</v>
      </c>
      <c r="AQ802" s="1" t="s">
        <v>74</v>
      </c>
      <c r="AR802" s="1" t="s">
        <v>74</v>
      </c>
      <c r="AS802" s="1" t="s">
        <v>74</v>
      </c>
      <c r="AT802" s="1" t="s">
        <v>600</v>
      </c>
      <c r="AU802" s="1">
        <v>2017.0</v>
      </c>
      <c r="AV802" s="1">
        <v>131.0</v>
      </c>
      <c r="AW802" s="1">
        <v>2.0</v>
      </c>
      <c r="AX802" s="1" t="s">
        <v>74</v>
      </c>
      <c r="AY802" s="1" t="s">
        <v>74</v>
      </c>
      <c r="AZ802" s="1" t="s">
        <v>74</v>
      </c>
      <c r="BA802" s="1" t="s">
        <v>74</v>
      </c>
      <c r="BB802" s="1">
        <v>145.0</v>
      </c>
      <c r="BC802" s="1">
        <v>157.0</v>
      </c>
      <c r="BD802" s="1" t="s">
        <v>74</v>
      </c>
      <c r="BE802" s="1" t="s">
        <v>8030</v>
      </c>
      <c r="BF802" s="2" t="str">
        <f>HYPERLINK("http://dx.doi.org/10.1007/s11120-016-0304-4","http://dx.doi.org/10.1007/s11120-016-0304-4")</f>
        <v>http://dx.doi.org/10.1007/s11120-016-0304-4</v>
      </c>
      <c r="BG802" s="1" t="s">
        <v>74</v>
      </c>
      <c r="BH802" s="1" t="s">
        <v>74</v>
      </c>
      <c r="BI802" s="1" t="s">
        <v>74</v>
      </c>
      <c r="BJ802" s="1" t="s">
        <v>74</v>
      </c>
      <c r="BK802" s="1" t="s">
        <v>74</v>
      </c>
      <c r="BL802" s="1" t="s">
        <v>74</v>
      </c>
      <c r="BM802" s="1" t="s">
        <v>74</v>
      </c>
      <c r="BN802" s="1">
        <v>2.7620461E7</v>
      </c>
      <c r="BO802" s="1" t="s">
        <v>74</v>
      </c>
      <c r="BP802" s="1" t="s">
        <v>74</v>
      </c>
      <c r="BQ802" s="1" t="s">
        <v>74</v>
      </c>
      <c r="BR802" s="1" t="s">
        <v>74</v>
      </c>
      <c r="BS802" s="1" t="s">
        <v>8031</v>
      </c>
      <c r="BT802" s="1" t="str">
        <f>HYPERLINK("https%3A%2F%2Fwww.webofscience.com%2Fwos%2Fwoscc%2Ffull-record%2FWOS:000392529600002","View Full Record in Web of Science")</f>
        <v>View Full Record in Web of Science</v>
      </c>
    </row>
    <row r="803" ht="12.75" customHeight="1">
      <c r="A803" s="1" t="s">
        <v>72</v>
      </c>
      <c r="B803" s="1" t="s">
        <v>8032</v>
      </c>
      <c r="C803" s="1" t="s">
        <v>74</v>
      </c>
      <c r="D803" s="1" t="s">
        <v>74</v>
      </c>
      <c r="E803" s="1" t="s">
        <v>74</v>
      </c>
      <c r="F803" s="1" t="s">
        <v>8033</v>
      </c>
      <c r="G803" s="1" t="s">
        <v>74</v>
      </c>
      <c r="H803" s="1" t="s">
        <v>74</v>
      </c>
      <c r="I803" s="1" t="s">
        <v>8034</v>
      </c>
      <c r="J803" s="1" t="s">
        <v>8035</v>
      </c>
      <c r="K803" s="1" t="s">
        <v>74</v>
      </c>
      <c r="L803" s="1" t="s">
        <v>74</v>
      </c>
      <c r="M803" s="1" t="s">
        <v>74</v>
      </c>
      <c r="N803" s="1" t="s">
        <v>74</v>
      </c>
      <c r="O803" s="1" t="s">
        <v>8036</v>
      </c>
      <c r="P803" s="1" t="s">
        <v>8037</v>
      </c>
      <c r="Q803" s="1" t="s">
        <v>8038</v>
      </c>
      <c r="R803" s="1" t="s">
        <v>8039</v>
      </c>
      <c r="S803" s="1" t="s">
        <v>74</v>
      </c>
      <c r="T803" s="1" t="s">
        <v>74</v>
      </c>
      <c r="U803" s="1" t="s">
        <v>74</v>
      </c>
      <c r="V803" s="1" t="s">
        <v>74</v>
      </c>
      <c r="W803" s="1" t="s">
        <v>74</v>
      </c>
      <c r="X803" s="1" t="s">
        <v>74</v>
      </c>
      <c r="Y803" s="1" t="s">
        <v>74</v>
      </c>
      <c r="Z803" s="1" t="s">
        <v>74</v>
      </c>
      <c r="AA803" s="1" t="s">
        <v>8040</v>
      </c>
      <c r="AB803" s="1" t="s">
        <v>74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8041</v>
      </c>
      <c r="AP803" s="1" t="s">
        <v>8042</v>
      </c>
      <c r="AQ803" s="1" t="s">
        <v>74</v>
      </c>
      <c r="AR803" s="1" t="s">
        <v>74</v>
      </c>
      <c r="AS803" s="1" t="s">
        <v>74</v>
      </c>
      <c r="AT803" s="1" t="s">
        <v>241</v>
      </c>
      <c r="AU803" s="1">
        <v>2015.0</v>
      </c>
      <c r="AV803" s="1">
        <v>70.0</v>
      </c>
      <c r="AW803" s="1" t="s">
        <v>74</v>
      </c>
      <c r="AX803" s="1" t="s">
        <v>74</v>
      </c>
      <c r="AY803" s="1">
        <v>101.0</v>
      </c>
      <c r="AZ803" s="1" t="s">
        <v>1350</v>
      </c>
      <c r="BA803" s="1">
        <v>1005.0</v>
      </c>
      <c r="BB803" s="1">
        <v>421.0</v>
      </c>
      <c r="BC803" s="1">
        <v>422.0</v>
      </c>
      <c r="BD803" s="1" t="s">
        <v>74</v>
      </c>
      <c r="BE803" s="1" t="s">
        <v>74</v>
      </c>
      <c r="BF803" s="1" t="s">
        <v>74</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8043</v>
      </c>
      <c r="BT803" s="1" t="str">
        <f>HYPERLINK("https%3A%2F%2Fwww.webofscience.com%2Fwos%2Fwoscc%2Ffull-record%2FWOS:000369950702354","View Full Record in Web of Science")</f>
        <v>View Full Record in Web of Science</v>
      </c>
    </row>
    <row r="804" ht="12.75" customHeight="1">
      <c r="A804" s="1" t="s">
        <v>72</v>
      </c>
      <c r="B804" s="1" t="s">
        <v>8044</v>
      </c>
      <c r="C804" s="1" t="s">
        <v>74</v>
      </c>
      <c r="D804" s="1" t="s">
        <v>74</v>
      </c>
      <c r="E804" s="1" t="s">
        <v>74</v>
      </c>
      <c r="F804" s="1" t="s">
        <v>8045</v>
      </c>
      <c r="G804" s="1" t="s">
        <v>74</v>
      </c>
      <c r="H804" s="1" t="s">
        <v>74</v>
      </c>
      <c r="I804" s="1" t="s">
        <v>8046</v>
      </c>
      <c r="J804" s="1" t="s">
        <v>8047</v>
      </c>
      <c r="K804" s="1" t="s">
        <v>74</v>
      </c>
      <c r="L804" s="1" t="s">
        <v>74</v>
      </c>
      <c r="M804" s="1" t="s">
        <v>74</v>
      </c>
      <c r="N804" s="1" t="s">
        <v>74</v>
      </c>
      <c r="O804" s="1" t="s">
        <v>74</v>
      </c>
      <c r="P804" s="1" t="s">
        <v>74</v>
      </c>
      <c r="Q804" s="1" t="s">
        <v>74</v>
      </c>
      <c r="R804" s="1" t="s">
        <v>74</v>
      </c>
      <c r="S804" s="1" t="s">
        <v>74</v>
      </c>
      <c r="T804" s="1" t="s">
        <v>74</v>
      </c>
      <c r="U804" s="1" t="s">
        <v>74</v>
      </c>
      <c r="V804" s="1" t="s">
        <v>8048</v>
      </c>
      <c r="W804" s="1" t="s">
        <v>74</v>
      </c>
      <c r="X804" s="1" t="s">
        <v>74</v>
      </c>
      <c r="Y804" s="1" t="s">
        <v>74</v>
      </c>
      <c r="Z804" s="1" t="s">
        <v>74</v>
      </c>
      <c r="AA804" s="1" t="s">
        <v>1110</v>
      </c>
      <c r="AB804" s="1" t="s">
        <v>8049</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8050</v>
      </c>
      <c r="AP804" s="1" t="s">
        <v>8051</v>
      </c>
      <c r="AQ804" s="1" t="s">
        <v>74</v>
      </c>
      <c r="AR804" s="1" t="s">
        <v>74</v>
      </c>
      <c r="AS804" s="1" t="s">
        <v>74</v>
      </c>
      <c r="AT804" s="1" t="s">
        <v>1892</v>
      </c>
      <c r="AU804" s="1">
        <v>2013.0</v>
      </c>
      <c r="AV804" s="1">
        <v>49.0</v>
      </c>
      <c r="AW804" s="1">
        <v>1.0</v>
      </c>
      <c r="AX804" s="1" t="s">
        <v>74</v>
      </c>
      <c r="AY804" s="1" t="s">
        <v>74</v>
      </c>
      <c r="AZ804" s="1" t="s">
        <v>74</v>
      </c>
      <c r="BA804" s="1" t="s">
        <v>74</v>
      </c>
      <c r="BB804" s="1">
        <v>65.0</v>
      </c>
      <c r="BC804" s="1">
        <v>76.0</v>
      </c>
      <c r="BD804" s="1" t="s">
        <v>74</v>
      </c>
      <c r="BE804" s="1" t="s">
        <v>8052</v>
      </c>
      <c r="BF804" s="2" t="str">
        <f>HYPERLINK("http://dx.doi.org/10.3989/revmetalm.1221","http://dx.doi.org/10.3989/revmetalm.1221")</f>
        <v>http://dx.doi.org/10.3989/revmetalm.1221</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8053</v>
      </c>
      <c r="BT804" s="1" t="str">
        <f>HYPERLINK("https%3A%2F%2Fwww.webofscience.com%2Fwos%2Fwoscc%2Ffull-record%2FWOS:000326597100006","View Full Record in Web of Science")</f>
        <v>View Full Record in Web of Science</v>
      </c>
    </row>
    <row r="805" ht="12.75" customHeight="1">
      <c r="A805" s="1" t="s">
        <v>72</v>
      </c>
      <c r="B805" s="1" t="s">
        <v>8054</v>
      </c>
      <c r="C805" s="1" t="s">
        <v>74</v>
      </c>
      <c r="D805" s="1" t="s">
        <v>74</v>
      </c>
      <c r="E805" s="1" t="s">
        <v>74</v>
      </c>
      <c r="F805" s="1" t="s">
        <v>8055</v>
      </c>
      <c r="G805" s="1" t="s">
        <v>74</v>
      </c>
      <c r="H805" s="1" t="s">
        <v>74</v>
      </c>
      <c r="I805" s="1" t="s">
        <v>8056</v>
      </c>
      <c r="J805" s="1" t="s">
        <v>8057</v>
      </c>
      <c r="K805" s="1" t="s">
        <v>74</v>
      </c>
      <c r="L805" s="1" t="s">
        <v>74</v>
      </c>
      <c r="M805" s="1" t="s">
        <v>74</v>
      </c>
      <c r="N805" s="1" t="s">
        <v>74</v>
      </c>
      <c r="O805" s="1" t="s">
        <v>74</v>
      </c>
      <c r="P805" s="1" t="s">
        <v>74</v>
      </c>
      <c r="Q805" s="1" t="s">
        <v>74</v>
      </c>
      <c r="R805" s="1" t="s">
        <v>74</v>
      </c>
      <c r="S805" s="1" t="s">
        <v>74</v>
      </c>
      <c r="T805" s="1" t="s">
        <v>74</v>
      </c>
      <c r="U805" s="1" t="s">
        <v>74</v>
      </c>
      <c r="V805" s="1" t="s">
        <v>8058</v>
      </c>
      <c r="W805" s="1" t="s">
        <v>74</v>
      </c>
      <c r="X805" s="1" t="s">
        <v>74</v>
      </c>
      <c r="Y805" s="1" t="s">
        <v>74</v>
      </c>
      <c r="Z805" s="1" t="s">
        <v>74</v>
      </c>
      <c r="AA805" s="1" t="s">
        <v>8059</v>
      </c>
      <c r="AB805" s="1" t="s">
        <v>8060</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8061</v>
      </c>
      <c r="AP805" s="1" t="s">
        <v>8062</v>
      </c>
      <c r="AQ805" s="1" t="s">
        <v>74</v>
      </c>
      <c r="AR805" s="1" t="s">
        <v>74</v>
      </c>
      <c r="AS805" s="1" t="s">
        <v>74</v>
      </c>
      <c r="AT805" s="1" t="s">
        <v>974</v>
      </c>
      <c r="AU805" s="1">
        <v>2011.0</v>
      </c>
      <c r="AV805" s="1">
        <v>45.0</v>
      </c>
      <c r="AW805" s="1">
        <v>23.0</v>
      </c>
      <c r="AX805" s="1" t="s">
        <v>74</v>
      </c>
      <c r="AY805" s="1" t="s">
        <v>74</v>
      </c>
      <c r="AZ805" s="1" t="s">
        <v>74</v>
      </c>
      <c r="BA805" s="1" t="s">
        <v>74</v>
      </c>
      <c r="BB805" s="1">
        <v>3867.0</v>
      </c>
      <c r="BC805" s="1">
        <v>3873.0</v>
      </c>
      <c r="BD805" s="1" t="s">
        <v>74</v>
      </c>
      <c r="BE805" s="1" t="s">
        <v>8063</v>
      </c>
      <c r="BF805" s="2" t="str">
        <f>HYPERLINK("http://dx.doi.org/10.1016/j.atmosenv.2011.01.073","http://dx.doi.org/10.1016/j.atmosenv.2011.01.073")</f>
        <v>http://dx.doi.org/10.1016/j.atmosenv.2011.01.073</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8064</v>
      </c>
      <c r="BT805" s="1" t="str">
        <f>HYPERLINK("https%3A%2F%2Fwww.webofscience.com%2Fwos%2Fwoscc%2Ffull-record%2FWOS:000292679500011","View Full Record in Web of Science")</f>
        <v>View Full Record in Web of Science</v>
      </c>
    </row>
    <row r="806" ht="12.75" customHeight="1">
      <c r="A806" s="1" t="s">
        <v>72</v>
      </c>
      <c r="B806" s="1" t="s">
        <v>8065</v>
      </c>
      <c r="C806" s="1" t="s">
        <v>74</v>
      </c>
      <c r="D806" s="1" t="s">
        <v>74</v>
      </c>
      <c r="E806" s="1" t="s">
        <v>74</v>
      </c>
      <c r="F806" s="1" t="s">
        <v>8066</v>
      </c>
      <c r="G806" s="1" t="s">
        <v>74</v>
      </c>
      <c r="H806" s="1" t="s">
        <v>74</v>
      </c>
      <c r="I806" s="1" t="s">
        <v>8067</v>
      </c>
      <c r="J806" s="1" t="s">
        <v>2196</v>
      </c>
      <c r="K806" s="1" t="s">
        <v>74</v>
      </c>
      <c r="L806" s="1" t="s">
        <v>74</v>
      </c>
      <c r="M806" s="1" t="s">
        <v>74</v>
      </c>
      <c r="N806" s="1" t="s">
        <v>74</v>
      </c>
      <c r="O806" s="1" t="s">
        <v>74</v>
      </c>
      <c r="P806" s="1" t="s">
        <v>74</v>
      </c>
      <c r="Q806" s="1" t="s">
        <v>74</v>
      </c>
      <c r="R806" s="1" t="s">
        <v>74</v>
      </c>
      <c r="S806" s="1" t="s">
        <v>74</v>
      </c>
      <c r="T806" s="1" t="s">
        <v>74</v>
      </c>
      <c r="U806" s="1" t="s">
        <v>74</v>
      </c>
      <c r="V806" s="1" t="s">
        <v>8068</v>
      </c>
      <c r="W806" s="1" t="s">
        <v>74</v>
      </c>
      <c r="X806" s="1" t="s">
        <v>74</v>
      </c>
      <c r="Y806" s="1" t="s">
        <v>74</v>
      </c>
      <c r="Z806" s="1" t="s">
        <v>74</v>
      </c>
      <c r="AA806" s="1" t="s">
        <v>8069</v>
      </c>
      <c r="AB806" s="1" t="s">
        <v>8070</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2200</v>
      </c>
      <c r="AP806" s="1" t="s">
        <v>2201</v>
      </c>
      <c r="AQ806" s="1" t="s">
        <v>74</v>
      </c>
      <c r="AR806" s="1" t="s">
        <v>74</v>
      </c>
      <c r="AS806" s="1" t="s">
        <v>74</v>
      </c>
      <c r="AT806" s="1" t="s">
        <v>74</v>
      </c>
      <c r="AU806" s="1">
        <v>2010.0</v>
      </c>
      <c r="AV806" s="1">
        <v>9.0</v>
      </c>
      <c r="AW806" s="1">
        <v>1.0</v>
      </c>
      <c r="AX806" s="1" t="s">
        <v>74</v>
      </c>
      <c r="AY806" s="1" t="s">
        <v>74</v>
      </c>
      <c r="AZ806" s="1" t="s">
        <v>74</v>
      </c>
      <c r="BA806" s="1" t="s">
        <v>74</v>
      </c>
      <c r="BB806" s="1">
        <v>93.0</v>
      </c>
      <c r="BC806" s="1">
        <v>102.0</v>
      </c>
      <c r="BD806" s="1" t="s">
        <v>74</v>
      </c>
      <c r="BE806" s="1" t="s">
        <v>8071</v>
      </c>
      <c r="BF806" s="2" t="str">
        <f>HYPERLINK("http://dx.doi.org/10.1039/b9pp00091g","http://dx.doi.org/10.1039/b9pp00091g")</f>
        <v>http://dx.doi.org/10.1039/b9pp00091g</v>
      </c>
      <c r="BG806" s="1" t="s">
        <v>74</v>
      </c>
      <c r="BH806" s="1" t="s">
        <v>74</v>
      </c>
      <c r="BI806" s="1" t="s">
        <v>74</v>
      </c>
      <c r="BJ806" s="1" t="s">
        <v>74</v>
      </c>
      <c r="BK806" s="1" t="s">
        <v>74</v>
      </c>
      <c r="BL806" s="1" t="s">
        <v>74</v>
      </c>
      <c r="BM806" s="1" t="s">
        <v>74</v>
      </c>
      <c r="BN806" s="1">
        <v>2.0062849E7</v>
      </c>
      <c r="BO806" s="1" t="s">
        <v>74</v>
      </c>
      <c r="BP806" s="1" t="s">
        <v>74</v>
      </c>
      <c r="BQ806" s="1" t="s">
        <v>74</v>
      </c>
      <c r="BR806" s="1" t="s">
        <v>74</v>
      </c>
      <c r="BS806" s="1" t="s">
        <v>8072</v>
      </c>
      <c r="BT806" s="1" t="str">
        <f>HYPERLINK("https%3A%2F%2Fwww.webofscience.com%2Fwos%2Fwoscc%2Ffull-record%2FWOS:000273339100012","View Full Record in Web of Science")</f>
        <v>View Full Record in Web of Science</v>
      </c>
    </row>
    <row r="807" ht="12.75" customHeight="1">
      <c r="A807" s="1" t="s">
        <v>154</v>
      </c>
      <c r="B807" s="1" t="s">
        <v>8073</v>
      </c>
      <c r="C807" s="1" t="s">
        <v>74</v>
      </c>
      <c r="D807" s="1" t="s">
        <v>8074</v>
      </c>
      <c r="E807" s="1" t="s">
        <v>74</v>
      </c>
      <c r="F807" s="1" t="s">
        <v>8075</v>
      </c>
      <c r="G807" s="1" t="s">
        <v>74</v>
      </c>
      <c r="H807" s="1" t="s">
        <v>74</v>
      </c>
      <c r="I807" s="1" t="s">
        <v>8076</v>
      </c>
      <c r="J807" s="1" t="s">
        <v>8077</v>
      </c>
      <c r="K807" s="1" t="s">
        <v>74</v>
      </c>
      <c r="L807" s="1" t="s">
        <v>74</v>
      </c>
      <c r="M807" s="1" t="s">
        <v>74</v>
      </c>
      <c r="N807" s="1" t="s">
        <v>74</v>
      </c>
      <c r="O807" s="1" t="s">
        <v>8078</v>
      </c>
      <c r="P807" s="1" t="s">
        <v>8079</v>
      </c>
      <c r="Q807" s="1" t="s">
        <v>8080</v>
      </c>
      <c r="R807" s="1" t="s">
        <v>74</v>
      </c>
      <c r="S807" s="1" t="s">
        <v>74</v>
      </c>
      <c r="T807" s="1" t="s">
        <v>74</v>
      </c>
      <c r="U807" s="1" t="s">
        <v>74</v>
      </c>
      <c r="V807" s="1" t="s">
        <v>8081</v>
      </c>
      <c r="W807" s="1" t="s">
        <v>74</v>
      </c>
      <c r="X807" s="1" t="s">
        <v>74</v>
      </c>
      <c r="Y807" s="1" t="s">
        <v>74</v>
      </c>
      <c r="Z807" s="1" t="s">
        <v>74</v>
      </c>
      <c r="AA807" s="1" t="s">
        <v>8082</v>
      </c>
      <c r="AB807" s="1" t="s">
        <v>1613</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74</v>
      </c>
      <c r="AP807" s="1" t="s">
        <v>74</v>
      </c>
      <c r="AQ807" s="1" t="s">
        <v>8083</v>
      </c>
      <c r="AR807" s="1" t="s">
        <v>74</v>
      </c>
      <c r="AS807" s="1" t="s">
        <v>74</v>
      </c>
      <c r="AT807" s="1" t="s">
        <v>74</v>
      </c>
      <c r="AU807" s="1">
        <v>2010.0</v>
      </c>
      <c r="AV807" s="1" t="s">
        <v>74</v>
      </c>
      <c r="AW807" s="1" t="s">
        <v>74</v>
      </c>
      <c r="AX807" s="1" t="s">
        <v>74</v>
      </c>
      <c r="AY807" s="1" t="s">
        <v>74</v>
      </c>
      <c r="AZ807" s="1" t="s">
        <v>74</v>
      </c>
      <c r="BA807" s="1" t="s">
        <v>74</v>
      </c>
      <c r="BB807" s="1">
        <v>217.0</v>
      </c>
      <c r="BC807" s="1">
        <v>222.0</v>
      </c>
      <c r="BD807" s="1" t="s">
        <v>74</v>
      </c>
      <c r="BE807" s="1" t="s">
        <v>74</v>
      </c>
      <c r="BF807" s="1" t="s">
        <v>74</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8084</v>
      </c>
      <c r="BT807" s="1" t="str">
        <f>HYPERLINK("https%3A%2F%2Fwww.webofscience.com%2Fwos%2Fwoscc%2Ffull-record%2FWOS:000394208800041","View Full Record in Web of Science")</f>
        <v>View Full Record in Web of Science</v>
      </c>
    </row>
    <row r="808" ht="12.75" customHeight="1">
      <c r="A808" s="1" t="s">
        <v>72</v>
      </c>
      <c r="B808" s="1" t="s">
        <v>8085</v>
      </c>
      <c r="C808" s="1" t="s">
        <v>74</v>
      </c>
      <c r="D808" s="1" t="s">
        <v>74</v>
      </c>
      <c r="E808" s="1" t="s">
        <v>74</v>
      </c>
      <c r="F808" s="1" t="s">
        <v>8086</v>
      </c>
      <c r="G808" s="1" t="s">
        <v>74</v>
      </c>
      <c r="H808" s="1" t="s">
        <v>74</v>
      </c>
      <c r="I808" s="1" t="s">
        <v>8087</v>
      </c>
      <c r="J808" s="1" t="s">
        <v>8088</v>
      </c>
      <c r="K808" s="1" t="s">
        <v>74</v>
      </c>
      <c r="L808" s="1" t="s">
        <v>74</v>
      </c>
      <c r="M808" s="1" t="s">
        <v>74</v>
      </c>
      <c r="N808" s="1" t="s">
        <v>74</v>
      </c>
      <c r="O808" s="1" t="s">
        <v>74</v>
      </c>
      <c r="P808" s="1" t="s">
        <v>74</v>
      </c>
      <c r="Q808" s="1" t="s">
        <v>74</v>
      </c>
      <c r="R808" s="1" t="s">
        <v>74</v>
      </c>
      <c r="S808" s="1" t="s">
        <v>74</v>
      </c>
      <c r="T808" s="1" t="s">
        <v>74</v>
      </c>
      <c r="U808" s="1" t="s">
        <v>74</v>
      </c>
      <c r="V808" s="1" t="s">
        <v>8089</v>
      </c>
      <c r="W808" s="1" t="s">
        <v>74</v>
      </c>
      <c r="X808" s="1" t="s">
        <v>74</v>
      </c>
      <c r="Y808" s="1" t="s">
        <v>74</v>
      </c>
      <c r="Z808" s="1" t="s">
        <v>74</v>
      </c>
      <c r="AA808" s="1" t="s">
        <v>8090</v>
      </c>
      <c r="AB808" s="1" t="s">
        <v>8091</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8092</v>
      </c>
      <c r="AP808" s="1" t="s">
        <v>8093</v>
      </c>
      <c r="AQ808" s="1" t="s">
        <v>74</v>
      </c>
      <c r="AR808" s="1" t="s">
        <v>74</v>
      </c>
      <c r="AS808" s="1" t="s">
        <v>74</v>
      </c>
      <c r="AT808" s="1" t="s">
        <v>489</v>
      </c>
      <c r="AU808" s="1">
        <v>2009.0</v>
      </c>
      <c r="AV808" s="1">
        <v>107.0</v>
      </c>
      <c r="AW808" s="1">
        <v>6.0</v>
      </c>
      <c r="AX808" s="1" t="s">
        <v>74</v>
      </c>
      <c r="AY808" s="1" t="s">
        <v>74</v>
      </c>
      <c r="AZ808" s="1" t="s">
        <v>74</v>
      </c>
      <c r="BA808" s="1" t="s">
        <v>74</v>
      </c>
      <c r="BB808" s="1">
        <v>1083.0</v>
      </c>
      <c r="BC808" s="1">
        <v>1096.0</v>
      </c>
      <c r="BD808" s="1" t="s">
        <v>74</v>
      </c>
      <c r="BE808" s="1" t="s">
        <v>8094</v>
      </c>
      <c r="BF808" s="2" t="str">
        <f>HYPERLINK("http://dx.doi.org/10.1002/jcb.22210","http://dx.doi.org/10.1002/jcb.22210")</f>
        <v>http://dx.doi.org/10.1002/jcb.22210</v>
      </c>
      <c r="BG808" s="1" t="s">
        <v>74</v>
      </c>
      <c r="BH808" s="1" t="s">
        <v>74</v>
      </c>
      <c r="BI808" s="1" t="s">
        <v>74</v>
      </c>
      <c r="BJ808" s="1" t="s">
        <v>74</v>
      </c>
      <c r="BK808" s="1" t="s">
        <v>74</v>
      </c>
      <c r="BL808" s="1" t="s">
        <v>74</v>
      </c>
      <c r="BM808" s="1" t="s">
        <v>74</v>
      </c>
      <c r="BN808" s="1">
        <v>1.9479899E7</v>
      </c>
      <c r="BO808" s="1" t="s">
        <v>74</v>
      </c>
      <c r="BP808" s="1" t="s">
        <v>74</v>
      </c>
      <c r="BQ808" s="1" t="s">
        <v>74</v>
      </c>
      <c r="BR808" s="1" t="s">
        <v>74</v>
      </c>
      <c r="BS808" s="1" t="s">
        <v>8095</v>
      </c>
      <c r="BT808" s="1" t="str">
        <f>HYPERLINK("https%3A%2F%2Fwww.webofscience.com%2Fwos%2Fwoscc%2Ffull-record%2FWOS:000268826900006","View Full Record in Web of Science")</f>
        <v>View Full Record in Web of Science</v>
      </c>
    </row>
    <row r="809" ht="12.75" customHeight="1">
      <c r="A809" s="1" t="s">
        <v>72</v>
      </c>
      <c r="B809" s="1" t="s">
        <v>8096</v>
      </c>
      <c r="C809" s="1" t="s">
        <v>74</v>
      </c>
      <c r="D809" s="1" t="s">
        <v>74</v>
      </c>
      <c r="E809" s="1" t="s">
        <v>74</v>
      </c>
      <c r="F809" s="1" t="s">
        <v>8097</v>
      </c>
      <c r="G809" s="1" t="s">
        <v>74</v>
      </c>
      <c r="H809" s="1" t="s">
        <v>74</v>
      </c>
      <c r="I809" s="1" t="s">
        <v>8098</v>
      </c>
      <c r="J809" s="1" t="s">
        <v>8099</v>
      </c>
      <c r="K809" s="1" t="s">
        <v>74</v>
      </c>
      <c r="L809" s="1" t="s">
        <v>74</v>
      </c>
      <c r="M809" s="1" t="s">
        <v>74</v>
      </c>
      <c r="N809" s="1" t="s">
        <v>74</v>
      </c>
      <c r="O809" s="1" t="s">
        <v>8100</v>
      </c>
      <c r="P809" s="1" t="s">
        <v>8101</v>
      </c>
      <c r="Q809" s="1" t="s">
        <v>8102</v>
      </c>
      <c r="R809" s="1" t="s">
        <v>8103</v>
      </c>
      <c r="S809" s="1" t="s">
        <v>74</v>
      </c>
      <c r="T809" s="1" t="s">
        <v>74</v>
      </c>
      <c r="U809" s="1" t="s">
        <v>74</v>
      </c>
      <c r="V809" s="1" t="s">
        <v>74</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8104</v>
      </c>
      <c r="AP809" s="1" t="s">
        <v>74</v>
      </c>
      <c r="AQ809" s="1" t="s">
        <v>74</v>
      </c>
      <c r="AR809" s="1" t="s">
        <v>74</v>
      </c>
      <c r="AS809" s="1" t="s">
        <v>74</v>
      </c>
      <c r="AT809" s="1" t="s">
        <v>176</v>
      </c>
      <c r="AU809" s="1">
        <v>2009.0</v>
      </c>
      <c r="AV809" s="1">
        <v>16.0</v>
      </c>
      <c r="AW809" s="1">
        <v>3.0</v>
      </c>
      <c r="AX809" s="1" t="s">
        <v>74</v>
      </c>
      <c r="AY809" s="1" t="s">
        <v>74</v>
      </c>
      <c r="AZ809" s="1" t="s">
        <v>74</v>
      </c>
      <c r="BA809" s="1">
        <v>978.0</v>
      </c>
      <c r="BB809" s="1" t="s">
        <v>8105</v>
      </c>
      <c r="BC809" s="1" t="s">
        <v>8105</v>
      </c>
      <c r="BD809" s="1" t="s">
        <v>74</v>
      </c>
      <c r="BE809" s="1" t="s">
        <v>74</v>
      </c>
      <c r="BF809" s="1" t="s">
        <v>74</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8106</v>
      </c>
      <c r="BT809" s="1" t="str">
        <f>HYPERLINK("https%3A%2F%2Fwww.webofscience.com%2Fwos%2Fwoscc%2Ffull-record%2FWOS:000263609801440","View Full Record in Web of Science")</f>
        <v>View Full Record in Web of Science</v>
      </c>
    </row>
    <row r="810" ht="12.75" customHeight="1">
      <c r="A810" s="1" t="s">
        <v>72</v>
      </c>
      <c r="B810" s="1" t="s">
        <v>8107</v>
      </c>
      <c r="C810" s="1" t="s">
        <v>74</v>
      </c>
      <c r="D810" s="1" t="s">
        <v>74</v>
      </c>
      <c r="E810" s="1" t="s">
        <v>74</v>
      </c>
      <c r="F810" s="1" t="s">
        <v>8107</v>
      </c>
      <c r="G810" s="1" t="s">
        <v>74</v>
      </c>
      <c r="H810" s="1" t="s">
        <v>74</v>
      </c>
      <c r="I810" s="1" t="s">
        <v>8108</v>
      </c>
      <c r="J810" s="1" t="s">
        <v>8109</v>
      </c>
      <c r="K810" s="1" t="s">
        <v>74</v>
      </c>
      <c r="L810" s="1" t="s">
        <v>74</v>
      </c>
      <c r="M810" s="1" t="s">
        <v>74</v>
      </c>
      <c r="N810" s="1" t="s">
        <v>74</v>
      </c>
      <c r="O810" s="1" t="s">
        <v>74</v>
      </c>
      <c r="P810" s="1" t="s">
        <v>74</v>
      </c>
      <c r="Q810" s="1" t="s">
        <v>74</v>
      </c>
      <c r="R810" s="1" t="s">
        <v>74</v>
      </c>
      <c r="S810" s="1" t="s">
        <v>74</v>
      </c>
      <c r="T810" s="1" t="s">
        <v>74</v>
      </c>
      <c r="U810" s="1" t="s">
        <v>74</v>
      </c>
      <c r="V810" s="1" t="s">
        <v>8110</v>
      </c>
      <c r="W810" s="1" t="s">
        <v>74</v>
      </c>
      <c r="X810" s="1" t="s">
        <v>74</v>
      </c>
      <c r="Y810" s="1" t="s">
        <v>74</v>
      </c>
      <c r="Z810" s="1" t="s">
        <v>74</v>
      </c>
      <c r="AA810" s="1" t="s">
        <v>8111</v>
      </c>
      <c r="AB810" s="1" t="s">
        <v>5673</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8112</v>
      </c>
      <c r="AP810" s="1" t="s">
        <v>8113</v>
      </c>
      <c r="AQ810" s="1" t="s">
        <v>74</v>
      </c>
      <c r="AR810" s="1" t="s">
        <v>74</v>
      </c>
      <c r="AS810" s="1" t="s">
        <v>74</v>
      </c>
      <c r="AT810" s="1" t="s">
        <v>822</v>
      </c>
      <c r="AU810" s="1">
        <v>2006.0</v>
      </c>
      <c r="AV810" s="1">
        <v>72.0</v>
      </c>
      <c r="AW810" s="1">
        <v>1.0</v>
      </c>
      <c r="AX810" s="1" t="s">
        <v>74</v>
      </c>
      <c r="AY810" s="1" t="s">
        <v>74</v>
      </c>
      <c r="AZ810" s="1" t="s">
        <v>74</v>
      </c>
      <c r="BA810" s="1" t="s">
        <v>74</v>
      </c>
      <c r="BB810" s="1">
        <v>963.0</v>
      </c>
      <c r="BC810" s="1">
        <v>967.0</v>
      </c>
      <c r="BD810" s="1" t="s">
        <v>74</v>
      </c>
      <c r="BE810" s="1" t="s">
        <v>8114</v>
      </c>
      <c r="BF810" s="2" t="str">
        <f>HYPERLINK("http://dx.doi.org/10.1128/AEM.72.1.963-967.2006","http://dx.doi.org/10.1128/AEM.72.1.963-967.2006")</f>
        <v>http://dx.doi.org/10.1128/AEM.72.1.963-967.2006</v>
      </c>
      <c r="BG810" s="1" t="s">
        <v>74</v>
      </c>
      <c r="BH810" s="1" t="s">
        <v>74</v>
      </c>
      <c r="BI810" s="1" t="s">
        <v>74</v>
      </c>
      <c r="BJ810" s="1" t="s">
        <v>74</v>
      </c>
      <c r="BK810" s="1" t="s">
        <v>74</v>
      </c>
      <c r="BL810" s="1" t="s">
        <v>74</v>
      </c>
      <c r="BM810" s="1" t="s">
        <v>74</v>
      </c>
      <c r="BN810" s="1">
        <v>1.6391146E7</v>
      </c>
      <c r="BO810" s="1" t="s">
        <v>74</v>
      </c>
      <c r="BP810" s="1" t="s">
        <v>74</v>
      </c>
      <c r="BQ810" s="1" t="s">
        <v>74</v>
      </c>
      <c r="BR810" s="1" t="s">
        <v>74</v>
      </c>
      <c r="BS810" s="1" t="s">
        <v>8115</v>
      </c>
      <c r="BT810" s="1" t="str">
        <f>HYPERLINK("https%3A%2F%2Fwww.webofscience.com%2Fwos%2Fwoscc%2Ffull-record%2FWOS:000234662800127","View Full Record in Web of Science")</f>
        <v>View Full Record in Web of Science</v>
      </c>
    </row>
    <row r="811" ht="12.75" customHeight="1">
      <c r="A811" s="1" t="s">
        <v>72</v>
      </c>
      <c r="B811" s="1" t="s">
        <v>8116</v>
      </c>
      <c r="C811" s="1" t="s">
        <v>74</v>
      </c>
      <c r="D811" s="1" t="s">
        <v>74</v>
      </c>
      <c r="E811" s="1" t="s">
        <v>74</v>
      </c>
      <c r="F811" s="1" t="s">
        <v>8116</v>
      </c>
      <c r="G811" s="1" t="s">
        <v>74</v>
      </c>
      <c r="H811" s="1" t="s">
        <v>74</v>
      </c>
      <c r="I811" s="1" t="s">
        <v>8117</v>
      </c>
      <c r="J811" s="1" t="s">
        <v>8118</v>
      </c>
      <c r="K811" s="1" t="s">
        <v>74</v>
      </c>
      <c r="L811" s="1" t="s">
        <v>74</v>
      </c>
      <c r="M811" s="1" t="s">
        <v>74</v>
      </c>
      <c r="N811" s="1" t="s">
        <v>74</v>
      </c>
      <c r="O811" s="1" t="s">
        <v>74</v>
      </c>
      <c r="P811" s="1" t="s">
        <v>74</v>
      </c>
      <c r="Q811" s="1" t="s">
        <v>74</v>
      </c>
      <c r="R811" s="1" t="s">
        <v>74</v>
      </c>
      <c r="S811" s="1" t="s">
        <v>74</v>
      </c>
      <c r="T811" s="1" t="s">
        <v>74</v>
      </c>
      <c r="U811" s="1" t="s">
        <v>74</v>
      </c>
      <c r="V811" s="1" t="s">
        <v>8119</v>
      </c>
      <c r="W811" s="1" t="s">
        <v>74</v>
      </c>
      <c r="X811" s="1" t="s">
        <v>74</v>
      </c>
      <c r="Y811" s="1" t="s">
        <v>74</v>
      </c>
      <c r="Z811" s="1" t="s">
        <v>74</v>
      </c>
      <c r="AA811" s="1" t="s">
        <v>8120</v>
      </c>
      <c r="AB811" s="1" t="s">
        <v>8121</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8122</v>
      </c>
      <c r="AP811" s="1" t="s">
        <v>8123</v>
      </c>
      <c r="AQ811" s="1" t="s">
        <v>74</v>
      </c>
      <c r="AR811" s="1" t="s">
        <v>74</v>
      </c>
      <c r="AS811" s="1" t="s">
        <v>74</v>
      </c>
      <c r="AT811" s="1" t="s">
        <v>822</v>
      </c>
      <c r="AU811" s="1">
        <v>2005.0</v>
      </c>
      <c r="AV811" s="1">
        <v>29.0</v>
      </c>
      <c r="AW811" s="1">
        <v>1.0</v>
      </c>
      <c r="AX811" s="1" t="s">
        <v>74</v>
      </c>
      <c r="AY811" s="1" t="s">
        <v>74</v>
      </c>
      <c r="AZ811" s="1" t="s">
        <v>74</v>
      </c>
      <c r="BA811" s="1" t="s">
        <v>74</v>
      </c>
      <c r="BB811" s="1">
        <v>55.0</v>
      </c>
      <c r="BC811" s="1">
        <v>64.0</v>
      </c>
      <c r="BD811" s="1" t="s">
        <v>74</v>
      </c>
      <c r="BE811" s="1" t="s">
        <v>8124</v>
      </c>
      <c r="BF811" s="2" t="str">
        <f>HYPERLINK("http://dx.doi.org/10.1051/epjap:2004177","http://dx.doi.org/10.1051/epjap:2004177")</f>
        <v>http://dx.doi.org/10.1051/epjap:2004177</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8125</v>
      </c>
      <c r="BT811" s="1" t="str">
        <f>HYPERLINK("https%3A%2F%2Fwww.webofscience.com%2Fwos%2Fwoscc%2Ffull-record%2FWOS:000226465000008","View Full Record in Web of Science")</f>
        <v>View Full Record in Web of Science</v>
      </c>
    </row>
    <row r="812" ht="12.75" customHeight="1">
      <c r="A812" s="1" t="s">
        <v>72</v>
      </c>
      <c r="B812" s="1" t="s">
        <v>8126</v>
      </c>
      <c r="C812" s="1" t="s">
        <v>74</v>
      </c>
      <c r="D812" s="1" t="s">
        <v>74</v>
      </c>
      <c r="E812" s="1" t="s">
        <v>74</v>
      </c>
      <c r="F812" s="1" t="s">
        <v>8126</v>
      </c>
      <c r="G812" s="1" t="s">
        <v>74</v>
      </c>
      <c r="H812" s="1" t="s">
        <v>74</v>
      </c>
      <c r="I812" s="1" t="s">
        <v>8127</v>
      </c>
      <c r="J812" s="1" t="s">
        <v>1068</v>
      </c>
      <c r="K812" s="1" t="s">
        <v>74</v>
      </c>
      <c r="L812" s="1" t="s">
        <v>74</v>
      </c>
      <c r="M812" s="1" t="s">
        <v>74</v>
      </c>
      <c r="N812" s="1" t="s">
        <v>74</v>
      </c>
      <c r="O812" s="1" t="s">
        <v>74</v>
      </c>
      <c r="P812" s="1" t="s">
        <v>74</v>
      </c>
      <c r="Q812" s="1" t="s">
        <v>74</v>
      </c>
      <c r="R812" s="1" t="s">
        <v>74</v>
      </c>
      <c r="S812" s="1" t="s">
        <v>74</v>
      </c>
      <c r="T812" s="1" t="s">
        <v>74</v>
      </c>
      <c r="U812" s="1" t="s">
        <v>74</v>
      </c>
      <c r="V812" s="1" t="s">
        <v>8128</v>
      </c>
      <c r="W812" s="1" t="s">
        <v>74</v>
      </c>
      <c r="X812" s="1" t="s">
        <v>74</v>
      </c>
      <c r="Y812" s="1" t="s">
        <v>74</v>
      </c>
      <c r="Z812" s="1" t="s">
        <v>74</v>
      </c>
      <c r="AA812" s="1" t="s">
        <v>8129</v>
      </c>
      <c r="AB812" s="1" t="s">
        <v>8130</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1072</v>
      </c>
      <c r="AP812" s="1" t="s">
        <v>74</v>
      </c>
      <c r="AQ812" s="1" t="s">
        <v>74</v>
      </c>
      <c r="AR812" s="1" t="s">
        <v>74</v>
      </c>
      <c r="AS812" s="1" t="s">
        <v>74</v>
      </c>
      <c r="AT812" s="1" t="s">
        <v>176</v>
      </c>
      <c r="AU812" s="1">
        <v>2001.0</v>
      </c>
      <c r="AV812" s="1">
        <v>46.0</v>
      </c>
      <c r="AW812" s="1">
        <v>1.0</v>
      </c>
      <c r="AX812" s="1" t="s">
        <v>74</v>
      </c>
      <c r="AY812" s="1" t="s">
        <v>74</v>
      </c>
      <c r="AZ812" s="1" t="s">
        <v>74</v>
      </c>
      <c r="BA812" s="1" t="s">
        <v>74</v>
      </c>
      <c r="BB812" s="1">
        <v>77.0</v>
      </c>
      <c r="BC812" s="1">
        <v>80.0</v>
      </c>
      <c r="BD812" s="1" t="s">
        <v>74</v>
      </c>
      <c r="BE812" s="1" t="s">
        <v>74</v>
      </c>
      <c r="BF812" s="1" t="s">
        <v>74</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8131</v>
      </c>
      <c r="BT812" s="1" t="str">
        <f>HYPERLINK("https%3A%2F%2Fwww.webofscience.com%2Fwos%2Fwoscc%2Ffull-record%2FWOS:000168175900012","View Full Record in Web of Science")</f>
        <v>View Full Record in Web of Science</v>
      </c>
    </row>
    <row r="813" ht="12.75" customHeight="1">
      <c r="A813" s="1" t="s">
        <v>72</v>
      </c>
      <c r="B813" s="1" t="s">
        <v>8132</v>
      </c>
      <c r="C813" s="1" t="s">
        <v>74</v>
      </c>
      <c r="D813" s="1" t="s">
        <v>74</v>
      </c>
      <c r="E813" s="1" t="s">
        <v>74</v>
      </c>
      <c r="F813" s="1" t="s">
        <v>8133</v>
      </c>
      <c r="G813" s="1" t="s">
        <v>74</v>
      </c>
      <c r="H813" s="1" t="s">
        <v>74</v>
      </c>
      <c r="I813" s="1" t="s">
        <v>8134</v>
      </c>
      <c r="J813" s="1" t="s">
        <v>182</v>
      </c>
      <c r="K813" s="1" t="s">
        <v>74</v>
      </c>
      <c r="L813" s="1" t="s">
        <v>74</v>
      </c>
      <c r="M813" s="1" t="s">
        <v>74</v>
      </c>
      <c r="N813" s="1" t="s">
        <v>74</v>
      </c>
      <c r="O813" s="1" t="s">
        <v>74</v>
      </c>
      <c r="P813" s="1" t="s">
        <v>74</v>
      </c>
      <c r="Q813" s="1" t="s">
        <v>74</v>
      </c>
      <c r="R813" s="1" t="s">
        <v>74</v>
      </c>
      <c r="S813" s="1" t="s">
        <v>74</v>
      </c>
      <c r="T813" s="1" t="s">
        <v>74</v>
      </c>
      <c r="U813" s="1" t="s">
        <v>74</v>
      </c>
      <c r="V813" s="1" t="s">
        <v>8135</v>
      </c>
      <c r="W813" s="1" t="s">
        <v>74</v>
      </c>
      <c r="X813" s="1" t="s">
        <v>74</v>
      </c>
      <c r="Y813" s="1" t="s">
        <v>74</v>
      </c>
      <c r="Z813" s="1" t="s">
        <v>74</v>
      </c>
      <c r="AA813" s="1" t="s">
        <v>8136</v>
      </c>
      <c r="AB813" s="1" t="s">
        <v>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186</v>
      </c>
      <c r="AP813" s="1" t="s">
        <v>74</v>
      </c>
      <c r="AQ813" s="1" t="s">
        <v>74</v>
      </c>
      <c r="AR813" s="1" t="s">
        <v>74</v>
      </c>
      <c r="AS813" s="1" t="s">
        <v>74</v>
      </c>
      <c r="AT813" s="1" t="s">
        <v>266</v>
      </c>
      <c r="AU813" s="1">
        <v>2025.0</v>
      </c>
      <c r="AV813" s="1">
        <v>20.0</v>
      </c>
      <c r="AW813" s="1">
        <v>4.0</v>
      </c>
      <c r="AX813" s="1" t="s">
        <v>74</v>
      </c>
      <c r="AY813" s="1" t="s">
        <v>74</v>
      </c>
      <c r="AZ813" s="1" t="s">
        <v>74</v>
      </c>
      <c r="BA813" s="1" t="s">
        <v>74</v>
      </c>
      <c r="BB813" s="1" t="s">
        <v>74</v>
      </c>
      <c r="BC813" s="1" t="s">
        <v>74</v>
      </c>
      <c r="BD813" s="1" t="s">
        <v>8137</v>
      </c>
      <c r="BE813" s="1" t="s">
        <v>8138</v>
      </c>
      <c r="BF813" s="2" t="str">
        <f>HYPERLINK("http://dx.doi.org/10.1371/journal.pone.0321963","http://dx.doi.org/10.1371/journal.pone.0321963")</f>
        <v>http://dx.doi.org/10.1371/journal.pone.0321963</v>
      </c>
      <c r="BG813" s="1" t="s">
        <v>74</v>
      </c>
      <c r="BH813" s="1" t="s">
        <v>74</v>
      </c>
      <c r="BI813" s="1" t="s">
        <v>74</v>
      </c>
      <c r="BJ813" s="1" t="s">
        <v>74</v>
      </c>
      <c r="BK813" s="1" t="s">
        <v>74</v>
      </c>
      <c r="BL813" s="1" t="s">
        <v>74</v>
      </c>
      <c r="BM813" s="1" t="s">
        <v>74</v>
      </c>
      <c r="BN813" s="1">
        <v>4.0238854E7</v>
      </c>
      <c r="BO813" s="1" t="s">
        <v>74</v>
      </c>
      <c r="BP813" s="1" t="s">
        <v>74</v>
      </c>
      <c r="BQ813" s="1" t="s">
        <v>74</v>
      </c>
      <c r="BR813" s="1" t="s">
        <v>74</v>
      </c>
      <c r="BS813" s="1" t="s">
        <v>8139</v>
      </c>
      <c r="BT813" s="1" t="str">
        <f>HYPERLINK("https%3A%2F%2Fwww.webofscience.com%2Fwos%2Fwoscc%2Ffull-record%2FWOS:001469834000007","View Full Record in Web of Science")</f>
        <v>View Full Record in Web of Science</v>
      </c>
    </row>
    <row r="814" ht="12.75" customHeight="1">
      <c r="A814" s="1" t="s">
        <v>72</v>
      </c>
      <c r="B814" s="1" t="s">
        <v>8140</v>
      </c>
      <c r="C814" s="1" t="s">
        <v>74</v>
      </c>
      <c r="D814" s="1" t="s">
        <v>74</v>
      </c>
      <c r="E814" s="1" t="s">
        <v>74</v>
      </c>
      <c r="F814" s="1" t="s">
        <v>8141</v>
      </c>
      <c r="G814" s="1" t="s">
        <v>74</v>
      </c>
      <c r="H814" s="1" t="s">
        <v>74</v>
      </c>
      <c r="I814" s="1" t="s">
        <v>8142</v>
      </c>
      <c r="J814" s="1" t="s">
        <v>3167</v>
      </c>
      <c r="K814" s="1" t="s">
        <v>74</v>
      </c>
      <c r="L814" s="1" t="s">
        <v>74</v>
      </c>
      <c r="M814" s="1" t="s">
        <v>74</v>
      </c>
      <c r="N814" s="1" t="s">
        <v>74</v>
      </c>
      <c r="O814" s="1" t="s">
        <v>74</v>
      </c>
      <c r="P814" s="1" t="s">
        <v>74</v>
      </c>
      <c r="Q814" s="1" t="s">
        <v>74</v>
      </c>
      <c r="R814" s="1" t="s">
        <v>74</v>
      </c>
      <c r="S814" s="1" t="s">
        <v>74</v>
      </c>
      <c r="T814" s="1" t="s">
        <v>74</v>
      </c>
      <c r="U814" s="1" t="s">
        <v>74</v>
      </c>
      <c r="V814" s="1" t="s">
        <v>8143</v>
      </c>
      <c r="W814" s="1" t="s">
        <v>74</v>
      </c>
      <c r="X814" s="1" t="s">
        <v>74</v>
      </c>
      <c r="Y814" s="1" t="s">
        <v>74</v>
      </c>
      <c r="Z814" s="1" t="s">
        <v>74</v>
      </c>
      <c r="AA814" s="1" t="s">
        <v>8144</v>
      </c>
      <c r="AB814" s="1" t="s">
        <v>8145</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3171</v>
      </c>
      <c r="AP814" s="1" t="s">
        <v>74</v>
      </c>
      <c r="AQ814" s="1" t="s">
        <v>74</v>
      </c>
      <c r="AR814" s="1" t="s">
        <v>74</v>
      </c>
      <c r="AS814" s="1" t="s">
        <v>74</v>
      </c>
      <c r="AT814" s="1" t="s">
        <v>600</v>
      </c>
      <c r="AU814" s="1">
        <v>2024.0</v>
      </c>
      <c r="AV814" s="1">
        <v>51.0</v>
      </c>
      <c r="AW814" s="1">
        <v>1.0</v>
      </c>
      <c r="AX814" s="1" t="s">
        <v>74</v>
      </c>
      <c r="AY814" s="1" t="s">
        <v>74</v>
      </c>
      <c r="AZ814" s="1" t="s">
        <v>74</v>
      </c>
      <c r="BA814" s="1" t="s">
        <v>74</v>
      </c>
      <c r="BB814" s="1">
        <v>43.0</v>
      </c>
      <c r="BC814" s="1">
        <v>52.0</v>
      </c>
      <c r="BD814" s="1" t="s">
        <v>74</v>
      </c>
      <c r="BE814" s="1" t="s">
        <v>8146</v>
      </c>
      <c r="BF814" s="2" t="str">
        <f>HYPERLINK("http://dx.doi.org/10.4067/s0717-75182024000100043","http://dx.doi.org/10.4067/s0717-75182024000100043")</f>
        <v>http://dx.doi.org/10.4067/s0717-75182024000100043</v>
      </c>
      <c r="BG814" s="1" t="s">
        <v>74</v>
      </c>
      <c r="BH814" s="1" t="s">
        <v>74</v>
      </c>
      <c r="BI814" s="1" t="s">
        <v>74</v>
      </c>
      <c r="BJ814" s="1" t="s">
        <v>74</v>
      </c>
      <c r="BK814" s="1" t="s">
        <v>74</v>
      </c>
      <c r="BL814" s="1" t="s">
        <v>74</v>
      </c>
      <c r="BM814" s="1" t="s">
        <v>74</v>
      </c>
      <c r="BN814" s="1" t="s">
        <v>74</v>
      </c>
      <c r="BO814" s="1" t="s">
        <v>74</v>
      </c>
      <c r="BP814" s="1" t="s">
        <v>74</v>
      </c>
      <c r="BQ814" s="1" t="s">
        <v>74</v>
      </c>
      <c r="BR814" s="1" t="s">
        <v>74</v>
      </c>
      <c r="BS814" s="1" t="s">
        <v>8147</v>
      </c>
      <c r="BT814" s="1" t="str">
        <f>HYPERLINK("https%3A%2F%2Fwww.webofscience.com%2Fwos%2Fwoscc%2Ffull-record%2FWOS:001197737100003","View Full Record in Web of Science")</f>
        <v>View Full Record in Web of Science</v>
      </c>
    </row>
    <row r="815" ht="12.75" customHeight="1">
      <c r="A815" s="1" t="s">
        <v>72</v>
      </c>
      <c r="B815" s="1" t="s">
        <v>8148</v>
      </c>
      <c r="C815" s="1" t="s">
        <v>74</v>
      </c>
      <c r="D815" s="1" t="s">
        <v>74</v>
      </c>
      <c r="E815" s="1" t="s">
        <v>74</v>
      </c>
      <c r="F815" s="1" t="s">
        <v>8149</v>
      </c>
      <c r="G815" s="1" t="s">
        <v>74</v>
      </c>
      <c r="H815" s="1" t="s">
        <v>74</v>
      </c>
      <c r="I815" s="1" t="s">
        <v>8150</v>
      </c>
      <c r="J815" s="1" t="s">
        <v>7079</v>
      </c>
      <c r="K815" s="1" t="s">
        <v>74</v>
      </c>
      <c r="L815" s="1" t="s">
        <v>74</v>
      </c>
      <c r="M815" s="1" t="s">
        <v>74</v>
      </c>
      <c r="N815" s="1" t="s">
        <v>74</v>
      </c>
      <c r="O815" s="1" t="s">
        <v>74</v>
      </c>
      <c r="P815" s="1" t="s">
        <v>74</v>
      </c>
      <c r="Q815" s="1" t="s">
        <v>74</v>
      </c>
      <c r="R815" s="1" t="s">
        <v>74</v>
      </c>
      <c r="S815" s="1" t="s">
        <v>74</v>
      </c>
      <c r="T815" s="1" t="s">
        <v>74</v>
      </c>
      <c r="U815" s="1" t="s">
        <v>74</v>
      </c>
      <c r="V815" s="1" t="s">
        <v>8151</v>
      </c>
      <c r="W815" s="1" t="s">
        <v>74</v>
      </c>
      <c r="X815" s="1" t="s">
        <v>74</v>
      </c>
      <c r="Y815" s="1" t="s">
        <v>74</v>
      </c>
      <c r="Z815" s="1" t="s">
        <v>74</v>
      </c>
      <c r="AA815" s="1" t="s">
        <v>8152</v>
      </c>
      <c r="AB815" s="1" t="s">
        <v>8153</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7082</v>
      </c>
      <c r="AP815" s="1" t="s">
        <v>8154</v>
      </c>
      <c r="AQ815" s="1" t="s">
        <v>74</v>
      </c>
      <c r="AR815" s="1" t="s">
        <v>74</v>
      </c>
      <c r="AS815" s="1" t="s">
        <v>74</v>
      </c>
      <c r="AT815" s="1" t="s">
        <v>8155</v>
      </c>
      <c r="AU815" s="1">
        <v>2023.0</v>
      </c>
      <c r="AV815" s="1">
        <v>380.0</v>
      </c>
      <c r="AW815" s="1">
        <v>6650.0</v>
      </c>
      <c r="AX815" s="1" t="s">
        <v>74</v>
      </c>
      <c r="AY815" s="1" t="s">
        <v>74</v>
      </c>
      <c r="AZ815" s="1" t="s">
        <v>74</v>
      </c>
      <c r="BA815" s="1" t="s">
        <v>74</v>
      </c>
      <c r="BB815" s="1">
        <v>1165.0</v>
      </c>
      <c r="BC815" s="1">
        <v>1168.0</v>
      </c>
      <c r="BD815" s="1" t="s">
        <v>74</v>
      </c>
      <c r="BE815" s="1" t="s">
        <v>8156</v>
      </c>
      <c r="BF815" s="2" t="str">
        <f>HYPERLINK("http://dx.doi.org/10.1126/science.ade7147","http://dx.doi.org/10.1126/science.ade7147")</f>
        <v>http://dx.doi.org/10.1126/science.ade7147</v>
      </c>
      <c r="BG815" s="1" t="s">
        <v>74</v>
      </c>
      <c r="BH815" s="1" t="s">
        <v>74</v>
      </c>
      <c r="BI815" s="1" t="s">
        <v>74</v>
      </c>
      <c r="BJ815" s="1" t="s">
        <v>74</v>
      </c>
      <c r="BK815" s="1" t="s">
        <v>74</v>
      </c>
      <c r="BL815" s="1" t="s">
        <v>74</v>
      </c>
      <c r="BM815" s="1" t="s">
        <v>74</v>
      </c>
      <c r="BN815" s="1">
        <v>3.7319215E7</v>
      </c>
      <c r="BO815" s="1" t="s">
        <v>74</v>
      </c>
      <c r="BP815" s="1" t="s">
        <v>74</v>
      </c>
      <c r="BQ815" s="1" t="s">
        <v>74</v>
      </c>
      <c r="BR815" s="1" t="s">
        <v>74</v>
      </c>
      <c r="BS815" s="1" t="s">
        <v>8157</v>
      </c>
      <c r="BT815" s="1" t="str">
        <f>HYPERLINK("https%3A%2F%2Fwww.webofscience.com%2Fwos%2Fwoscc%2Ffull-record%2FWOS:001010846100006","View Full Record in Web of Science")</f>
        <v>View Full Record in Web of Science</v>
      </c>
    </row>
    <row r="816" ht="12.75" customHeight="1">
      <c r="A816" s="1" t="s">
        <v>72</v>
      </c>
      <c r="B816" s="1" t="s">
        <v>8158</v>
      </c>
      <c r="C816" s="1" t="s">
        <v>74</v>
      </c>
      <c r="D816" s="1" t="s">
        <v>74</v>
      </c>
      <c r="E816" s="1" t="s">
        <v>74</v>
      </c>
      <c r="F816" s="1" t="s">
        <v>8159</v>
      </c>
      <c r="G816" s="1" t="s">
        <v>74</v>
      </c>
      <c r="H816" s="1" t="s">
        <v>74</v>
      </c>
      <c r="I816" s="1" t="s">
        <v>8160</v>
      </c>
      <c r="J816" s="1" t="s">
        <v>1590</v>
      </c>
      <c r="K816" s="1" t="s">
        <v>74</v>
      </c>
      <c r="L816" s="1" t="s">
        <v>74</v>
      </c>
      <c r="M816" s="1" t="s">
        <v>74</v>
      </c>
      <c r="N816" s="1" t="s">
        <v>74</v>
      </c>
      <c r="O816" s="1" t="s">
        <v>74</v>
      </c>
      <c r="P816" s="1" t="s">
        <v>74</v>
      </c>
      <c r="Q816" s="1" t="s">
        <v>74</v>
      </c>
      <c r="R816" s="1" t="s">
        <v>74</v>
      </c>
      <c r="S816" s="1" t="s">
        <v>74</v>
      </c>
      <c r="T816" s="1" t="s">
        <v>74</v>
      </c>
      <c r="U816" s="1" t="s">
        <v>74</v>
      </c>
      <c r="V816" s="1" t="s">
        <v>8161</v>
      </c>
      <c r="W816" s="1" t="s">
        <v>74</v>
      </c>
      <c r="X816" s="1" t="s">
        <v>74</v>
      </c>
      <c r="Y816" s="1" t="s">
        <v>74</v>
      </c>
      <c r="Z816" s="1" t="s">
        <v>74</v>
      </c>
      <c r="AA816" s="1" t="s">
        <v>8162</v>
      </c>
      <c r="AB816" s="1" t="s">
        <v>8163</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74</v>
      </c>
      <c r="AP816" s="1" t="s">
        <v>1594</v>
      </c>
      <c r="AQ816" s="1" t="s">
        <v>74</v>
      </c>
      <c r="AR816" s="1" t="s">
        <v>74</v>
      </c>
      <c r="AS816" s="1" t="s">
        <v>74</v>
      </c>
      <c r="AT816" s="1" t="s">
        <v>241</v>
      </c>
      <c r="AU816" s="1">
        <v>2022.0</v>
      </c>
      <c r="AV816" s="1">
        <v>12.0</v>
      </c>
      <c r="AW816" s="1">
        <v>18.0</v>
      </c>
      <c r="AX816" s="1" t="s">
        <v>74</v>
      </c>
      <c r="AY816" s="1" t="s">
        <v>74</v>
      </c>
      <c r="AZ816" s="1" t="s">
        <v>74</v>
      </c>
      <c r="BA816" s="1" t="s">
        <v>74</v>
      </c>
      <c r="BB816" s="1" t="s">
        <v>74</v>
      </c>
      <c r="BC816" s="1" t="s">
        <v>74</v>
      </c>
      <c r="BD816" s="1">
        <v>3180.0</v>
      </c>
      <c r="BE816" s="1" t="s">
        <v>8164</v>
      </c>
      <c r="BF816" s="2" t="str">
        <f>HYPERLINK("http://dx.doi.org/10.3390/nano12183180","http://dx.doi.org/10.3390/nano12183180")</f>
        <v>http://dx.doi.org/10.3390/nano12183180</v>
      </c>
      <c r="BG816" s="1" t="s">
        <v>74</v>
      </c>
      <c r="BH816" s="1" t="s">
        <v>74</v>
      </c>
      <c r="BI816" s="1" t="s">
        <v>74</v>
      </c>
      <c r="BJ816" s="1" t="s">
        <v>74</v>
      </c>
      <c r="BK816" s="1" t="s">
        <v>74</v>
      </c>
      <c r="BL816" s="1" t="s">
        <v>74</v>
      </c>
      <c r="BM816" s="1" t="s">
        <v>74</v>
      </c>
      <c r="BN816" s="1">
        <v>3.6144968E7</v>
      </c>
      <c r="BO816" s="1" t="s">
        <v>74</v>
      </c>
      <c r="BP816" s="1" t="s">
        <v>74</v>
      </c>
      <c r="BQ816" s="1" t="s">
        <v>74</v>
      </c>
      <c r="BR816" s="1" t="s">
        <v>74</v>
      </c>
      <c r="BS816" s="1" t="s">
        <v>8165</v>
      </c>
      <c r="BT816" s="1" t="str">
        <f>HYPERLINK("https%3A%2F%2Fwww.webofscience.com%2Fwos%2Fwoscc%2Ffull-record%2FWOS:000857029200001","View Full Record in Web of Science")</f>
        <v>View Full Record in Web of Science</v>
      </c>
    </row>
    <row r="817" ht="12.75" customHeight="1">
      <c r="A817" s="1" t="s">
        <v>72</v>
      </c>
      <c r="B817" s="1" t="s">
        <v>8166</v>
      </c>
      <c r="C817" s="1" t="s">
        <v>74</v>
      </c>
      <c r="D817" s="1" t="s">
        <v>74</v>
      </c>
      <c r="E817" s="1" t="s">
        <v>74</v>
      </c>
      <c r="F817" s="1" t="s">
        <v>8167</v>
      </c>
      <c r="G817" s="1" t="s">
        <v>74</v>
      </c>
      <c r="H817" s="1" t="s">
        <v>74</v>
      </c>
      <c r="I817" s="1" t="s">
        <v>8168</v>
      </c>
      <c r="J817" s="1" t="s">
        <v>8169</v>
      </c>
      <c r="K817" s="1" t="s">
        <v>74</v>
      </c>
      <c r="L817" s="1" t="s">
        <v>74</v>
      </c>
      <c r="M817" s="1" t="s">
        <v>74</v>
      </c>
      <c r="N817" s="1" t="s">
        <v>74</v>
      </c>
      <c r="O817" s="1" t="s">
        <v>74</v>
      </c>
      <c r="P817" s="1" t="s">
        <v>74</v>
      </c>
      <c r="Q817" s="1" t="s">
        <v>74</v>
      </c>
      <c r="R817" s="1" t="s">
        <v>74</v>
      </c>
      <c r="S817" s="1" t="s">
        <v>74</v>
      </c>
      <c r="T817" s="1" t="s">
        <v>74</v>
      </c>
      <c r="U817" s="1" t="s">
        <v>74</v>
      </c>
      <c r="V817" s="1" t="s">
        <v>8170</v>
      </c>
      <c r="W817" s="1" t="s">
        <v>74</v>
      </c>
      <c r="X817" s="1" t="s">
        <v>74</v>
      </c>
      <c r="Y817" s="1" t="s">
        <v>74</v>
      </c>
      <c r="Z817" s="1" t="s">
        <v>74</v>
      </c>
      <c r="AA817" s="1" t="s">
        <v>8171</v>
      </c>
      <c r="AB817" s="1" t="s">
        <v>8172</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8173</v>
      </c>
      <c r="AP817" s="1" t="s">
        <v>8174</v>
      </c>
      <c r="AQ817" s="1" t="s">
        <v>74</v>
      </c>
      <c r="AR817" s="1" t="s">
        <v>74</v>
      </c>
      <c r="AS817" s="1" t="s">
        <v>74</v>
      </c>
      <c r="AT817" s="1" t="s">
        <v>4904</v>
      </c>
      <c r="AU817" s="1">
        <v>2022.0</v>
      </c>
      <c r="AV817" s="1">
        <v>537.0</v>
      </c>
      <c r="AW817" s="1" t="s">
        <v>74</v>
      </c>
      <c r="AX817" s="1" t="s">
        <v>74</v>
      </c>
      <c r="AY817" s="1" t="s">
        <v>74</v>
      </c>
      <c r="AZ817" s="1" t="s">
        <v>74</v>
      </c>
      <c r="BA817" s="1" t="s">
        <v>74</v>
      </c>
      <c r="BB817" s="1" t="s">
        <v>74</v>
      </c>
      <c r="BC817" s="1" t="s">
        <v>74</v>
      </c>
      <c r="BD817" s="1">
        <v>115887.0</v>
      </c>
      <c r="BE817" s="1" t="s">
        <v>8175</v>
      </c>
      <c r="BF817" s="2" t="str">
        <f>HYPERLINK("http://dx.doi.org/10.1016/j.desal.2022.115887","http://dx.doi.org/10.1016/j.desal.2022.115887")</f>
        <v>http://dx.doi.org/10.1016/j.desal.2022.115887</v>
      </c>
      <c r="BG817" s="1" t="s">
        <v>74</v>
      </c>
      <c r="BH817" s="1" t="s">
        <v>732</v>
      </c>
      <c r="BI817" s="1" t="s">
        <v>74</v>
      </c>
      <c r="BJ817" s="1" t="s">
        <v>74</v>
      </c>
      <c r="BK817" s="1" t="s">
        <v>74</v>
      </c>
      <c r="BL817" s="1" t="s">
        <v>74</v>
      </c>
      <c r="BM817" s="1" t="s">
        <v>74</v>
      </c>
      <c r="BN817" s="1" t="s">
        <v>74</v>
      </c>
      <c r="BO817" s="1" t="s">
        <v>74</v>
      </c>
      <c r="BP817" s="1" t="s">
        <v>74</v>
      </c>
      <c r="BQ817" s="1" t="s">
        <v>74</v>
      </c>
      <c r="BR817" s="1" t="s">
        <v>74</v>
      </c>
      <c r="BS817" s="1" t="s">
        <v>8176</v>
      </c>
      <c r="BT817" s="1" t="str">
        <f>HYPERLINK("https%3A%2F%2Fwww.webofscience.com%2Fwos%2Fwoscc%2Ffull-record%2FWOS:000817823500003","View Full Record in Web of Science")</f>
        <v>View Full Record in Web of Science</v>
      </c>
    </row>
    <row r="818" ht="12.75" customHeight="1">
      <c r="A818" s="1" t="s">
        <v>72</v>
      </c>
      <c r="B818" s="1" t="s">
        <v>8177</v>
      </c>
      <c r="C818" s="1" t="s">
        <v>74</v>
      </c>
      <c r="D818" s="1" t="s">
        <v>74</v>
      </c>
      <c r="E818" s="1" t="s">
        <v>74</v>
      </c>
      <c r="F818" s="1" t="s">
        <v>8178</v>
      </c>
      <c r="G818" s="1" t="s">
        <v>74</v>
      </c>
      <c r="H818" s="1" t="s">
        <v>74</v>
      </c>
      <c r="I818" s="1" t="s">
        <v>8179</v>
      </c>
      <c r="J818" s="1" t="s">
        <v>3945</v>
      </c>
      <c r="K818" s="1" t="s">
        <v>74</v>
      </c>
      <c r="L818" s="1" t="s">
        <v>74</v>
      </c>
      <c r="M818" s="1" t="s">
        <v>74</v>
      </c>
      <c r="N818" s="1" t="s">
        <v>74</v>
      </c>
      <c r="O818" s="1" t="s">
        <v>74</v>
      </c>
      <c r="P818" s="1" t="s">
        <v>74</v>
      </c>
      <c r="Q818" s="1" t="s">
        <v>74</v>
      </c>
      <c r="R818" s="1" t="s">
        <v>74</v>
      </c>
      <c r="S818" s="1" t="s">
        <v>74</v>
      </c>
      <c r="T818" s="1" t="s">
        <v>74</v>
      </c>
      <c r="U818" s="1" t="s">
        <v>74</v>
      </c>
      <c r="V818" s="1" t="s">
        <v>8180</v>
      </c>
      <c r="W818" s="1" t="s">
        <v>74</v>
      </c>
      <c r="X818" s="1" t="s">
        <v>74</v>
      </c>
      <c r="Y818" s="1" t="s">
        <v>74</v>
      </c>
      <c r="Z818" s="1" t="s">
        <v>74</v>
      </c>
      <c r="AA818" s="1" t="s">
        <v>8181</v>
      </c>
      <c r="AB818" s="1" t="s">
        <v>8182</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3949</v>
      </c>
      <c r="AP818" s="1" t="s">
        <v>3950</v>
      </c>
      <c r="AQ818" s="1" t="s">
        <v>74</v>
      </c>
      <c r="AR818" s="1" t="s">
        <v>74</v>
      </c>
      <c r="AS818" s="1" t="s">
        <v>74</v>
      </c>
      <c r="AT818" s="1" t="s">
        <v>8183</v>
      </c>
      <c r="AU818" s="1">
        <v>2022.0</v>
      </c>
      <c r="AV818" s="1">
        <v>2022.0</v>
      </c>
      <c r="AW818" s="1">
        <v>29.0</v>
      </c>
      <c r="AX818" s="1" t="s">
        <v>74</v>
      </c>
      <c r="AY818" s="1" t="s">
        <v>74</v>
      </c>
      <c r="AZ818" s="1" t="s">
        <v>74</v>
      </c>
      <c r="BA818" s="1" t="s">
        <v>74</v>
      </c>
      <c r="BB818" s="1" t="s">
        <v>74</v>
      </c>
      <c r="BC818" s="1" t="s">
        <v>74</v>
      </c>
      <c r="BD818" s="1" t="s">
        <v>8184</v>
      </c>
      <c r="BE818" s="1" t="s">
        <v>8185</v>
      </c>
      <c r="BF818" s="2" t="str">
        <f>HYPERLINK("http://dx.doi.org/10.1002/ejoc.202101526","http://dx.doi.org/10.1002/ejoc.202101526")</f>
        <v>http://dx.doi.org/10.1002/ejoc.202101526</v>
      </c>
      <c r="BG818" s="1" t="s">
        <v>74</v>
      </c>
      <c r="BH818" s="1" t="s">
        <v>8186</v>
      </c>
      <c r="BI818" s="1" t="s">
        <v>74</v>
      </c>
      <c r="BJ818" s="1" t="s">
        <v>74</v>
      </c>
      <c r="BK818" s="1" t="s">
        <v>74</v>
      </c>
      <c r="BL818" s="1" t="s">
        <v>74</v>
      </c>
      <c r="BM818" s="1" t="s">
        <v>74</v>
      </c>
      <c r="BN818" s="1" t="s">
        <v>74</v>
      </c>
      <c r="BO818" s="1" t="s">
        <v>74</v>
      </c>
      <c r="BP818" s="1" t="s">
        <v>74</v>
      </c>
      <c r="BQ818" s="1" t="s">
        <v>74</v>
      </c>
      <c r="BR818" s="1" t="s">
        <v>74</v>
      </c>
      <c r="BS818" s="1" t="s">
        <v>8187</v>
      </c>
      <c r="BT818" s="1" t="str">
        <f>HYPERLINK("https%3A%2F%2Fwww.webofscience.com%2Fwos%2Fwoscc%2Ffull-record%2FWOS:000788183200001","View Full Record in Web of Science")</f>
        <v>View Full Record in Web of Science</v>
      </c>
    </row>
    <row r="819" ht="12.75" customHeight="1">
      <c r="A819" s="1" t="s">
        <v>72</v>
      </c>
      <c r="B819" s="1" t="s">
        <v>8188</v>
      </c>
      <c r="C819" s="1" t="s">
        <v>74</v>
      </c>
      <c r="D819" s="1" t="s">
        <v>74</v>
      </c>
      <c r="E819" s="1" t="s">
        <v>74</v>
      </c>
      <c r="F819" s="1" t="s">
        <v>8189</v>
      </c>
      <c r="G819" s="1" t="s">
        <v>74</v>
      </c>
      <c r="H819" s="1" t="s">
        <v>74</v>
      </c>
      <c r="I819" s="1" t="s">
        <v>8190</v>
      </c>
      <c r="J819" s="1" t="s">
        <v>2477</v>
      </c>
      <c r="K819" s="1" t="s">
        <v>74</v>
      </c>
      <c r="L819" s="1" t="s">
        <v>74</v>
      </c>
      <c r="M819" s="1" t="s">
        <v>74</v>
      </c>
      <c r="N819" s="1" t="s">
        <v>74</v>
      </c>
      <c r="O819" s="1" t="s">
        <v>74</v>
      </c>
      <c r="P819" s="1" t="s">
        <v>74</v>
      </c>
      <c r="Q819" s="1" t="s">
        <v>74</v>
      </c>
      <c r="R819" s="1" t="s">
        <v>74</v>
      </c>
      <c r="S819" s="1" t="s">
        <v>74</v>
      </c>
      <c r="T819" s="1" t="s">
        <v>74</v>
      </c>
      <c r="U819" s="1" t="s">
        <v>74</v>
      </c>
      <c r="V819" s="1" t="s">
        <v>8191</v>
      </c>
      <c r="W819" s="1" t="s">
        <v>74</v>
      </c>
      <c r="X819" s="1" t="s">
        <v>74</v>
      </c>
      <c r="Y819" s="1" t="s">
        <v>74</v>
      </c>
      <c r="Z819" s="1" t="s">
        <v>74</v>
      </c>
      <c r="AA819" s="1" t="s">
        <v>8192</v>
      </c>
      <c r="AB819" s="1" t="s">
        <v>8193</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74</v>
      </c>
      <c r="AP819" s="1" t="s">
        <v>2481</v>
      </c>
      <c r="AQ819" s="1" t="s">
        <v>74</v>
      </c>
      <c r="AR819" s="1" t="s">
        <v>74</v>
      </c>
      <c r="AS819" s="1" t="s">
        <v>74</v>
      </c>
      <c r="AT819" s="1" t="s">
        <v>94</v>
      </c>
      <c r="AU819" s="1">
        <v>2021.0</v>
      </c>
      <c r="AV819" s="1">
        <v>10.0</v>
      </c>
      <c r="AW819" s="1">
        <v>5.0</v>
      </c>
      <c r="AX819" s="1" t="s">
        <v>74</v>
      </c>
      <c r="AY819" s="1" t="s">
        <v>74</v>
      </c>
      <c r="AZ819" s="1" t="s">
        <v>74</v>
      </c>
      <c r="BA819" s="1" t="s">
        <v>74</v>
      </c>
      <c r="BB819" s="1" t="s">
        <v>74</v>
      </c>
      <c r="BC819" s="1" t="s">
        <v>74</v>
      </c>
      <c r="BD819" s="1">
        <v>664.0</v>
      </c>
      <c r="BE819" s="1" t="s">
        <v>8194</v>
      </c>
      <c r="BF819" s="2" t="str">
        <f>HYPERLINK("http://dx.doi.org/10.3390/antiox10050664","http://dx.doi.org/10.3390/antiox10050664")</f>
        <v>http://dx.doi.org/10.3390/antiox10050664</v>
      </c>
      <c r="BG819" s="1" t="s">
        <v>74</v>
      </c>
      <c r="BH819" s="1" t="s">
        <v>74</v>
      </c>
      <c r="BI819" s="1" t="s">
        <v>74</v>
      </c>
      <c r="BJ819" s="1" t="s">
        <v>74</v>
      </c>
      <c r="BK819" s="1" t="s">
        <v>74</v>
      </c>
      <c r="BL819" s="1" t="s">
        <v>74</v>
      </c>
      <c r="BM819" s="1" t="s">
        <v>74</v>
      </c>
      <c r="BN819" s="1">
        <v>3.3923315E7</v>
      </c>
      <c r="BO819" s="1" t="s">
        <v>74</v>
      </c>
      <c r="BP819" s="1" t="s">
        <v>74</v>
      </c>
      <c r="BQ819" s="1" t="s">
        <v>74</v>
      </c>
      <c r="BR819" s="1" t="s">
        <v>74</v>
      </c>
      <c r="BS819" s="1" t="s">
        <v>8195</v>
      </c>
      <c r="BT819" s="1" t="str">
        <f>HYPERLINK("https%3A%2F%2Fwww.webofscience.com%2Fwos%2Fwoscc%2Ffull-record%2FWOS:000653376200001","View Full Record in Web of Science")</f>
        <v>View Full Record in Web of Science</v>
      </c>
    </row>
    <row r="820" ht="12.75" customHeight="1">
      <c r="A820" s="1" t="s">
        <v>72</v>
      </c>
      <c r="B820" s="1" t="s">
        <v>8196</v>
      </c>
      <c r="C820" s="1" t="s">
        <v>74</v>
      </c>
      <c r="D820" s="1" t="s">
        <v>74</v>
      </c>
      <c r="E820" s="1" t="s">
        <v>74</v>
      </c>
      <c r="F820" s="1" t="s">
        <v>8197</v>
      </c>
      <c r="G820" s="1" t="s">
        <v>74</v>
      </c>
      <c r="H820" s="1" t="s">
        <v>74</v>
      </c>
      <c r="I820" s="1" t="s">
        <v>8198</v>
      </c>
      <c r="J820" s="1" t="s">
        <v>8199</v>
      </c>
      <c r="K820" s="1" t="s">
        <v>74</v>
      </c>
      <c r="L820" s="1" t="s">
        <v>74</v>
      </c>
      <c r="M820" s="1" t="s">
        <v>74</v>
      </c>
      <c r="N820" s="1" t="s">
        <v>74</v>
      </c>
      <c r="O820" s="1" t="s">
        <v>74</v>
      </c>
      <c r="P820" s="1" t="s">
        <v>74</v>
      </c>
      <c r="Q820" s="1" t="s">
        <v>74</v>
      </c>
      <c r="R820" s="1" t="s">
        <v>74</v>
      </c>
      <c r="S820" s="1" t="s">
        <v>74</v>
      </c>
      <c r="T820" s="1" t="s">
        <v>74</v>
      </c>
      <c r="U820" s="1" t="s">
        <v>74</v>
      </c>
      <c r="V820" s="1" t="s">
        <v>8200</v>
      </c>
      <c r="W820" s="1" t="s">
        <v>74</v>
      </c>
      <c r="X820" s="1" t="s">
        <v>74</v>
      </c>
      <c r="Y820" s="1" t="s">
        <v>74</v>
      </c>
      <c r="Z820" s="1" t="s">
        <v>74</v>
      </c>
      <c r="AA820" s="1" t="s">
        <v>8201</v>
      </c>
      <c r="AB820" s="1" t="s">
        <v>8202</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8203</v>
      </c>
      <c r="AP820" s="1" t="s">
        <v>74</v>
      </c>
      <c r="AQ820" s="1" t="s">
        <v>74</v>
      </c>
      <c r="AR820" s="1" t="s">
        <v>74</v>
      </c>
      <c r="AS820" s="1" t="s">
        <v>74</v>
      </c>
      <c r="AT820" s="1" t="s">
        <v>4036</v>
      </c>
      <c r="AU820" s="1">
        <v>2021.0</v>
      </c>
      <c r="AV820" s="1">
        <v>5.0</v>
      </c>
      <c r="AW820" s="1">
        <v>2.0</v>
      </c>
      <c r="AX820" s="1" t="s">
        <v>74</v>
      </c>
      <c r="AY820" s="1" t="s">
        <v>74</v>
      </c>
      <c r="AZ820" s="1" t="s">
        <v>74</v>
      </c>
      <c r="BA820" s="1" t="s">
        <v>74</v>
      </c>
      <c r="BB820" s="1" t="s">
        <v>74</v>
      </c>
      <c r="BC820" s="1" t="s">
        <v>74</v>
      </c>
      <c r="BD820" s="1">
        <v>25601.0</v>
      </c>
      <c r="BE820" s="1" t="s">
        <v>8204</v>
      </c>
      <c r="BF820" s="2" t="str">
        <f>HYPERLINK("http://dx.doi.org/10.1103/PhysRevMaterials.5.025601","http://dx.doi.org/10.1103/PhysRevMaterials.5.025601")</f>
        <v>http://dx.doi.org/10.1103/PhysRevMaterials.5.025601</v>
      </c>
      <c r="BG820" s="1" t="s">
        <v>74</v>
      </c>
      <c r="BH820" s="1" t="s">
        <v>74</v>
      </c>
      <c r="BI820" s="1" t="s">
        <v>74</v>
      </c>
      <c r="BJ820" s="1" t="s">
        <v>74</v>
      </c>
      <c r="BK820" s="1" t="s">
        <v>74</v>
      </c>
      <c r="BL820" s="1" t="s">
        <v>74</v>
      </c>
      <c r="BM820" s="1" t="s">
        <v>74</v>
      </c>
      <c r="BN820" s="1" t="s">
        <v>74</v>
      </c>
      <c r="BO820" s="1" t="s">
        <v>74</v>
      </c>
      <c r="BP820" s="1" t="s">
        <v>74</v>
      </c>
      <c r="BQ820" s="1" t="s">
        <v>74</v>
      </c>
      <c r="BR820" s="1" t="s">
        <v>74</v>
      </c>
      <c r="BS820" s="1" t="s">
        <v>8205</v>
      </c>
      <c r="BT820" s="1" t="str">
        <f>HYPERLINK("https%3A%2F%2Fwww.webofscience.com%2Fwos%2Fwoscc%2Ffull-record%2FWOS:000618146300003","View Full Record in Web of Science")</f>
        <v>View Full Record in Web of Science</v>
      </c>
    </row>
    <row r="821" ht="12.75" customHeight="1">
      <c r="A821" s="1" t="s">
        <v>72</v>
      </c>
      <c r="B821" s="1" t="s">
        <v>8206</v>
      </c>
      <c r="C821" s="1" t="s">
        <v>74</v>
      </c>
      <c r="D821" s="1" t="s">
        <v>74</v>
      </c>
      <c r="E821" s="1" t="s">
        <v>74</v>
      </c>
      <c r="F821" s="1" t="s">
        <v>8207</v>
      </c>
      <c r="G821" s="1" t="s">
        <v>74</v>
      </c>
      <c r="H821" s="1" t="s">
        <v>74</v>
      </c>
      <c r="I821" s="1" t="s">
        <v>8208</v>
      </c>
      <c r="J821" s="1" t="s">
        <v>8209</v>
      </c>
      <c r="K821" s="1" t="s">
        <v>74</v>
      </c>
      <c r="L821" s="1" t="s">
        <v>74</v>
      </c>
      <c r="M821" s="1" t="s">
        <v>74</v>
      </c>
      <c r="N821" s="1" t="s">
        <v>74</v>
      </c>
      <c r="O821" s="1" t="s">
        <v>74</v>
      </c>
      <c r="P821" s="1" t="s">
        <v>74</v>
      </c>
      <c r="Q821" s="1" t="s">
        <v>74</v>
      </c>
      <c r="R821" s="1" t="s">
        <v>74</v>
      </c>
      <c r="S821" s="1" t="s">
        <v>74</v>
      </c>
      <c r="T821" s="1" t="s">
        <v>74</v>
      </c>
      <c r="U821" s="1" t="s">
        <v>74</v>
      </c>
      <c r="V821" s="1" t="s">
        <v>8210</v>
      </c>
      <c r="W821" s="1" t="s">
        <v>74</v>
      </c>
      <c r="X821" s="1" t="s">
        <v>74</v>
      </c>
      <c r="Y821" s="1" t="s">
        <v>74</v>
      </c>
      <c r="Z821" s="1" t="s">
        <v>74</v>
      </c>
      <c r="AA821" s="1" t="s">
        <v>8211</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8212</v>
      </c>
      <c r="AP821" s="1" t="s">
        <v>8213</v>
      </c>
      <c r="AQ821" s="1" t="s">
        <v>74</v>
      </c>
      <c r="AR821" s="1" t="s">
        <v>74</v>
      </c>
      <c r="AS821" s="1" t="s">
        <v>74</v>
      </c>
      <c r="AT821" s="1" t="s">
        <v>6994</v>
      </c>
      <c r="AU821" s="1">
        <v>2020.0</v>
      </c>
      <c r="AV821" s="1">
        <v>20.0</v>
      </c>
      <c r="AW821" s="1">
        <v>10.0</v>
      </c>
      <c r="AX821" s="1" t="s">
        <v>74</v>
      </c>
      <c r="AY821" s="1" t="s">
        <v>74</v>
      </c>
      <c r="AZ821" s="1" t="s">
        <v>74</v>
      </c>
      <c r="BA821" s="1" t="s">
        <v>74</v>
      </c>
      <c r="BB821" s="1">
        <v>773.0</v>
      </c>
      <c r="BC821" s="1">
        <v>781.0</v>
      </c>
      <c r="BD821" s="1" t="s">
        <v>74</v>
      </c>
      <c r="BE821" s="1" t="s">
        <v>8214</v>
      </c>
      <c r="BF821" s="2" t="str">
        <f>HYPERLINK("http://dx.doi.org/10.1089/vbz.2019.2610","http://dx.doi.org/10.1089/vbz.2019.2610")</f>
        <v>http://dx.doi.org/10.1089/vbz.2019.2610</v>
      </c>
      <c r="BG821" s="1" t="s">
        <v>74</v>
      </c>
      <c r="BH821" s="1" t="s">
        <v>857</v>
      </c>
      <c r="BI821" s="1" t="s">
        <v>74</v>
      </c>
      <c r="BJ821" s="1" t="s">
        <v>74</v>
      </c>
      <c r="BK821" s="1" t="s">
        <v>74</v>
      </c>
      <c r="BL821" s="1" t="s">
        <v>74</v>
      </c>
      <c r="BM821" s="1" t="s">
        <v>74</v>
      </c>
      <c r="BN821" s="1">
        <v>3.2471329E7</v>
      </c>
      <c r="BO821" s="1" t="s">
        <v>74</v>
      </c>
      <c r="BP821" s="1" t="s">
        <v>74</v>
      </c>
      <c r="BQ821" s="1" t="s">
        <v>74</v>
      </c>
      <c r="BR821" s="1" t="s">
        <v>74</v>
      </c>
      <c r="BS821" s="1" t="s">
        <v>8215</v>
      </c>
      <c r="BT821" s="1" t="str">
        <f>HYPERLINK("https%3A%2F%2Fwww.webofscience.com%2Fwos%2Fwoscc%2Ffull-record%2FWOS:000538098400001","View Full Record in Web of Science")</f>
        <v>View Full Record in Web of Science</v>
      </c>
    </row>
    <row r="822" ht="12.75" customHeight="1">
      <c r="A822" s="1" t="s">
        <v>72</v>
      </c>
      <c r="B822" s="1" t="s">
        <v>8216</v>
      </c>
      <c r="C822" s="1" t="s">
        <v>74</v>
      </c>
      <c r="D822" s="1" t="s">
        <v>74</v>
      </c>
      <c r="E822" s="1" t="s">
        <v>74</v>
      </c>
      <c r="F822" s="1" t="s">
        <v>8217</v>
      </c>
      <c r="G822" s="1" t="s">
        <v>74</v>
      </c>
      <c r="H822" s="1" t="s">
        <v>74</v>
      </c>
      <c r="I822" s="1" t="s">
        <v>8218</v>
      </c>
      <c r="J822" s="1" t="s">
        <v>2458</v>
      </c>
      <c r="K822" s="1" t="s">
        <v>74</v>
      </c>
      <c r="L822" s="1" t="s">
        <v>74</v>
      </c>
      <c r="M822" s="1" t="s">
        <v>74</v>
      </c>
      <c r="N822" s="1" t="s">
        <v>74</v>
      </c>
      <c r="O822" s="1" t="s">
        <v>74</v>
      </c>
      <c r="P822" s="1" t="s">
        <v>74</v>
      </c>
      <c r="Q822" s="1" t="s">
        <v>74</v>
      </c>
      <c r="R822" s="1" t="s">
        <v>74</v>
      </c>
      <c r="S822" s="1" t="s">
        <v>74</v>
      </c>
      <c r="T822" s="1" t="s">
        <v>74</v>
      </c>
      <c r="U822" s="1" t="s">
        <v>74</v>
      </c>
      <c r="V822" s="1" t="s">
        <v>8219</v>
      </c>
      <c r="W822" s="1" t="s">
        <v>74</v>
      </c>
      <c r="X822" s="1" t="s">
        <v>74</v>
      </c>
      <c r="Y822" s="1" t="s">
        <v>74</v>
      </c>
      <c r="Z822" s="1" t="s">
        <v>74</v>
      </c>
      <c r="AA822" s="1" t="s">
        <v>8220</v>
      </c>
      <c r="AB822" s="1" t="s">
        <v>8221</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2462</v>
      </c>
      <c r="AP822" s="1" t="s">
        <v>2463</v>
      </c>
      <c r="AQ822" s="1" t="s">
        <v>74</v>
      </c>
      <c r="AR822" s="1" t="s">
        <v>74</v>
      </c>
      <c r="AS822" s="1" t="s">
        <v>74</v>
      </c>
      <c r="AT822" s="1" t="s">
        <v>74</v>
      </c>
      <c r="AU822" s="1">
        <v>2020.0</v>
      </c>
      <c r="AV822" s="1">
        <v>77.0</v>
      </c>
      <c r="AW822" s="1">
        <v>1.0</v>
      </c>
      <c r="AX822" s="1" t="s">
        <v>74</v>
      </c>
      <c r="AY822" s="1" t="s">
        <v>74</v>
      </c>
      <c r="AZ822" s="1" t="s">
        <v>74</v>
      </c>
      <c r="BA822" s="1" t="s">
        <v>74</v>
      </c>
      <c r="BB822" s="1">
        <v>33.0</v>
      </c>
      <c r="BC822" s="1">
        <v>51.0</v>
      </c>
      <c r="BD822" s="1" t="s">
        <v>74</v>
      </c>
      <c r="BE822" s="1" t="s">
        <v>8222</v>
      </c>
      <c r="BF822" s="2" t="str">
        <f>HYPERLINK("http://dx.doi.org/10.3233/JAD-200443","http://dx.doi.org/10.3233/JAD-200443")</f>
        <v>http://dx.doi.org/10.3233/JAD-200443</v>
      </c>
      <c r="BG822" s="1" t="s">
        <v>74</v>
      </c>
      <c r="BH822" s="1" t="s">
        <v>74</v>
      </c>
      <c r="BI822" s="1" t="s">
        <v>74</v>
      </c>
      <c r="BJ822" s="1" t="s">
        <v>74</v>
      </c>
      <c r="BK822" s="1" t="s">
        <v>74</v>
      </c>
      <c r="BL822" s="1" t="s">
        <v>74</v>
      </c>
      <c r="BM822" s="1" t="s">
        <v>74</v>
      </c>
      <c r="BN822" s="1">
        <v>3.2651325E7</v>
      </c>
      <c r="BO822" s="1" t="s">
        <v>74</v>
      </c>
      <c r="BP822" s="1" t="s">
        <v>74</v>
      </c>
      <c r="BQ822" s="1" t="s">
        <v>74</v>
      </c>
      <c r="BR822" s="1" t="s">
        <v>74</v>
      </c>
      <c r="BS822" s="1" t="s">
        <v>8223</v>
      </c>
      <c r="BT822" s="1" t="str">
        <f>HYPERLINK("https%3A%2F%2Fwww.webofscience.com%2Fwos%2Fwoscc%2Ffull-record%2FWOS:000568816600003","View Full Record in Web of Science")</f>
        <v>View Full Record in Web of Science</v>
      </c>
    </row>
    <row r="823" ht="12.75" customHeight="1">
      <c r="A823" s="1" t="s">
        <v>72</v>
      </c>
      <c r="B823" s="1" t="s">
        <v>8224</v>
      </c>
      <c r="C823" s="1" t="s">
        <v>74</v>
      </c>
      <c r="D823" s="1" t="s">
        <v>74</v>
      </c>
      <c r="E823" s="1" t="s">
        <v>74</v>
      </c>
      <c r="F823" s="1" t="s">
        <v>8225</v>
      </c>
      <c r="G823" s="1" t="s">
        <v>74</v>
      </c>
      <c r="H823" s="1" t="s">
        <v>74</v>
      </c>
      <c r="I823" s="1" t="s">
        <v>8226</v>
      </c>
      <c r="J823" s="1" t="s">
        <v>8227</v>
      </c>
      <c r="K823" s="1" t="s">
        <v>74</v>
      </c>
      <c r="L823" s="1" t="s">
        <v>74</v>
      </c>
      <c r="M823" s="1" t="s">
        <v>74</v>
      </c>
      <c r="N823" s="1" t="s">
        <v>74</v>
      </c>
      <c r="O823" s="1" t="s">
        <v>74</v>
      </c>
      <c r="P823" s="1" t="s">
        <v>74</v>
      </c>
      <c r="Q823" s="1" t="s">
        <v>74</v>
      </c>
      <c r="R823" s="1" t="s">
        <v>74</v>
      </c>
      <c r="S823" s="1" t="s">
        <v>74</v>
      </c>
      <c r="T823" s="1" t="s">
        <v>74</v>
      </c>
      <c r="U823" s="1" t="s">
        <v>74</v>
      </c>
      <c r="V823" s="1" t="s">
        <v>8228</v>
      </c>
      <c r="W823" s="1" t="s">
        <v>74</v>
      </c>
      <c r="X823" s="1" t="s">
        <v>74</v>
      </c>
      <c r="Y823" s="1" t="s">
        <v>74</v>
      </c>
      <c r="Z823" s="1" t="s">
        <v>74</v>
      </c>
      <c r="AA823" s="1" t="s">
        <v>8229</v>
      </c>
      <c r="AB823" s="1" t="s">
        <v>8230</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8231</v>
      </c>
      <c r="AP823" s="1" t="s">
        <v>8232</v>
      </c>
      <c r="AQ823" s="1" t="s">
        <v>74</v>
      </c>
      <c r="AR823" s="1" t="s">
        <v>74</v>
      </c>
      <c r="AS823" s="1" t="s">
        <v>74</v>
      </c>
      <c r="AT823" s="1" t="s">
        <v>3227</v>
      </c>
      <c r="AU823" s="1">
        <v>2019.0</v>
      </c>
      <c r="AV823" s="1">
        <v>482.0</v>
      </c>
      <c r="AW823" s="1" t="s">
        <v>74</v>
      </c>
      <c r="AX823" s="1" t="s">
        <v>74</v>
      </c>
      <c r="AY823" s="1" t="s">
        <v>74</v>
      </c>
      <c r="AZ823" s="1" t="s">
        <v>74</v>
      </c>
      <c r="BA823" s="1" t="s">
        <v>74</v>
      </c>
      <c r="BB823" s="1" t="s">
        <v>74</v>
      </c>
      <c r="BC823" s="1" t="s">
        <v>74</v>
      </c>
      <c r="BD823" s="1">
        <v>107738.0</v>
      </c>
      <c r="BE823" s="1" t="s">
        <v>8233</v>
      </c>
      <c r="BF823" s="2" t="str">
        <f>HYPERLINK("http://dx.doi.org/10.1016/j.carres.2019.06.017","http://dx.doi.org/10.1016/j.carres.2019.06.017")</f>
        <v>http://dx.doi.org/10.1016/j.carres.2019.06.017</v>
      </c>
      <c r="BG823" s="1" t="s">
        <v>74</v>
      </c>
      <c r="BH823" s="1" t="s">
        <v>74</v>
      </c>
      <c r="BI823" s="1" t="s">
        <v>74</v>
      </c>
      <c r="BJ823" s="1" t="s">
        <v>74</v>
      </c>
      <c r="BK823" s="1" t="s">
        <v>74</v>
      </c>
      <c r="BL823" s="1" t="s">
        <v>74</v>
      </c>
      <c r="BM823" s="1" t="s">
        <v>74</v>
      </c>
      <c r="BN823" s="1">
        <v>3.1280019E7</v>
      </c>
      <c r="BO823" s="1" t="s">
        <v>74</v>
      </c>
      <c r="BP823" s="1" t="s">
        <v>74</v>
      </c>
      <c r="BQ823" s="1" t="s">
        <v>74</v>
      </c>
      <c r="BR823" s="1" t="s">
        <v>74</v>
      </c>
      <c r="BS823" s="1" t="s">
        <v>8234</v>
      </c>
      <c r="BT823" s="1" t="str">
        <f>HYPERLINK("https%3A%2F%2Fwww.webofscience.com%2Fwos%2Fwoscc%2Ffull-record%2FWOS:000487200000007","View Full Record in Web of Science")</f>
        <v>View Full Record in Web of Science</v>
      </c>
    </row>
    <row r="824" ht="12.75" customHeight="1">
      <c r="A824" s="1" t="s">
        <v>72</v>
      </c>
      <c r="B824" s="1" t="s">
        <v>8235</v>
      </c>
      <c r="C824" s="1" t="s">
        <v>74</v>
      </c>
      <c r="D824" s="1" t="s">
        <v>74</v>
      </c>
      <c r="E824" s="1" t="s">
        <v>74</v>
      </c>
      <c r="F824" s="1" t="s">
        <v>8236</v>
      </c>
      <c r="G824" s="1" t="s">
        <v>74</v>
      </c>
      <c r="H824" s="1" t="s">
        <v>74</v>
      </c>
      <c r="I824" s="1" t="s">
        <v>8237</v>
      </c>
      <c r="J824" s="1" t="s">
        <v>8238</v>
      </c>
      <c r="K824" s="1" t="s">
        <v>74</v>
      </c>
      <c r="L824" s="1" t="s">
        <v>74</v>
      </c>
      <c r="M824" s="1" t="s">
        <v>74</v>
      </c>
      <c r="N824" s="1" t="s">
        <v>74</v>
      </c>
      <c r="O824" s="1" t="s">
        <v>74</v>
      </c>
      <c r="P824" s="1" t="s">
        <v>74</v>
      </c>
      <c r="Q824" s="1" t="s">
        <v>74</v>
      </c>
      <c r="R824" s="1" t="s">
        <v>74</v>
      </c>
      <c r="S824" s="1" t="s">
        <v>74</v>
      </c>
      <c r="T824" s="1" t="s">
        <v>74</v>
      </c>
      <c r="U824" s="1" t="s">
        <v>74</v>
      </c>
      <c r="V824" s="1" t="s">
        <v>8239</v>
      </c>
      <c r="W824" s="1" t="s">
        <v>74</v>
      </c>
      <c r="X824" s="1" t="s">
        <v>74</v>
      </c>
      <c r="Y824" s="1" t="s">
        <v>74</v>
      </c>
      <c r="Z824" s="1" t="s">
        <v>74</v>
      </c>
      <c r="AA824" s="1" t="s">
        <v>8240</v>
      </c>
      <c r="AB824" s="1" t="s">
        <v>8241</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8242</v>
      </c>
      <c r="AP824" s="1" t="s">
        <v>8243</v>
      </c>
      <c r="AQ824" s="1" t="s">
        <v>74</v>
      </c>
      <c r="AR824" s="1" t="s">
        <v>74</v>
      </c>
      <c r="AS824" s="1" t="s">
        <v>74</v>
      </c>
      <c r="AT824" s="1" t="s">
        <v>5813</v>
      </c>
      <c r="AU824" s="1">
        <v>2019.0</v>
      </c>
      <c r="AV824" s="1">
        <v>8.0</v>
      </c>
      <c r="AW824" s="1">
        <v>3.0</v>
      </c>
      <c r="AX824" s="1" t="s">
        <v>74</v>
      </c>
      <c r="AY824" s="1" t="s">
        <v>74</v>
      </c>
      <c r="AZ824" s="1" t="s">
        <v>74</v>
      </c>
      <c r="BA824" s="1" t="s">
        <v>74</v>
      </c>
      <c r="BB824" s="1">
        <v>2969.0</v>
      </c>
      <c r="BC824" s="1">
        <v>2977.0</v>
      </c>
      <c r="BD824" s="1" t="s">
        <v>74</v>
      </c>
      <c r="BE824" s="1" t="s">
        <v>8244</v>
      </c>
      <c r="BF824" s="2" t="str">
        <f>HYPERLINK("http://dx.doi.org/10.1016/j.jmrt.2019.05.004","http://dx.doi.org/10.1016/j.jmrt.2019.05.004")</f>
        <v>http://dx.doi.org/10.1016/j.jmrt.2019.05.004</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8245</v>
      </c>
      <c r="BT824" s="1" t="str">
        <f>HYPERLINK("https%3A%2F%2Fwww.webofscience.com%2Fwos%2Fwoscc%2Ffull-record%2FWOS:000470755800047","View Full Record in Web of Science")</f>
        <v>View Full Record in Web of Science</v>
      </c>
    </row>
    <row r="825" ht="12.75" customHeight="1">
      <c r="A825" s="1" t="s">
        <v>72</v>
      </c>
      <c r="B825" s="1" t="s">
        <v>8246</v>
      </c>
      <c r="C825" s="1" t="s">
        <v>74</v>
      </c>
      <c r="D825" s="1" t="s">
        <v>74</v>
      </c>
      <c r="E825" s="1" t="s">
        <v>74</v>
      </c>
      <c r="F825" s="1" t="s">
        <v>8247</v>
      </c>
      <c r="G825" s="1" t="s">
        <v>74</v>
      </c>
      <c r="H825" s="1" t="s">
        <v>74</v>
      </c>
      <c r="I825" s="1" t="s">
        <v>8248</v>
      </c>
      <c r="J825" s="1" t="s">
        <v>1206</v>
      </c>
      <c r="K825" s="1" t="s">
        <v>74</v>
      </c>
      <c r="L825" s="1" t="s">
        <v>74</v>
      </c>
      <c r="M825" s="1" t="s">
        <v>74</v>
      </c>
      <c r="N825" s="1" t="s">
        <v>74</v>
      </c>
      <c r="O825" s="1" t="s">
        <v>74</v>
      </c>
      <c r="P825" s="1" t="s">
        <v>74</v>
      </c>
      <c r="Q825" s="1" t="s">
        <v>74</v>
      </c>
      <c r="R825" s="1" t="s">
        <v>74</v>
      </c>
      <c r="S825" s="1" t="s">
        <v>74</v>
      </c>
      <c r="T825" s="1" t="s">
        <v>74</v>
      </c>
      <c r="U825" s="1" t="s">
        <v>74</v>
      </c>
      <c r="V825" s="1" t="s">
        <v>8249</v>
      </c>
      <c r="W825" s="1" t="s">
        <v>74</v>
      </c>
      <c r="X825" s="1" t="s">
        <v>74</v>
      </c>
      <c r="Y825" s="1" t="s">
        <v>74</v>
      </c>
      <c r="Z825" s="1" t="s">
        <v>74</v>
      </c>
      <c r="AA825" s="1" t="s">
        <v>8250</v>
      </c>
      <c r="AB825" s="1" t="s">
        <v>74</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1210</v>
      </c>
      <c r="AP825" s="1" t="s">
        <v>1211</v>
      </c>
      <c r="AQ825" s="1" t="s">
        <v>74</v>
      </c>
      <c r="AR825" s="1" t="s">
        <v>74</v>
      </c>
      <c r="AS825" s="1" t="s">
        <v>74</v>
      </c>
      <c r="AT825" s="1" t="s">
        <v>308</v>
      </c>
      <c r="AU825" s="1">
        <v>2019.0</v>
      </c>
      <c r="AV825" s="1">
        <v>149.0</v>
      </c>
      <c r="AW825" s="1">
        <v>2.0</v>
      </c>
      <c r="AX825" s="1" t="s">
        <v>74</v>
      </c>
      <c r="AY825" s="1" t="s">
        <v>74</v>
      </c>
      <c r="AZ825" s="1" t="s">
        <v>74</v>
      </c>
      <c r="BA825" s="1" t="s">
        <v>74</v>
      </c>
      <c r="BB825" s="1">
        <v>533.0</v>
      </c>
      <c r="BC825" s="1">
        <v>560.0</v>
      </c>
      <c r="BD825" s="1" t="s">
        <v>74</v>
      </c>
      <c r="BE825" s="1" t="s">
        <v>8251</v>
      </c>
      <c r="BF825" s="2" t="str">
        <f>HYPERLINK("http://dx.doi.org/10.1017/prm.2018.38","http://dx.doi.org/10.1017/prm.2018.38")</f>
        <v>http://dx.doi.org/10.1017/prm.2018.38</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8252</v>
      </c>
      <c r="BT825" s="1" t="str">
        <f>HYPERLINK("https%3A%2F%2Fwww.webofscience.com%2Fwos%2Fwoscc%2Ffull-record%2FWOS:000464008500012","View Full Record in Web of Science")</f>
        <v>View Full Record in Web of Science</v>
      </c>
    </row>
    <row r="826" ht="12.75" customHeight="1">
      <c r="A826" s="1" t="s">
        <v>72</v>
      </c>
      <c r="B826" s="1" t="s">
        <v>8253</v>
      </c>
      <c r="C826" s="1" t="s">
        <v>74</v>
      </c>
      <c r="D826" s="1" t="s">
        <v>74</v>
      </c>
      <c r="E826" s="1" t="s">
        <v>74</v>
      </c>
      <c r="F826" s="1" t="s">
        <v>8254</v>
      </c>
      <c r="G826" s="1" t="s">
        <v>74</v>
      </c>
      <c r="H826" s="1" t="s">
        <v>74</v>
      </c>
      <c r="I826" s="1" t="s">
        <v>8255</v>
      </c>
      <c r="J826" s="1" t="s">
        <v>2552</v>
      </c>
      <c r="K826" s="1" t="s">
        <v>74</v>
      </c>
      <c r="L826" s="1" t="s">
        <v>74</v>
      </c>
      <c r="M826" s="1" t="s">
        <v>74</v>
      </c>
      <c r="N826" s="1" t="s">
        <v>74</v>
      </c>
      <c r="O826" s="1" t="s">
        <v>74</v>
      </c>
      <c r="P826" s="1" t="s">
        <v>74</v>
      </c>
      <c r="Q826" s="1" t="s">
        <v>74</v>
      </c>
      <c r="R826" s="1" t="s">
        <v>74</v>
      </c>
      <c r="S826" s="1" t="s">
        <v>74</v>
      </c>
      <c r="T826" s="1" t="s">
        <v>74</v>
      </c>
      <c r="U826" s="1" t="s">
        <v>74</v>
      </c>
      <c r="V826" s="1" t="s">
        <v>8256</v>
      </c>
      <c r="W826" s="1" t="s">
        <v>74</v>
      </c>
      <c r="X826" s="1" t="s">
        <v>74</v>
      </c>
      <c r="Y826" s="1" t="s">
        <v>74</v>
      </c>
      <c r="Z826" s="1" t="s">
        <v>74</v>
      </c>
      <c r="AA826" s="1" t="s">
        <v>8257</v>
      </c>
      <c r="AB826" s="1" t="s">
        <v>8258</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2554</v>
      </c>
      <c r="AP826" s="1" t="s">
        <v>74</v>
      </c>
      <c r="AQ826" s="1" t="s">
        <v>74</v>
      </c>
      <c r="AR826" s="1" t="s">
        <v>74</v>
      </c>
      <c r="AS826" s="1" t="s">
        <v>74</v>
      </c>
      <c r="AT826" s="1" t="s">
        <v>83</v>
      </c>
      <c r="AU826" s="1">
        <v>2016.0</v>
      </c>
      <c r="AV826" s="1">
        <v>99.0</v>
      </c>
      <c r="AW826" s="1" t="s">
        <v>74</v>
      </c>
      <c r="AX826" s="1" t="s">
        <v>74</v>
      </c>
      <c r="AY826" s="1" t="s">
        <v>74</v>
      </c>
      <c r="AZ826" s="1" t="s">
        <v>74</v>
      </c>
      <c r="BA826" s="1" t="s">
        <v>74</v>
      </c>
      <c r="BB826" s="1">
        <v>89.0</v>
      </c>
      <c r="BC826" s="1">
        <v>95.0</v>
      </c>
      <c r="BD826" s="1" t="s">
        <v>74</v>
      </c>
      <c r="BE826" s="1" t="s">
        <v>8259</v>
      </c>
      <c r="BF826" s="2" t="str">
        <f>HYPERLINK("http://dx.doi.org/10.1016/j.mineng.2016.09.019","http://dx.doi.org/10.1016/j.mineng.2016.09.019")</f>
        <v>http://dx.doi.org/10.1016/j.mineng.2016.09.019</v>
      </c>
      <c r="BG826" s="1" t="s">
        <v>74</v>
      </c>
      <c r="BH826" s="1" t="s">
        <v>74</v>
      </c>
      <c r="BI826" s="1" t="s">
        <v>74</v>
      </c>
      <c r="BJ826" s="1" t="s">
        <v>74</v>
      </c>
      <c r="BK826" s="1" t="s">
        <v>74</v>
      </c>
      <c r="BL826" s="1" t="s">
        <v>74</v>
      </c>
      <c r="BM826" s="1" t="s">
        <v>74</v>
      </c>
      <c r="BN826" s="1" t="s">
        <v>74</v>
      </c>
      <c r="BO826" s="1" t="s">
        <v>74</v>
      </c>
      <c r="BP826" s="1" t="s">
        <v>74</v>
      </c>
      <c r="BQ826" s="1" t="s">
        <v>74</v>
      </c>
      <c r="BR826" s="1" t="s">
        <v>74</v>
      </c>
      <c r="BS826" s="1" t="s">
        <v>8260</v>
      </c>
      <c r="BT826" s="1" t="str">
        <f>HYPERLINK("https%3A%2F%2Fwww.webofscience.com%2Fwos%2Fwoscc%2Ffull-record%2FWOS:000387522400010","View Full Record in Web of Science")</f>
        <v>View Full Record in Web of Science</v>
      </c>
    </row>
    <row r="827" ht="12.75" customHeight="1">
      <c r="A827" s="1" t="s">
        <v>72</v>
      </c>
      <c r="B827" s="1" t="s">
        <v>8261</v>
      </c>
      <c r="C827" s="1" t="s">
        <v>74</v>
      </c>
      <c r="D827" s="1" t="s">
        <v>74</v>
      </c>
      <c r="E827" s="1" t="s">
        <v>74</v>
      </c>
      <c r="F827" s="1" t="s">
        <v>8262</v>
      </c>
      <c r="G827" s="1" t="s">
        <v>74</v>
      </c>
      <c r="H827" s="1" t="s">
        <v>74</v>
      </c>
      <c r="I827" s="1" t="s">
        <v>8263</v>
      </c>
      <c r="J827" s="1" t="s">
        <v>1571</v>
      </c>
      <c r="K827" s="1" t="s">
        <v>74</v>
      </c>
      <c r="L827" s="1" t="s">
        <v>74</v>
      </c>
      <c r="M827" s="1" t="s">
        <v>74</v>
      </c>
      <c r="N827" s="1" t="s">
        <v>74</v>
      </c>
      <c r="O827" s="1" t="s">
        <v>74</v>
      </c>
      <c r="P827" s="1" t="s">
        <v>74</v>
      </c>
      <c r="Q827" s="1" t="s">
        <v>74</v>
      </c>
      <c r="R827" s="1" t="s">
        <v>74</v>
      </c>
      <c r="S827" s="1" t="s">
        <v>74</v>
      </c>
      <c r="T827" s="1" t="s">
        <v>74</v>
      </c>
      <c r="U827" s="1" t="s">
        <v>74</v>
      </c>
      <c r="V827" s="1" t="s">
        <v>8264</v>
      </c>
      <c r="W827" s="1" t="s">
        <v>74</v>
      </c>
      <c r="X827" s="1" t="s">
        <v>74</v>
      </c>
      <c r="Y827" s="1" t="s">
        <v>74</v>
      </c>
      <c r="Z827" s="1" t="s">
        <v>74</v>
      </c>
      <c r="AA827" s="1" t="s">
        <v>8265</v>
      </c>
      <c r="AB827" s="1" t="s">
        <v>8266</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74</v>
      </c>
      <c r="AP827" s="1" t="s">
        <v>1575</v>
      </c>
      <c r="AQ827" s="1" t="s">
        <v>74</v>
      </c>
      <c r="AR827" s="1" t="s">
        <v>74</v>
      </c>
      <c r="AS827" s="1" t="s">
        <v>74</v>
      </c>
      <c r="AT827" s="1" t="s">
        <v>151</v>
      </c>
      <c r="AU827" s="1">
        <v>2015.0</v>
      </c>
      <c r="AV827" s="1">
        <v>7.0</v>
      </c>
      <c r="AW827" s="1">
        <v>10.0</v>
      </c>
      <c r="AX827" s="1" t="s">
        <v>74</v>
      </c>
      <c r="AY827" s="1" t="s">
        <v>74</v>
      </c>
      <c r="AZ827" s="1" t="s">
        <v>74</v>
      </c>
      <c r="BA827" s="1" t="s">
        <v>74</v>
      </c>
      <c r="BB827" s="1">
        <v>14133.0</v>
      </c>
      <c r="BC827" s="1">
        <v>14152.0</v>
      </c>
      <c r="BD827" s="1" t="s">
        <v>74</v>
      </c>
      <c r="BE827" s="1" t="s">
        <v>8267</v>
      </c>
      <c r="BF827" s="2" t="str">
        <f>HYPERLINK("http://dx.doi.org/10.3390/su71014133","http://dx.doi.org/10.3390/su71014133")</f>
        <v>http://dx.doi.org/10.3390/su71014133</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8268</v>
      </c>
      <c r="BT827" s="1" t="str">
        <f>HYPERLINK("https%3A%2F%2Fwww.webofscience.com%2Fwos%2Fwoscc%2Ffull-record%2FWOS:000364328300056","View Full Record in Web of Science")</f>
        <v>View Full Record in Web of Science</v>
      </c>
    </row>
    <row r="828" ht="12.75" customHeight="1">
      <c r="A828" s="1" t="s">
        <v>72</v>
      </c>
      <c r="B828" s="1" t="s">
        <v>8269</v>
      </c>
      <c r="C828" s="1" t="s">
        <v>74</v>
      </c>
      <c r="D828" s="1" t="s">
        <v>74</v>
      </c>
      <c r="E828" s="1" t="s">
        <v>74</v>
      </c>
      <c r="F828" s="1" t="s">
        <v>8270</v>
      </c>
      <c r="G828" s="1" t="s">
        <v>74</v>
      </c>
      <c r="H828" s="1" t="s">
        <v>74</v>
      </c>
      <c r="I828" s="1" t="s">
        <v>8271</v>
      </c>
      <c r="J828" s="1" t="s">
        <v>8272</v>
      </c>
      <c r="K828" s="1" t="s">
        <v>74</v>
      </c>
      <c r="L828" s="1" t="s">
        <v>74</v>
      </c>
      <c r="M828" s="1" t="s">
        <v>74</v>
      </c>
      <c r="N828" s="1" t="s">
        <v>74</v>
      </c>
      <c r="O828" s="1" t="s">
        <v>74</v>
      </c>
      <c r="P828" s="1" t="s">
        <v>74</v>
      </c>
      <c r="Q828" s="1" t="s">
        <v>74</v>
      </c>
      <c r="R828" s="1" t="s">
        <v>74</v>
      </c>
      <c r="S828" s="1" t="s">
        <v>74</v>
      </c>
      <c r="T828" s="1" t="s">
        <v>74</v>
      </c>
      <c r="U828" s="1" t="s">
        <v>74</v>
      </c>
      <c r="V828" s="1" t="s">
        <v>74</v>
      </c>
      <c r="W828" s="1" t="s">
        <v>74</v>
      </c>
      <c r="X828" s="1" t="s">
        <v>74</v>
      </c>
      <c r="Y828" s="1" t="s">
        <v>74</v>
      </c>
      <c r="Z828" s="1" t="s">
        <v>74</v>
      </c>
      <c r="AA828" s="1" t="s">
        <v>8273</v>
      </c>
      <c r="AB828" s="1" t="s">
        <v>8274</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8275</v>
      </c>
      <c r="AP828" s="1" t="s">
        <v>74</v>
      </c>
      <c r="AQ828" s="1" t="s">
        <v>74</v>
      </c>
      <c r="AR828" s="1" t="s">
        <v>74</v>
      </c>
      <c r="AS828" s="1" t="s">
        <v>74</v>
      </c>
      <c r="AT828" s="1" t="s">
        <v>308</v>
      </c>
      <c r="AU828" s="1">
        <v>2013.0</v>
      </c>
      <c r="AV828" s="1">
        <v>15.0</v>
      </c>
      <c r="AW828" s="1">
        <v>4.0</v>
      </c>
      <c r="AX828" s="1" t="s">
        <v>74</v>
      </c>
      <c r="AY828" s="1" t="s">
        <v>320</v>
      </c>
      <c r="AZ828" s="1" t="s">
        <v>74</v>
      </c>
      <c r="BA828" s="1">
        <v>105.0</v>
      </c>
      <c r="BB828" s="1" t="s">
        <v>8276</v>
      </c>
      <c r="BC828" s="1" t="s">
        <v>8276</v>
      </c>
      <c r="BD828" s="1" t="s">
        <v>74</v>
      </c>
      <c r="BE828" s="1" t="s">
        <v>8277</v>
      </c>
      <c r="BF828" s="2" t="str">
        <f>HYPERLINK("http://dx.doi.org/10.1016/j.jcyt.2013.01.121","http://dx.doi.org/10.1016/j.jcyt.2013.01.121")</f>
        <v>http://dx.doi.org/10.1016/j.jcyt.2013.01.121</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8278</v>
      </c>
      <c r="BT828" s="1" t="str">
        <f>HYPERLINK("https%3A%2F%2Fwww.webofscience.com%2Fwos%2Fwoscc%2Ffull-record%2FWOS:000316535700104","View Full Record in Web of Science")</f>
        <v>View Full Record in Web of Science</v>
      </c>
    </row>
    <row r="829" ht="12.75" customHeight="1">
      <c r="A829" s="1" t="s">
        <v>72</v>
      </c>
      <c r="B829" s="1" t="s">
        <v>8279</v>
      </c>
      <c r="C829" s="1" t="s">
        <v>74</v>
      </c>
      <c r="D829" s="1" t="s">
        <v>74</v>
      </c>
      <c r="E829" s="1" t="s">
        <v>74</v>
      </c>
      <c r="F829" s="1" t="s">
        <v>8280</v>
      </c>
      <c r="G829" s="1" t="s">
        <v>74</v>
      </c>
      <c r="H829" s="1" t="s">
        <v>74</v>
      </c>
      <c r="I829" s="1" t="s">
        <v>8281</v>
      </c>
      <c r="J829" s="1" t="s">
        <v>8282</v>
      </c>
      <c r="K829" s="1" t="s">
        <v>74</v>
      </c>
      <c r="L829" s="1" t="s">
        <v>74</v>
      </c>
      <c r="M829" s="1" t="s">
        <v>74</v>
      </c>
      <c r="N829" s="1" t="s">
        <v>74</v>
      </c>
      <c r="O829" s="1" t="s">
        <v>74</v>
      </c>
      <c r="P829" s="1" t="s">
        <v>74</v>
      </c>
      <c r="Q829" s="1" t="s">
        <v>74</v>
      </c>
      <c r="R829" s="1" t="s">
        <v>74</v>
      </c>
      <c r="S829" s="1" t="s">
        <v>74</v>
      </c>
      <c r="T829" s="1" t="s">
        <v>74</v>
      </c>
      <c r="U829" s="1" t="s">
        <v>74</v>
      </c>
      <c r="V829" s="1" t="s">
        <v>8283</v>
      </c>
      <c r="W829" s="1" t="s">
        <v>74</v>
      </c>
      <c r="X829" s="1" t="s">
        <v>74</v>
      </c>
      <c r="Y829" s="1" t="s">
        <v>74</v>
      </c>
      <c r="Z829" s="1" t="s">
        <v>74</v>
      </c>
      <c r="AA829" s="1" t="s">
        <v>8284</v>
      </c>
      <c r="AB829" s="1" t="s">
        <v>8285</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8286</v>
      </c>
      <c r="AP829" s="1" t="s">
        <v>8287</v>
      </c>
      <c r="AQ829" s="1" t="s">
        <v>74</v>
      </c>
      <c r="AR829" s="1" t="s">
        <v>74</v>
      </c>
      <c r="AS829" s="1" t="s">
        <v>74</v>
      </c>
      <c r="AT829" s="1" t="s">
        <v>74</v>
      </c>
      <c r="AU829" s="1">
        <v>2013.0</v>
      </c>
      <c r="AV829" s="1">
        <v>84.0</v>
      </c>
      <c r="AW829" s="1" t="s">
        <v>4351</v>
      </c>
      <c r="AX829" s="1" t="s">
        <v>74</v>
      </c>
      <c r="AY829" s="1" t="s">
        <v>74</v>
      </c>
      <c r="AZ829" s="1" t="s">
        <v>74</v>
      </c>
      <c r="BA829" s="1" t="s">
        <v>74</v>
      </c>
      <c r="BB829" s="1">
        <v>47.0</v>
      </c>
      <c r="BC829" s="1">
        <v>60.0</v>
      </c>
      <c r="BD829" s="1" t="s">
        <v>74</v>
      </c>
      <c r="BE829" s="1" t="s">
        <v>8288</v>
      </c>
      <c r="BF829" s="2" t="str">
        <f>HYPERLINK("http://dx.doi.org/10.3233/ASY-131169","http://dx.doi.org/10.3233/ASY-131169")</f>
        <v>http://dx.doi.org/10.3233/ASY-131169</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8289</v>
      </c>
      <c r="BT829" s="1" t="str">
        <f>HYPERLINK("https%3A%2F%2Fwww.webofscience.com%2Fwos%2Fwoscc%2Ffull-record%2FWOS:000322831900004","View Full Record in Web of Science")</f>
        <v>View Full Record in Web of Science</v>
      </c>
    </row>
    <row r="830" ht="12.75" customHeight="1">
      <c r="A830" s="1" t="s">
        <v>72</v>
      </c>
      <c r="B830" s="1" t="s">
        <v>8290</v>
      </c>
      <c r="C830" s="1" t="s">
        <v>74</v>
      </c>
      <c r="D830" s="1" t="s">
        <v>74</v>
      </c>
      <c r="E830" s="1" t="s">
        <v>74</v>
      </c>
      <c r="F830" s="1" t="s">
        <v>8291</v>
      </c>
      <c r="G830" s="1" t="s">
        <v>74</v>
      </c>
      <c r="H830" s="1" t="s">
        <v>74</v>
      </c>
      <c r="I830" s="1" t="s">
        <v>8292</v>
      </c>
      <c r="J830" s="1" t="s">
        <v>1184</v>
      </c>
      <c r="K830" s="1" t="s">
        <v>74</v>
      </c>
      <c r="L830" s="1" t="s">
        <v>74</v>
      </c>
      <c r="M830" s="1" t="s">
        <v>74</v>
      </c>
      <c r="N830" s="1" t="s">
        <v>74</v>
      </c>
      <c r="O830" s="1" t="s">
        <v>74</v>
      </c>
      <c r="P830" s="1" t="s">
        <v>74</v>
      </c>
      <c r="Q830" s="1" t="s">
        <v>74</v>
      </c>
      <c r="R830" s="1" t="s">
        <v>74</v>
      </c>
      <c r="S830" s="1" t="s">
        <v>74</v>
      </c>
      <c r="T830" s="1" t="s">
        <v>74</v>
      </c>
      <c r="U830" s="1" t="s">
        <v>74</v>
      </c>
      <c r="V830" s="1" t="s">
        <v>8293</v>
      </c>
      <c r="W830" s="1" t="s">
        <v>74</v>
      </c>
      <c r="X830" s="1" t="s">
        <v>74</v>
      </c>
      <c r="Y830" s="1" t="s">
        <v>74</v>
      </c>
      <c r="Z830" s="1" t="s">
        <v>74</v>
      </c>
      <c r="AA830" s="1" t="s">
        <v>2130</v>
      </c>
      <c r="AB830" s="1" t="s">
        <v>2131</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1188</v>
      </c>
      <c r="AP830" s="1" t="s">
        <v>74</v>
      </c>
      <c r="AQ830" s="1" t="s">
        <v>74</v>
      </c>
      <c r="AR830" s="1" t="s">
        <v>74</v>
      </c>
      <c r="AS830" s="1" t="s">
        <v>74</v>
      </c>
      <c r="AT830" s="1" t="s">
        <v>822</v>
      </c>
      <c r="AU830" s="1">
        <v>2012.0</v>
      </c>
      <c r="AV830" s="1">
        <v>11.0</v>
      </c>
      <c r="AW830" s="1">
        <v>1.0</v>
      </c>
      <c r="AX830" s="1" t="s">
        <v>74</v>
      </c>
      <c r="AY830" s="1" t="s">
        <v>74</v>
      </c>
      <c r="AZ830" s="1" t="s">
        <v>74</v>
      </c>
      <c r="BA830" s="1" t="s">
        <v>74</v>
      </c>
      <c r="BB830" s="1">
        <v>35.0</v>
      </c>
      <c r="BC830" s="1">
        <v>45.0</v>
      </c>
      <c r="BD830" s="1" t="s">
        <v>74</v>
      </c>
      <c r="BE830" s="1" t="s">
        <v>74</v>
      </c>
      <c r="BF830" s="1" t="s">
        <v>74</v>
      </c>
      <c r="BG830" s="1" t="s">
        <v>74</v>
      </c>
      <c r="BH830" s="1" t="s">
        <v>74</v>
      </c>
      <c r="BI830" s="1" t="s">
        <v>74</v>
      </c>
      <c r="BJ830" s="1" t="s">
        <v>74</v>
      </c>
      <c r="BK830" s="1" t="s">
        <v>74</v>
      </c>
      <c r="BL830" s="1" t="s">
        <v>74</v>
      </c>
      <c r="BM830" s="1" t="s">
        <v>74</v>
      </c>
      <c r="BN830" s="1" t="s">
        <v>74</v>
      </c>
      <c r="BO830" s="1" t="s">
        <v>74</v>
      </c>
      <c r="BP830" s="1" t="s">
        <v>74</v>
      </c>
      <c r="BQ830" s="1" t="s">
        <v>74</v>
      </c>
      <c r="BR830" s="1" t="s">
        <v>74</v>
      </c>
      <c r="BS830" s="1" t="s">
        <v>8294</v>
      </c>
      <c r="BT830" s="1" t="str">
        <f>HYPERLINK("https%3A%2F%2Fwww.webofscience.com%2Fwos%2Fwoscc%2Ffull-record%2FWOS:000304712100005","View Full Record in Web of Science")</f>
        <v>View Full Record in Web of Science</v>
      </c>
    </row>
    <row r="831" ht="12.75" customHeight="1">
      <c r="A831" s="1" t="s">
        <v>72</v>
      </c>
      <c r="B831" s="1" t="s">
        <v>8295</v>
      </c>
      <c r="C831" s="1" t="s">
        <v>74</v>
      </c>
      <c r="D831" s="1" t="s">
        <v>74</v>
      </c>
      <c r="E831" s="1" t="s">
        <v>74</v>
      </c>
      <c r="F831" s="1" t="s">
        <v>8296</v>
      </c>
      <c r="G831" s="1" t="s">
        <v>74</v>
      </c>
      <c r="H831" s="1" t="s">
        <v>74</v>
      </c>
      <c r="I831" s="1" t="s">
        <v>8297</v>
      </c>
      <c r="J831" s="1" t="s">
        <v>787</v>
      </c>
      <c r="K831" s="1" t="s">
        <v>74</v>
      </c>
      <c r="L831" s="1" t="s">
        <v>74</v>
      </c>
      <c r="M831" s="1" t="s">
        <v>74</v>
      </c>
      <c r="N831" s="1" t="s">
        <v>74</v>
      </c>
      <c r="O831" s="1" t="s">
        <v>74</v>
      </c>
      <c r="P831" s="1" t="s">
        <v>74</v>
      </c>
      <c r="Q831" s="1" t="s">
        <v>74</v>
      </c>
      <c r="R831" s="1" t="s">
        <v>74</v>
      </c>
      <c r="S831" s="1" t="s">
        <v>74</v>
      </c>
      <c r="T831" s="1" t="s">
        <v>74</v>
      </c>
      <c r="U831" s="1" t="s">
        <v>74</v>
      </c>
      <c r="V831" s="1" t="s">
        <v>8298</v>
      </c>
      <c r="W831" s="1" t="s">
        <v>74</v>
      </c>
      <c r="X831" s="1" t="s">
        <v>74</v>
      </c>
      <c r="Y831" s="1" t="s">
        <v>74</v>
      </c>
      <c r="Z831" s="1" t="s">
        <v>74</v>
      </c>
      <c r="AA831" s="1" t="s">
        <v>8299</v>
      </c>
      <c r="AB831" s="1" t="s">
        <v>8300</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791</v>
      </c>
      <c r="AP831" s="1" t="s">
        <v>792</v>
      </c>
      <c r="AQ831" s="1" t="s">
        <v>74</v>
      </c>
      <c r="AR831" s="1" t="s">
        <v>74</v>
      </c>
      <c r="AS831" s="1" t="s">
        <v>74</v>
      </c>
      <c r="AT831" s="1" t="s">
        <v>489</v>
      </c>
      <c r="AU831" s="1">
        <v>2011.0</v>
      </c>
      <c r="AV831" s="1">
        <v>127.0</v>
      </c>
      <c r="AW831" s="1">
        <v>4.0</v>
      </c>
      <c r="AX831" s="1" t="s">
        <v>74</v>
      </c>
      <c r="AY831" s="1" t="s">
        <v>74</v>
      </c>
      <c r="AZ831" s="1" t="s">
        <v>74</v>
      </c>
      <c r="BA831" s="1" t="s">
        <v>74</v>
      </c>
      <c r="BB831" s="1">
        <v>1842.0</v>
      </c>
      <c r="BC831" s="1">
        <v>1847.0</v>
      </c>
      <c r="BD831" s="1" t="s">
        <v>74</v>
      </c>
      <c r="BE831" s="1" t="s">
        <v>8301</v>
      </c>
      <c r="BF831" s="2" t="str">
        <f>HYPERLINK("http://dx.doi.org/10.1016/j.foodchem.2011.01.132","http://dx.doi.org/10.1016/j.foodchem.2011.01.132")</f>
        <v>http://dx.doi.org/10.1016/j.foodchem.2011.01.132</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8302</v>
      </c>
      <c r="BT831" s="1" t="str">
        <f>HYPERLINK("https%3A%2F%2Fwww.webofscience.com%2Fwos%2Fwoscc%2Ffull-record%2FWOS:000289830000063","View Full Record in Web of Science")</f>
        <v>View Full Record in Web of Science</v>
      </c>
    </row>
    <row r="832" ht="12.75" customHeight="1">
      <c r="A832" s="1" t="s">
        <v>72</v>
      </c>
      <c r="B832" s="1" t="s">
        <v>8303</v>
      </c>
      <c r="C832" s="1" t="s">
        <v>74</v>
      </c>
      <c r="D832" s="1" t="s">
        <v>74</v>
      </c>
      <c r="E832" s="1" t="s">
        <v>74</v>
      </c>
      <c r="F832" s="1" t="s">
        <v>8304</v>
      </c>
      <c r="G832" s="1" t="s">
        <v>74</v>
      </c>
      <c r="H832" s="1" t="s">
        <v>74</v>
      </c>
      <c r="I832" s="1" t="s">
        <v>8305</v>
      </c>
      <c r="J832" s="1" t="s">
        <v>8306</v>
      </c>
      <c r="K832" s="1" t="s">
        <v>74</v>
      </c>
      <c r="L832" s="1" t="s">
        <v>74</v>
      </c>
      <c r="M832" s="1" t="s">
        <v>74</v>
      </c>
      <c r="N832" s="1" t="s">
        <v>74</v>
      </c>
      <c r="O832" s="1" t="s">
        <v>74</v>
      </c>
      <c r="P832" s="1" t="s">
        <v>74</v>
      </c>
      <c r="Q832" s="1" t="s">
        <v>74</v>
      </c>
      <c r="R832" s="1" t="s">
        <v>74</v>
      </c>
      <c r="S832" s="1" t="s">
        <v>74</v>
      </c>
      <c r="T832" s="1" t="s">
        <v>74</v>
      </c>
      <c r="U832" s="1" t="s">
        <v>74</v>
      </c>
      <c r="V832" s="1" t="s">
        <v>8307</v>
      </c>
      <c r="W832" s="1" t="s">
        <v>74</v>
      </c>
      <c r="X832" s="1" t="s">
        <v>74</v>
      </c>
      <c r="Y832" s="1" t="s">
        <v>74</v>
      </c>
      <c r="Z832" s="1" t="s">
        <v>74</v>
      </c>
      <c r="AA832" s="1" t="s">
        <v>8308</v>
      </c>
      <c r="AB832" s="1" t="s">
        <v>8309</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8310</v>
      </c>
      <c r="AP832" s="1" t="s">
        <v>8311</v>
      </c>
      <c r="AQ832" s="1" t="s">
        <v>74</v>
      </c>
      <c r="AR832" s="1" t="s">
        <v>74</v>
      </c>
      <c r="AS832" s="1" t="s">
        <v>74</v>
      </c>
      <c r="AT832" s="1" t="s">
        <v>94</v>
      </c>
      <c r="AU832" s="1">
        <v>2010.0</v>
      </c>
      <c r="AV832" s="1">
        <v>101.0</v>
      </c>
      <c r="AW832" s="1">
        <v>10.0</v>
      </c>
      <c r="AX832" s="1" t="s">
        <v>74</v>
      </c>
      <c r="AY832" s="1" t="s">
        <v>74</v>
      </c>
      <c r="AZ832" s="1" t="s">
        <v>74</v>
      </c>
      <c r="BA832" s="1" t="s">
        <v>74</v>
      </c>
      <c r="BB832" s="1">
        <v>3452.0</v>
      </c>
      <c r="BC832" s="1">
        <v>3456.0</v>
      </c>
      <c r="BD832" s="1" t="s">
        <v>74</v>
      </c>
      <c r="BE832" s="1" t="s">
        <v>8312</v>
      </c>
      <c r="BF832" s="2" t="str">
        <f>HYPERLINK("http://dx.doi.org/10.1016/j.biortech.2009.12.101","http://dx.doi.org/10.1016/j.biortech.2009.12.101")</f>
        <v>http://dx.doi.org/10.1016/j.biortech.2009.12.101</v>
      </c>
      <c r="BG832" s="1" t="s">
        <v>74</v>
      </c>
      <c r="BH832" s="1" t="s">
        <v>74</v>
      </c>
      <c r="BI832" s="1" t="s">
        <v>74</v>
      </c>
      <c r="BJ832" s="1" t="s">
        <v>74</v>
      </c>
      <c r="BK832" s="1" t="s">
        <v>74</v>
      </c>
      <c r="BL832" s="1" t="s">
        <v>74</v>
      </c>
      <c r="BM832" s="1" t="s">
        <v>74</v>
      </c>
      <c r="BN832" s="1">
        <v>2.0097559E7</v>
      </c>
      <c r="BO832" s="1" t="s">
        <v>74</v>
      </c>
      <c r="BP832" s="1" t="s">
        <v>74</v>
      </c>
      <c r="BQ832" s="1" t="s">
        <v>74</v>
      </c>
      <c r="BR832" s="1" t="s">
        <v>74</v>
      </c>
      <c r="BS832" s="1" t="s">
        <v>8313</v>
      </c>
      <c r="BT832" s="1" t="str">
        <f>HYPERLINK("https%3A%2F%2Fwww.webofscience.com%2Fwos%2Fwoscc%2Ffull-record%2FWOS:000275563200020","View Full Record in Web of Science")</f>
        <v>View Full Record in Web of Science</v>
      </c>
    </row>
    <row r="833" ht="12.75" customHeight="1">
      <c r="A833" s="1" t="s">
        <v>72</v>
      </c>
      <c r="B833" s="1" t="s">
        <v>8314</v>
      </c>
      <c r="C833" s="1" t="s">
        <v>74</v>
      </c>
      <c r="D833" s="1" t="s">
        <v>74</v>
      </c>
      <c r="E833" s="1" t="s">
        <v>74</v>
      </c>
      <c r="F833" s="1" t="s">
        <v>8315</v>
      </c>
      <c r="G833" s="1" t="s">
        <v>74</v>
      </c>
      <c r="H833" s="1" t="s">
        <v>74</v>
      </c>
      <c r="I833" s="1" t="s">
        <v>8316</v>
      </c>
      <c r="J833" s="1" t="s">
        <v>4357</v>
      </c>
      <c r="K833" s="1" t="s">
        <v>74</v>
      </c>
      <c r="L833" s="1" t="s">
        <v>74</v>
      </c>
      <c r="M833" s="1" t="s">
        <v>74</v>
      </c>
      <c r="N833" s="1" t="s">
        <v>74</v>
      </c>
      <c r="O833" s="1" t="s">
        <v>74</v>
      </c>
      <c r="P833" s="1" t="s">
        <v>74</v>
      </c>
      <c r="Q833" s="1" t="s">
        <v>74</v>
      </c>
      <c r="R833" s="1" t="s">
        <v>74</v>
      </c>
      <c r="S833" s="1" t="s">
        <v>74</v>
      </c>
      <c r="T833" s="1" t="s">
        <v>74</v>
      </c>
      <c r="U833" s="1" t="s">
        <v>74</v>
      </c>
      <c r="V833" s="1" t="s">
        <v>8317</v>
      </c>
      <c r="W833" s="1" t="s">
        <v>74</v>
      </c>
      <c r="X833" s="1" t="s">
        <v>74</v>
      </c>
      <c r="Y833" s="1" t="s">
        <v>74</v>
      </c>
      <c r="Z833" s="1" t="s">
        <v>74</v>
      </c>
      <c r="AA833" s="1" t="s">
        <v>5412</v>
      </c>
      <c r="AB833" s="1" t="s">
        <v>5413</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4359</v>
      </c>
      <c r="AP833" s="1" t="s">
        <v>4360</v>
      </c>
      <c r="AQ833" s="1" t="s">
        <v>74</v>
      </c>
      <c r="AR833" s="1" t="s">
        <v>74</v>
      </c>
      <c r="AS833" s="1" t="s">
        <v>74</v>
      </c>
      <c r="AT833" s="1" t="s">
        <v>8318</v>
      </c>
      <c r="AU833" s="1">
        <v>2009.0</v>
      </c>
      <c r="AV833" s="1">
        <v>43.0</v>
      </c>
      <c r="AW833" s="1">
        <v>4.0</v>
      </c>
      <c r="AX833" s="1" t="s">
        <v>74</v>
      </c>
      <c r="AY833" s="1" t="s">
        <v>74</v>
      </c>
      <c r="AZ833" s="1" t="s">
        <v>74</v>
      </c>
      <c r="BA833" s="1" t="s">
        <v>74</v>
      </c>
      <c r="BB833" s="1">
        <v>628.0</v>
      </c>
      <c r="BC833" s="1">
        <v>633.0</v>
      </c>
      <c r="BD833" s="1" t="s">
        <v>74</v>
      </c>
      <c r="BE833" s="1" t="s">
        <v>8319</v>
      </c>
      <c r="BF833" s="2" t="str">
        <f>HYPERLINK("http://dx.doi.org/10.1016/j.asr.2008.09.011","http://dx.doi.org/10.1016/j.asr.2008.09.011")</f>
        <v>http://dx.doi.org/10.1016/j.asr.2008.09.011</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8320</v>
      </c>
      <c r="BT833" s="1" t="str">
        <f>HYPERLINK("https%3A%2F%2Fwww.webofscience.com%2Fwos%2Fwoscc%2Ffull-record%2FWOS:000264217100028","View Full Record in Web of Science")</f>
        <v>View Full Record in Web of Science</v>
      </c>
    </row>
    <row r="834" ht="12.75" customHeight="1">
      <c r="A834" s="1" t="s">
        <v>72</v>
      </c>
      <c r="B834" s="1" t="s">
        <v>8321</v>
      </c>
      <c r="C834" s="1" t="s">
        <v>74</v>
      </c>
      <c r="D834" s="1" t="s">
        <v>74</v>
      </c>
      <c r="E834" s="1" t="s">
        <v>74</v>
      </c>
      <c r="F834" s="1" t="s">
        <v>8322</v>
      </c>
      <c r="G834" s="1" t="s">
        <v>74</v>
      </c>
      <c r="H834" s="1" t="s">
        <v>74</v>
      </c>
      <c r="I834" s="1" t="s">
        <v>8323</v>
      </c>
      <c r="J834" s="1" t="s">
        <v>8324</v>
      </c>
      <c r="K834" s="1" t="s">
        <v>74</v>
      </c>
      <c r="L834" s="1" t="s">
        <v>74</v>
      </c>
      <c r="M834" s="1" t="s">
        <v>74</v>
      </c>
      <c r="N834" s="1" t="s">
        <v>74</v>
      </c>
      <c r="O834" s="1" t="s">
        <v>74</v>
      </c>
      <c r="P834" s="1" t="s">
        <v>74</v>
      </c>
      <c r="Q834" s="1" t="s">
        <v>74</v>
      </c>
      <c r="R834" s="1" t="s">
        <v>74</v>
      </c>
      <c r="S834" s="1" t="s">
        <v>74</v>
      </c>
      <c r="T834" s="1" t="s">
        <v>74</v>
      </c>
      <c r="U834" s="1" t="s">
        <v>74</v>
      </c>
      <c r="V834" s="1" t="s">
        <v>8325</v>
      </c>
      <c r="W834" s="1" t="s">
        <v>74</v>
      </c>
      <c r="X834" s="1" t="s">
        <v>74</v>
      </c>
      <c r="Y834" s="1" t="s">
        <v>74</v>
      </c>
      <c r="Z834" s="1" t="s">
        <v>74</v>
      </c>
      <c r="AA834" s="1" t="s">
        <v>8326</v>
      </c>
      <c r="AB834" s="1" t="s">
        <v>8327</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8328</v>
      </c>
      <c r="AP834" s="1" t="s">
        <v>74</v>
      </c>
      <c r="AQ834" s="1" t="s">
        <v>74</v>
      </c>
      <c r="AR834" s="1" t="s">
        <v>74</v>
      </c>
      <c r="AS834" s="1" t="s">
        <v>74</v>
      </c>
      <c r="AT834" s="1" t="s">
        <v>1082</v>
      </c>
      <c r="AU834" s="1">
        <v>2008.0</v>
      </c>
      <c r="AV834" s="1">
        <v>66.0</v>
      </c>
      <c r="AW834" s="1">
        <v>1.0</v>
      </c>
      <c r="AX834" s="1" t="s">
        <v>74</v>
      </c>
      <c r="AY834" s="1" t="s">
        <v>74</v>
      </c>
      <c r="AZ834" s="1" t="s">
        <v>74</v>
      </c>
      <c r="BA834" s="1" t="s">
        <v>74</v>
      </c>
      <c r="BB834" s="1">
        <v>37.0</v>
      </c>
      <c r="BC834" s="1">
        <v>40.0</v>
      </c>
      <c r="BD834" s="1" t="s">
        <v>74</v>
      </c>
      <c r="BE834" s="1" t="s">
        <v>8329</v>
      </c>
      <c r="BF834" s="2" t="str">
        <f>HYPERLINK("http://dx.doi.org/10.1140/epjb/e2008-00385-4","http://dx.doi.org/10.1140/epjb/e2008-00385-4")</f>
        <v>http://dx.doi.org/10.1140/epjb/e2008-00385-4</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8330</v>
      </c>
      <c r="BT834" s="1" t="str">
        <f>HYPERLINK("https%3A%2F%2Fwww.webofscience.com%2Fwos%2Fwoscc%2Ffull-record%2FWOS:000262831300006","View Full Record in Web of Science")</f>
        <v>View Full Record in Web of Science</v>
      </c>
    </row>
    <row r="835" ht="12.75" customHeight="1">
      <c r="A835" s="1" t="s">
        <v>72</v>
      </c>
      <c r="B835" s="1" t="s">
        <v>8331</v>
      </c>
      <c r="C835" s="1" t="s">
        <v>74</v>
      </c>
      <c r="D835" s="1" t="s">
        <v>74</v>
      </c>
      <c r="E835" s="1" t="s">
        <v>74</v>
      </c>
      <c r="F835" s="1" t="s">
        <v>8332</v>
      </c>
      <c r="G835" s="1" t="s">
        <v>74</v>
      </c>
      <c r="H835" s="1" t="s">
        <v>74</v>
      </c>
      <c r="I835" s="1" t="s">
        <v>8333</v>
      </c>
      <c r="J835" s="1" t="s">
        <v>6900</v>
      </c>
      <c r="K835" s="1" t="s">
        <v>74</v>
      </c>
      <c r="L835" s="1" t="s">
        <v>74</v>
      </c>
      <c r="M835" s="1" t="s">
        <v>74</v>
      </c>
      <c r="N835" s="1" t="s">
        <v>74</v>
      </c>
      <c r="O835" s="1" t="s">
        <v>74</v>
      </c>
      <c r="P835" s="1" t="s">
        <v>74</v>
      </c>
      <c r="Q835" s="1" t="s">
        <v>74</v>
      </c>
      <c r="R835" s="1" t="s">
        <v>74</v>
      </c>
      <c r="S835" s="1" t="s">
        <v>74</v>
      </c>
      <c r="T835" s="1" t="s">
        <v>74</v>
      </c>
      <c r="U835" s="1" t="s">
        <v>74</v>
      </c>
      <c r="V835" s="1" t="s">
        <v>8334</v>
      </c>
      <c r="W835" s="1" t="s">
        <v>74</v>
      </c>
      <c r="X835" s="1" t="s">
        <v>74</v>
      </c>
      <c r="Y835" s="1" t="s">
        <v>74</v>
      </c>
      <c r="Z835" s="1" t="s">
        <v>74</v>
      </c>
      <c r="AA835" s="1" t="s">
        <v>8335</v>
      </c>
      <c r="AB835" s="1" t="s">
        <v>8336</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6904</v>
      </c>
      <c r="AP835" s="1" t="s">
        <v>6905</v>
      </c>
      <c r="AQ835" s="1" t="s">
        <v>74</v>
      </c>
      <c r="AR835" s="1" t="s">
        <v>74</v>
      </c>
      <c r="AS835" s="1" t="s">
        <v>74</v>
      </c>
      <c r="AT835" s="1" t="s">
        <v>8337</v>
      </c>
      <c r="AU835" s="1">
        <v>2007.0</v>
      </c>
      <c r="AV835" s="1">
        <v>364.0</v>
      </c>
      <c r="AW835" s="1">
        <v>4.0</v>
      </c>
      <c r="AX835" s="1" t="s">
        <v>74</v>
      </c>
      <c r="AY835" s="1" t="s">
        <v>74</v>
      </c>
      <c r="AZ835" s="1" t="s">
        <v>74</v>
      </c>
      <c r="BA835" s="1" t="s">
        <v>74</v>
      </c>
      <c r="BB835" s="1">
        <v>815.0</v>
      </c>
      <c r="BC835" s="1">
        <v>821.0</v>
      </c>
      <c r="BD835" s="1" t="s">
        <v>74</v>
      </c>
      <c r="BE835" s="1" t="s">
        <v>8338</v>
      </c>
      <c r="BF835" s="2" t="str">
        <f>HYPERLINK("http://dx.doi.org/10.1016/j.bbrc.2007.10.104","http://dx.doi.org/10.1016/j.bbrc.2007.10.104")</f>
        <v>http://dx.doi.org/10.1016/j.bbrc.2007.10.104</v>
      </c>
      <c r="BG835" s="1" t="s">
        <v>74</v>
      </c>
      <c r="BH835" s="1" t="s">
        <v>74</v>
      </c>
      <c r="BI835" s="1" t="s">
        <v>74</v>
      </c>
      <c r="BJ835" s="1" t="s">
        <v>74</v>
      </c>
      <c r="BK835" s="1" t="s">
        <v>74</v>
      </c>
      <c r="BL835" s="1" t="s">
        <v>74</v>
      </c>
      <c r="BM835" s="1" t="s">
        <v>74</v>
      </c>
      <c r="BN835" s="1">
        <v>1.8163243E7</v>
      </c>
      <c r="BO835" s="1" t="s">
        <v>74</v>
      </c>
      <c r="BP835" s="1" t="s">
        <v>74</v>
      </c>
      <c r="BQ835" s="1" t="s">
        <v>74</v>
      </c>
      <c r="BR835" s="1" t="s">
        <v>74</v>
      </c>
      <c r="BS835" s="1" t="s">
        <v>8339</v>
      </c>
      <c r="BT835" s="1" t="str">
        <f>HYPERLINK("https%3A%2F%2Fwww.webofscience.com%2Fwos%2Fwoscc%2Ffull-record%2FWOS:000251358500017","View Full Record in Web of Science")</f>
        <v>View Full Record in Web of Science</v>
      </c>
    </row>
    <row r="836" ht="12.75" customHeight="1">
      <c r="A836" s="1" t="s">
        <v>72</v>
      </c>
      <c r="B836" s="1" t="s">
        <v>8340</v>
      </c>
      <c r="C836" s="1" t="s">
        <v>74</v>
      </c>
      <c r="D836" s="1" t="s">
        <v>74</v>
      </c>
      <c r="E836" s="1" t="s">
        <v>74</v>
      </c>
      <c r="F836" s="1" t="s">
        <v>8341</v>
      </c>
      <c r="G836" s="1" t="s">
        <v>74</v>
      </c>
      <c r="H836" s="1" t="s">
        <v>74</v>
      </c>
      <c r="I836" s="1" t="s">
        <v>8342</v>
      </c>
      <c r="J836" s="1" t="s">
        <v>8343</v>
      </c>
      <c r="K836" s="1" t="s">
        <v>74</v>
      </c>
      <c r="L836" s="1" t="s">
        <v>74</v>
      </c>
      <c r="M836" s="1" t="s">
        <v>74</v>
      </c>
      <c r="N836" s="1" t="s">
        <v>74</v>
      </c>
      <c r="O836" s="1" t="s">
        <v>74</v>
      </c>
      <c r="P836" s="1" t="s">
        <v>74</v>
      </c>
      <c r="Q836" s="1" t="s">
        <v>74</v>
      </c>
      <c r="R836" s="1" t="s">
        <v>74</v>
      </c>
      <c r="S836" s="1" t="s">
        <v>74</v>
      </c>
      <c r="T836" s="1" t="s">
        <v>74</v>
      </c>
      <c r="U836" s="1" t="s">
        <v>74</v>
      </c>
      <c r="V836" s="1" t="s">
        <v>8344</v>
      </c>
      <c r="W836" s="1" t="s">
        <v>74</v>
      </c>
      <c r="X836" s="1" t="s">
        <v>74</v>
      </c>
      <c r="Y836" s="1" t="s">
        <v>74</v>
      </c>
      <c r="Z836" s="1" t="s">
        <v>74</v>
      </c>
      <c r="AA836" s="1" t="s">
        <v>8345</v>
      </c>
      <c r="AB836" s="1" t="s">
        <v>74</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8346</v>
      </c>
      <c r="AP836" s="1" t="s">
        <v>8347</v>
      </c>
      <c r="AQ836" s="1" t="s">
        <v>74</v>
      </c>
      <c r="AR836" s="1" t="s">
        <v>74</v>
      </c>
      <c r="AS836" s="1" t="s">
        <v>74</v>
      </c>
      <c r="AT836" s="1" t="s">
        <v>308</v>
      </c>
      <c r="AU836" s="1">
        <v>2025.0</v>
      </c>
      <c r="AV836" s="1">
        <v>235.0</v>
      </c>
      <c r="AW836" s="1" t="s">
        <v>74</v>
      </c>
      <c r="AX836" s="1" t="s">
        <v>74</v>
      </c>
      <c r="AY836" s="1" t="s">
        <v>74</v>
      </c>
      <c r="AZ836" s="1" t="s">
        <v>74</v>
      </c>
      <c r="BA836" s="1" t="s">
        <v>74</v>
      </c>
      <c r="BB836" s="1" t="s">
        <v>74</v>
      </c>
      <c r="BC836" s="1" t="s">
        <v>74</v>
      </c>
      <c r="BD836" s="1">
        <v>112585.0</v>
      </c>
      <c r="BE836" s="1" t="s">
        <v>8348</v>
      </c>
      <c r="BF836" s="2" t="str">
        <f>HYPERLINK("http://dx.doi.org/10.1016/j.dyepig.2024.112585","http://dx.doi.org/10.1016/j.dyepig.2024.112585")</f>
        <v>http://dx.doi.org/10.1016/j.dyepig.2024.112585</v>
      </c>
      <c r="BG836" s="1" t="s">
        <v>74</v>
      </c>
      <c r="BH836" s="1" t="s">
        <v>5472</v>
      </c>
      <c r="BI836" s="1" t="s">
        <v>74</v>
      </c>
      <c r="BJ836" s="1" t="s">
        <v>74</v>
      </c>
      <c r="BK836" s="1" t="s">
        <v>74</v>
      </c>
      <c r="BL836" s="1" t="s">
        <v>74</v>
      </c>
      <c r="BM836" s="1" t="s">
        <v>74</v>
      </c>
      <c r="BN836" s="1" t="s">
        <v>74</v>
      </c>
      <c r="BO836" s="1" t="s">
        <v>74</v>
      </c>
      <c r="BP836" s="1" t="s">
        <v>74</v>
      </c>
      <c r="BQ836" s="1" t="s">
        <v>74</v>
      </c>
      <c r="BR836" s="1" t="s">
        <v>74</v>
      </c>
      <c r="BS836" s="1" t="s">
        <v>8349</v>
      </c>
      <c r="BT836" s="1" t="str">
        <f>HYPERLINK("https%3A%2F%2Fwww.webofscience.com%2Fwos%2Fwoscc%2Ffull-record%2FWOS:001435492100001","View Full Record in Web of Science")</f>
        <v>View Full Record in Web of Science</v>
      </c>
    </row>
    <row r="837" ht="12.75" customHeight="1">
      <c r="A837" s="1" t="s">
        <v>72</v>
      </c>
      <c r="B837" s="1" t="s">
        <v>8350</v>
      </c>
      <c r="C837" s="1" t="s">
        <v>74</v>
      </c>
      <c r="D837" s="1" t="s">
        <v>74</v>
      </c>
      <c r="E837" s="1" t="s">
        <v>74</v>
      </c>
      <c r="F837" s="1" t="s">
        <v>8351</v>
      </c>
      <c r="G837" s="1" t="s">
        <v>74</v>
      </c>
      <c r="H837" s="1" t="s">
        <v>74</v>
      </c>
      <c r="I837" s="1" t="s">
        <v>8352</v>
      </c>
      <c r="J837" s="1" t="s">
        <v>6185</v>
      </c>
      <c r="K837" s="1" t="s">
        <v>74</v>
      </c>
      <c r="L837" s="1" t="s">
        <v>74</v>
      </c>
      <c r="M837" s="1" t="s">
        <v>74</v>
      </c>
      <c r="N837" s="1" t="s">
        <v>74</v>
      </c>
      <c r="O837" s="1" t="s">
        <v>74</v>
      </c>
      <c r="P837" s="1" t="s">
        <v>74</v>
      </c>
      <c r="Q837" s="1" t="s">
        <v>74</v>
      </c>
      <c r="R837" s="1" t="s">
        <v>74</v>
      </c>
      <c r="S837" s="1" t="s">
        <v>74</v>
      </c>
      <c r="T837" s="1" t="s">
        <v>74</v>
      </c>
      <c r="U837" s="1" t="s">
        <v>74</v>
      </c>
      <c r="V837" s="1" t="s">
        <v>8353</v>
      </c>
      <c r="W837" s="1" t="s">
        <v>74</v>
      </c>
      <c r="X837" s="1" t="s">
        <v>74</v>
      </c>
      <c r="Y837" s="1" t="s">
        <v>74</v>
      </c>
      <c r="Z837" s="1" t="s">
        <v>74</v>
      </c>
      <c r="AA837" s="1" t="s">
        <v>8354</v>
      </c>
      <c r="AB837" s="1" t="s">
        <v>8355</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6189</v>
      </c>
      <c r="AP837" s="1" t="s">
        <v>74</v>
      </c>
      <c r="AQ837" s="1" t="s">
        <v>74</v>
      </c>
      <c r="AR837" s="1" t="s">
        <v>74</v>
      </c>
      <c r="AS837" s="1" t="s">
        <v>74</v>
      </c>
      <c r="AT837" s="1" t="s">
        <v>3537</v>
      </c>
      <c r="AU837" s="1">
        <v>2022.0</v>
      </c>
      <c r="AV837" s="1">
        <v>81.0</v>
      </c>
      <c r="AW837" s="1" t="s">
        <v>74</v>
      </c>
      <c r="AX837" s="1" t="s">
        <v>74</v>
      </c>
      <c r="AY837" s="1" t="s">
        <v>74</v>
      </c>
      <c r="AZ837" s="1" t="s">
        <v>74</v>
      </c>
      <c r="BA837" s="1" t="s">
        <v>74</v>
      </c>
      <c r="BB837" s="1" t="s">
        <v>74</v>
      </c>
      <c r="BC837" s="1" t="s">
        <v>74</v>
      </c>
      <c r="BD837" s="1">
        <v>103300.0</v>
      </c>
      <c r="BE837" s="1" t="s">
        <v>8356</v>
      </c>
      <c r="BF837" s="2" t="str">
        <f>HYPERLINK("http://dx.doi.org/10.1016/j.ijdrr.2022.103300","http://dx.doi.org/10.1016/j.ijdrr.2022.103300")</f>
        <v>http://dx.doi.org/10.1016/j.ijdrr.2022.103300</v>
      </c>
      <c r="BG837" s="1" t="s">
        <v>74</v>
      </c>
      <c r="BH837" s="1" t="s">
        <v>7935</v>
      </c>
      <c r="BI837" s="1" t="s">
        <v>74</v>
      </c>
      <c r="BJ837" s="1" t="s">
        <v>74</v>
      </c>
      <c r="BK837" s="1" t="s">
        <v>74</v>
      </c>
      <c r="BL837" s="1" t="s">
        <v>74</v>
      </c>
      <c r="BM837" s="1" t="s">
        <v>74</v>
      </c>
      <c r="BN837" s="1" t="s">
        <v>74</v>
      </c>
      <c r="BO837" s="1" t="s">
        <v>74</v>
      </c>
      <c r="BP837" s="1" t="s">
        <v>74</v>
      </c>
      <c r="BQ837" s="1" t="s">
        <v>74</v>
      </c>
      <c r="BR837" s="1" t="s">
        <v>74</v>
      </c>
      <c r="BS837" s="1" t="s">
        <v>8357</v>
      </c>
      <c r="BT837" s="1" t="str">
        <f>HYPERLINK("https%3A%2F%2Fwww.webofscience.com%2Fwos%2Fwoscc%2Ffull-record%2FWOS:000876358100007","View Full Record in Web of Science")</f>
        <v>View Full Record in Web of Science</v>
      </c>
    </row>
    <row r="838" ht="12.75" customHeight="1">
      <c r="A838" s="1" t="s">
        <v>72</v>
      </c>
      <c r="B838" s="1" t="s">
        <v>8358</v>
      </c>
      <c r="C838" s="1" t="s">
        <v>74</v>
      </c>
      <c r="D838" s="1" t="s">
        <v>74</v>
      </c>
      <c r="E838" s="1" t="s">
        <v>74</v>
      </c>
      <c r="F838" s="1" t="s">
        <v>8359</v>
      </c>
      <c r="G838" s="1" t="s">
        <v>74</v>
      </c>
      <c r="H838" s="1" t="s">
        <v>74</v>
      </c>
      <c r="I838" s="1" t="s">
        <v>8360</v>
      </c>
      <c r="J838" s="1" t="s">
        <v>5769</v>
      </c>
      <c r="K838" s="1" t="s">
        <v>74</v>
      </c>
      <c r="L838" s="1" t="s">
        <v>74</v>
      </c>
      <c r="M838" s="1" t="s">
        <v>74</v>
      </c>
      <c r="N838" s="1" t="s">
        <v>74</v>
      </c>
      <c r="O838" s="1" t="s">
        <v>74</v>
      </c>
      <c r="P838" s="1" t="s">
        <v>74</v>
      </c>
      <c r="Q838" s="1" t="s">
        <v>74</v>
      </c>
      <c r="R838" s="1" t="s">
        <v>74</v>
      </c>
      <c r="S838" s="1" t="s">
        <v>74</v>
      </c>
      <c r="T838" s="1" t="s">
        <v>74</v>
      </c>
      <c r="U838" s="1" t="s">
        <v>74</v>
      </c>
      <c r="V838" s="1" t="s">
        <v>8361</v>
      </c>
      <c r="W838" s="1" t="s">
        <v>74</v>
      </c>
      <c r="X838" s="1" t="s">
        <v>74</v>
      </c>
      <c r="Y838" s="1" t="s">
        <v>74</v>
      </c>
      <c r="Z838" s="1" t="s">
        <v>74</v>
      </c>
      <c r="AA838" s="1" t="s">
        <v>8362</v>
      </c>
      <c r="AB838" s="1" t="s">
        <v>8363</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5773</v>
      </c>
      <c r="AP838" s="1" t="s">
        <v>5774</v>
      </c>
      <c r="AQ838" s="1" t="s">
        <v>74</v>
      </c>
      <c r="AR838" s="1" t="s">
        <v>74</v>
      </c>
      <c r="AS838" s="1" t="s">
        <v>74</v>
      </c>
      <c r="AT838" s="1" t="s">
        <v>151</v>
      </c>
      <c r="AU838" s="1">
        <v>2022.0</v>
      </c>
      <c r="AV838" s="1">
        <v>10.0</v>
      </c>
      <c r="AW838" s="1">
        <v>5.0</v>
      </c>
      <c r="AX838" s="1" t="s">
        <v>74</v>
      </c>
      <c r="AY838" s="1" t="s">
        <v>74</v>
      </c>
      <c r="AZ838" s="1" t="s">
        <v>74</v>
      </c>
      <c r="BA838" s="1" t="s">
        <v>74</v>
      </c>
      <c r="BB838" s="1" t="s">
        <v>74</v>
      </c>
      <c r="BC838" s="1" t="s">
        <v>74</v>
      </c>
      <c r="BD838" s="1">
        <v>108306.0</v>
      </c>
      <c r="BE838" s="1" t="s">
        <v>8364</v>
      </c>
      <c r="BF838" s="2" t="str">
        <f>HYPERLINK("http://dx.doi.org/10.1016/j.jece.2022.108306","http://dx.doi.org/10.1016/j.jece.2022.108306")</f>
        <v>http://dx.doi.org/10.1016/j.jece.2022.108306</v>
      </c>
      <c r="BG838" s="1" t="s">
        <v>74</v>
      </c>
      <c r="BH838" s="1" t="s">
        <v>3539</v>
      </c>
      <c r="BI838" s="1" t="s">
        <v>74</v>
      </c>
      <c r="BJ838" s="1" t="s">
        <v>74</v>
      </c>
      <c r="BK838" s="1" t="s">
        <v>74</v>
      </c>
      <c r="BL838" s="1" t="s">
        <v>74</v>
      </c>
      <c r="BM838" s="1" t="s">
        <v>74</v>
      </c>
      <c r="BN838" s="1" t="s">
        <v>74</v>
      </c>
      <c r="BO838" s="1" t="s">
        <v>74</v>
      </c>
      <c r="BP838" s="1" t="s">
        <v>74</v>
      </c>
      <c r="BQ838" s="1" t="s">
        <v>74</v>
      </c>
      <c r="BR838" s="1" t="s">
        <v>74</v>
      </c>
      <c r="BS838" s="1" t="s">
        <v>8365</v>
      </c>
      <c r="BT838" s="1" t="str">
        <f>HYPERLINK("https%3A%2F%2Fwww.webofscience.com%2Fwos%2Fwoscc%2Ffull-record%2FWOS:000878152600003","View Full Record in Web of Science")</f>
        <v>View Full Record in Web of Science</v>
      </c>
    </row>
    <row r="839" ht="12.75" customHeight="1">
      <c r="A839" s="1" t="s">
        <v>72</v>
      </c>
      <c r="B839" s="1" t="s">
        <v>8366</v>
      </c>
      <c r="C839" s="1" t="s">
        <v>74</v>
      </c>
      <c r="D839" s="1" t="s">
        <v>74</v>
      </c>
      <c r="E839" s="1" t="s">
        <v>74</v>
      </c>
      <c r="F839" s="1" t="s">
        <v>8367</v>
      </c>
      <c r="G839" s="1" t="s">
        <v>74</v>
      </c>
      <c r="H839" s="1" t="s">
        <v>74</v>
      </c>
      <c r="I839" s="1" t="s">
        <v>8368</v>
      </c>
      <c r="J839" s="1" t="s">
        <v>292</v>
      </c>
      <c r="K839" s="1" t="s">
        <v>74</v>
      </c>
      <c r="L839" s="1" t="s">
        <v>74</v>
      </c>
      <c r="M839" s="1" t="s">
        <v>74</v>
      </c>
      <c r="N839" s="1" t="s">
        <v>74</v>
      </c>
      <c r="O839" s="1" t="s">
        <v>74</v>
      </c>
      <c r="P839" s="1" t="s">
        <v>74</v>
      </c>
      <c r="Q839" s="1" t="s">
        <v>74</v>
      </c>
      <c r="R839" s="1" t="s">
        <v>74</v>
      </c>
      <c r="S839" s="1" t="s">
        <v>74</v>
      </c>
      <c r="T839" s="1" t="s">
        <v>74</v>
      </c>
      <c r="U839" s="1" t="s">
        <v>74</v>
      </c>
      <c r="V839" s="1" t="s">
        <v>8369</v>
      </c>
      <c r="W839" s="1" t="s">
        <v>74</v>
      </c>
      <c r="X839" s="1" t="s">
        <v>74</v>
      </c>
      <c r="Y839" s="1" t="s">
        <v>74</v>
      </c>
      <c r="Z839" s="1" t="s">
        <v>74</v>
      </c>
      <c r="AA839" s="1" t="s">
        <v>8370</v>
      </c>
      <c r="AB839" s="1" t="s">
        <v>8371</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296</v>
      </c>
      <c r="AP839" s="1" t="s">
        <v>74</v>
      </c>
      <c r="AQ839" s="1" t="s">
        <v>74</v>
      </c>
      <c r="AR839" s="1" t="s">
        <v>74</v>
      </c>
      <c r="AS839" s="1" t="s">
        <v>74</v>
      </c>
      <c r="AT839" s="1" t="s">
        <v>8372</v>
      </c>
      <c r="AU839" s="1">
        <v>2022.0</v>
      </c>
      <c r="AV839" s="1">
        <v>12.0</v>
      </c>
      <c r="AW839" s="1">
        <v>1.0</v>
      </c>
      <c r="AX839" s="1" t="s">
        <v>74</v>
      </c>
      <c r="AY839" s="1" t="s">
        <v>74</v>
      </c>
      <c r="AZ839" s="1" t="s">
        <v>74</v>
      </c>
      <c r="BA839" s="1" t="s">
        <v>74</v>
      </c>
      <c r="BB839" s="1" t="s">
        <v>74</v>
      </c>
      <c r="BC839" s="1" t="s">
        <v>74</v>
      </c>
      <c r="BD839" s="1">
        <v>12030.0</v>
      </c>
      <c r="BE839" s="1" t="s">
        <v>8373</v>
      </c>
      <c r="BF839" s="2" t="str">
        <f>HYPERLINK("http://dx.doi.org/10.1038/s41598-022-15483-1","http://dx.doi.org/10.1038/s41598-022-15483-1")</f>
        <v>http://dx.doi.org/10.1038/s41598-022-15483-1</v>
      </c>
      <c r="BG839" s="1" t="s">
        <v>74</v>
      </c>
      <c r="BH839" s="1" t="s">
        <v>74</v>
      </c>
      <c r="BI839" s="1" t="s">
        <v>74</v>
      </c>
      <c r="BJ839" s="1" t="s">
        <v>74</v>
      </c>
      <c r="BK839" s="1" t="s">
        <v>74</v>
      </c>
      <c r="BL839" s="1" t="s">
        <v>74</v>
      </c>
      <c r="BM839" s="1" t="s">
        <v>74</v>
      </c>
      <c r="BN839" s="1">
        <v>3.5835771E7</v>
      </c>
      <c r="BO839" s="1" t="s">
        <v>74</v>
      </c>
      <c r="BP839" s="1" t="s">
        <v>74</v>
      </c>
      <c r="BQ839" s="1" t="s">
        <v>74</v>
      </c>
      <c r="BR839" s="1" t="s">
        <v>74</v>
      </c>
      <c r="BS839" s="1" t="s">
        <v>8374</v>
      </c>
      <c r="BT839" s="1" t="str">
        <f>HYPERLINK("https%3A%2F%2Fwww.webofscience.com%2Fwos%2Fwoscc%2Ffull-record%2FWOS:000825428500039","View Full Record in Web of Science")</f>
        <v>View Full Record in Web of Science</v>
      </c>
    </row>
    <row r="840" ht="12.75" customHeight="1">
      <c r="A840" s="1" t="s">
        <v>72</v>
      </c>
      <c r="B840" s="1" t="s">
        <v>8375</v>
      </c>
      <c r="C840" s="1" t="s">
        <v>74</v>
      </c>
      <c r="D840" s="1" t="s">
        <v>74</v>
      </c>
      <c r="E840" s="1" t="s">
        <v>74</v>
      </c>
      <c r="F840" s="1" t="s">
        <v>8376</v>
      </c>
      <c r="G840" s="1" t="s">
        <v>74</v>
      </c>
      <c r="H840" s="1" t="s">
        <v>74</v>
      </c>
      <c r="I840" s="1" t="s">
        <v>8377</v>
      </c>
      <c r="J840" s="1" t="s">
        <v>8378</v>
      </c>
      <c r="K840" s="1" t="s">
        <v>74</v>
      </c>
      <c r="L840" s="1" t="s">
        <v>74</v>
      </c>
      <c r="M840" s="1" t="s">
        <v>74</v>
      </c>
      <c r="N840" s="1" t="s">
        <v>74</v>
      </c>
      <c r="O840" s="1" t="s">
        <v>74</v>
      </c>
      <c r="P840" s="1" t="s">
        <v>74</v>
      </c>
      <c r="Q840" s="1" t="s">
        <v>74</v>
      </c>
      <c r="R840" s="1" t="s">
        <v>74</v>
      </c>
      <c r="S840" s="1" t="s">
        <v>74</v>
      </c>
      <c r="T840" s="1" t="s">
        <v>74</v>
      </c>
      <c r="U840" s="1" t="s">
        <v>74</v>
      </c>
      <c r="V840" s="1" t="s">
        <v>8379</v>
      </c>
      <c r="W840" s="1" t="s">
        <v>74</v>
      </c>
      <c r="X840" s="1" t="s">
        <v>74</v>
      </c>
      <c r="Y840" s="1" t="s">
        <v>74</v>
      </c>
      <c r="Z840" s="1" t="s">
        <v>74</v>
      </c>
      <c r="AA840" s="1" t="s">
        <v>74</v>
      </c>
      <c r="AB840" s="1" t="s">
        <v>8380</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8381</v>
      </c>
      <c r="AP840" s="1" t="s">
        <v>8382</v>
      </c>
      <c r="AQ840" s="1" t="s">
        <v>74</v>
      </c>
      <c r="AR840" s="1" t="s">
        <v>74</v>
      </c>
      <c r="AS840" s="1" t="s">
        <v>74</v>
      </c>
      <c r="AT840" s="1" t="s">
        <v>241</v>
      </c>
      <c r="AU840" s="1">
        <v>2022.0</v>
      </c>
      <c r="AV840" s="1">
        <v>68.0</v>
      </c>
      <c r="AW840" s="1">
        <v>2.0</v>
      </c>
      <c r="AX840" s="1" t="s">
        <v>74</v>
      </c>
      <c r="AY840" s="1" t="s">
        <v>74</v>
      </c>
      <c r="AZ840" s="1" t="s">
        <v>74</v>
      </c>
      <c r="BA840" s="1" t="s">
        <v>74</v>
      </c>
      <c r="BB840" s="1">
        <v>448.0</v>
      </c>
      <c r="BC840" s="1">
        <v>476.0</v>
      </c>
      <c r="BD840" s="1" t="s">
        <v>74</v>
      </c>
      <c r="BE840" s="1" t="s">
        <v>8383</v>
      </c>
      <c r="BF840" s="2" t="str">
        <f>HYPERLINK("http://dx.doi.org/10.1007/s00454-022-00395-8","http://dx.doi.org/10.1007/s00454-022-00395-8")</f>
        <v>http://dx.doi.org/10.1007/s00454-022-00395-8</v>
      </c>
      <c r="BG840" s="1" t="s">
        <v>74</v>
      </c>
      <c r="BH840" s="1" t="s">
        <v>732</v>
      </c>
      <c r="BI840" s="1" t="s">
        <v>74</v>
      </c>
      <c r="BJ840" s="1" t="s">
        <v>74</v>
      </c>
      <c r="BK840" s="1" t="s">
        <v>74</v>
      </c>
      <c r="BL840" s="1" t="s">
        <v>74</v>
      </c>
      <c r="BM840" s="1" t="s">
        <v>74</v>
      </c>
      <c r="BN840" s="1" t="s">
        <v>74</v>
      </c>
      <c r="BO840" s="1" t="s">
        <v>74</v>
      </c>
      <c r="BP840" s="1" t="s">
        <v>74</v>
      </c>
      <c r="BQ840" s="1" t="s">
        <v>74</v>
      </c>
      <c r="BR840" s="1" t="s">
        <v>74</v>
      </c>
      <c r="BS840" s="1" t="s">
        <v>8384</v>
      </c>
      <c r="BT840" s="1" t="str">
        <f>HYPERLINK("https%3A%2F%2Fwww.webofscience.com%2Fwos%2Fwoscc%2Ffull-record%2FWOS:000807275700001","View Full Record in Web of Science")</f>
        <v>View Full Record in Web of Science</v>
      </c>
    </row>
    <row r="841" ht="12.75" customHeight="1">
      <c r="A841" s="1" t="s">
        <v>72</v>
      </c>
      <c r="B841" s="1" t="s">
        <v>8385</v>
      </c>
      <c r="C841" s="1" t="s">
        <v>74</v>
      </c>
      <c r="D841" s="1" t="s">
        <v>74</v>
      </c>
      <c r="E841" s="1" t="s">
        <v>74</v>
      </c>
      <c r="F841" s="1" t="s">
        <v>8386</v>
      </c>
      <c r="G841" s="1" t="s">
        <v>74</v>
      </c>
      <c r="H841" s="1" t="s">
        <v>74</v>
      </c>
      <c r="I841" s="1" t="s">
        <v>8387</v>
      </c>
      <c r="J841" s="1" t="s">
        <v>8388</v>
      </c>
      <c r="K841" s="1" t="s">
        <v>74</v>
      </c>
      <c r="L841" s="1" t="s">
        <v>74</v>
      </c>
      <c r="M841" s="1" t="s">
        <v>74</v>
      </c>
      <c r="N841" s="1" t="s">
        <v>74</v>
      </c>
      <c r="O841" s="1" t="s">
        <v>74</v>
      </c>
      <c r="P841" s="1" t="s">
        <v>74</v>
      </c>
      <c r="Q841" s="1" t="s">
        <v>74</v>
      </c>
      <c r="R841" s="1" t="s">
        <v>74</v>
      </c>
      <c r="S841" s="1" t="s">
        <v>74</v>
      </c>
      <c r="T841" s="1" t="s">
        <v>74</v>
      </c>
      <c r="U841" s="1" t="s">
        <v>74</v>
      </c>
      <c r="V841" s="1" t="s">
        <v>8389</v>
      </c>
      <c r="W841" s="1" t="s">
        <v>74</v>
      </c>
      <c r="X841" s="1" t="s">
        <v>74</v>
      </c>
      <c r="Y841" s="1" t="s">
        <v>74</v>
      </c>
      <c r="Z841" s="1" t="s">
        <v>74</v>
      </c>
      <c r="AA841" s="1" t="s">
        <v>74</v>
      </c>
      <c r="AB841" s="1" t="s">
        <v>74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8390</v>
      </c>
      <c r="AP841" s="1" t="s">
        <v>74</v>
      </c>
      <c r="AQ841" s="1" t="s">
        <v>74</v>
      </c>
      <c r="AR841" s="1" t="s">
        <v>74</v>
      </c>
      <c r="AS841" s="1" t="s">
        <v>74</v>
      </c>
      <c r="AT841" s="1" t="s">
        <v>385</v>
      </c>
      <c r="AU841" s="1">
        <v>2022.0</v>
      </c>
      <c r="AV841" s="1">
        <v>6.0</v>
      </c>
      <c r="AW841" s="1">
        <v>2.0</v>
      </c>
      <c r="AX841" s="1" t="s">
        <v>74</v>
      </c>
      <c r="AY841" s="1" t="s">
        <v>74</v>
      </c>
      <c r="AZ841" s="1" t="s">
        <v>74</v>
      </c>
      <c r="BA841" s="1" t="s">
        <v>74</v>
      </c>
      <c r="BB841" s="1" t="s">
        <v>74</v>
      </c>
      <c r="BC841" s="1" t="s">
        <v>74</v>
      </c>
      <c r="BD841" s="1">
        <v>100227.0</v>
      </c>
      <c r="BE841" s="1" t="s">
        <v>8391</v>
      </c>
      <c r="BF841" s="2" t="str">
        <f>HYPERLINK("http://dx.doi.org/10.1016/j.ejtd.2021.100227","http://dx.doi.org/10.1016/j.ejtd.2021.100227")</f>
        <v>http://dx.doi.org/10.1016/j.ejtd.2021.100227</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8392</v>
      </c>
      <c r="BT841" s="1" t="str">
        <f>HYPERLINK("https%3A%2F%2Fwww.webofscience.com%2Fwos%2Fwoscc%2Ffull-record%2FWOS:000793434500006","View Full Record in Web of Science")</f>
        <v>View Full Record in Web of Science</v>
      </c>
    </row>
    <row r="842" ht="12.75" customHeight="1">
      <c r="A842" s="1" t="s">
        <v>72</v>
      </c>
      <c r="B842" s="1" t="s">
        <v>8393</v>
      </c>
      <c r="C842" s="1" t="s">
        <v>74</v>
      </c>
      <c r="D842" s="1" t="s">
        <v>74</v>
      </c>
      <c r="E842" s="1" t="s">
        <v>74</v>
      </c>
      <c r="F842" s="1" t="s">
        <v>8394</v>
      </c>
      <c r="G842" s="1" t="s">
        <v>74</v>
      </c>
      <c r="H842" s="1" t="s">
        <v>74</v>
      </c>
      <c r="I842" s="1" t="s">
        <v>8395</v>
      </c>
      <c r="J842" s="1" t="s">
        <v>8396</v>
      </c>
      <c r="K842" s="1" t="s">
        <v>74</v>
      </c>
      <c r="L842" s="1" t="s">
        <v>74</v>
      </c>
      <c r="M842" s="1" t="s">
        <v>74</v>
      </c>
      <c r="N842" s="1" t="s">
        <v>74</v>
      </c>
      <c r="O842" s="1" t="s">
        <v>74</v>
      </c>
      <c r="P842" s="1" t="s">
        <v>74</v>
      </c>
      <c r="Q842" s="1" t="s">
        <v>74</v>
      </c>
      <c r="R842" s="1" t="s">
        <v>74</v>
      </c>
      <c r="S842" s="1" t="s">
        <v>74</v>
      </c>
      <c r="T842" s="1" t="s">
        <v>74</v>
      </c>
      <c r="U842" s="1" t="s">
        <v>74</v>
      </c>
      <c r="V842" s="1" t="s">
        <v>8397</v>
      </c>
      <c r="W842" s="1" t="s">
        <v>74</v>
      </c>
      <c r="X842" s="1" t="s">
        <v>74</v>
      </c>
      <c r="Y842" s="1" t="s">
        <v>74</v>
      </c>
      <c r="Z842" s="1" t="s">
        <v>74</v>
      </c>
      <c r="AA842" s="1" t="s">
        <v>8398</v>
      </c>
      <c r="AB842" s="1" t="s">
        <v>8399</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8400</v>
      </c>
      <c r="AP842" s="1" t="s">
        <v>8401</v>
      </c>
      <c r="AQ842" s="1" t="s">
        <v>74</v>
      </c>
      <c r="AR842" s="1" t="s">
        <v>74</v>
      </c>
      <c r="AS842" s="1" t="s">
        <v>74</v>
      </c>
      <c r="AT842" s="1" t="s">
        <v>94</v>
      </c>
      <c r="AU842" s="1">
        <v>2022.0</v>
      </c>
      <c r="AV842" s="1">
        <v>99.0</v>
      </c>
      <c r="AW842" s="1" t="s">
        <v>74</v>
      </c>
      <c r="AX842" s="1" t="s">
        <v>74</v>
      </c>
      <c r="AY842" s="1" t="s">
        <v>74</v>
      </c>
      <c r="AZ842" s="1" t="s">
        <v>74</v>
      </c>
      <c r="BA842" s="1" t="s">
        <v>74</v>
      </c>
      <c r="BB842" s="1" t="s">
        <v>74</v>
      </c>
      <c r="BC842" s="1" t="s">
        <v>74</v>
      </c>
      <c r="BD842" s="1">
        <v>153988.0</v>
      </c>
      <c r="BE842" s="1" t="s">
        <v>8402</v>
      </c>
      <c r="BF842" s="2" t="str">
        <f>HYPERLINK("http://dx.doi.org/10.1016/j.phymed.2022.153988","http://dx.doi.org/10.1016/j.phymed.2022.153988")</f>
        <v>http://dx.doi.org/10.1016/j.phymed.2022.153988</v>
      </c>
      <c r="BG842" s="1" t="s">
        <v>74</v>
      </c>
      <c r="BH842" s="1" t="s">
        <v>4423</v>
      </c>
      <c r="BI842" s="1" t="s">
        <v>74</v>
      </c>
      <c r="BJ842" s="1" t="s">
        <v>74</v>
      </c>
      <c r="BK842" s="1" t="s">
        <v>74</v>
      </c>
      <c r="BL842" s="1" t="s">
        <v>74</v>
      </c>
      <c r="BM842" s="1" t="s">
        <v>74</v>
      </c>
      <c r="BN842" s="1">
        <v>3.5217434E7</v>
      </c>
      <c r="BO842" s="1" t="s">
        <v>74</v>
      </c>
      <c r="BP842" s="1" t="s">
        <v>74</v>
      </c>
      <c r="BQ842" s="1" t="s">
        <v>74</v>
      </c>
      <c r="BR842" s="1" t="s">
        <v>74</v>
      </c>
      <c r="BS842" s="1" t="s">
        <v>8403</v>
      </c>
      <c r="BT842" s="1" t="str">
        <f>HYPERLINK("https%3A%2F%2Fwww.webofscience.com%2Fwos%2Fwoscc%2Ffull-record%2FWOS:000792171100002","View Full Record in Web of Science")</f>
        <v>View Full Record in Web of Science</v>
      </c>
    </row>
    <row r="843" ht="12.75" customHeight="1">
      <c r="A843" s="1" t="s">
        <v>72</v>
      </c>
      <c r="B843" s="1" t="s">
        <v>8404</v>
      </c>
      <c r="C843" s="1" t="s">
        <v>74</v>
      </c>
      <c r="D843" s="1" t="s">
        <v>74</v>
      </c>
      <c r="E843" s="1" t="s">
        <v>74</v>
      </c>
      <c r="F843" s="1" t="s">
        <v>8405</v>
      </c>
      <c r="G843" s="1" t="s">
        <v>74</v>
      </c>
      <c r="H843" s="1" t="s">
        <v>74</v>
      </c>
      <c r="I843" s="1" t="s">
        <v>8406</v>
      </c>
      <c r="J843" s="1" t="s">
        <v>8407</v>
      </c>
      <c r="K843" s="1" t="s">
        <v>74</v>
      </c>
      <c r="L843" s="1" t="s">
        <v>74</v>
      </c>
      <c r="M843" s="1" t="s">
        <v>74</v>
      </c>
      <c r="N843" s="1" t="s">
        <v>74</v>
      </c>
      <c r="O843" s="1" t="s">
        <v>74</v>
      </c>
      <c r="P843" s="1" t="s">
        <v>74</v>
      </c>
      <c r="Q843" s="1" t="s">
        <v>74</v>
      </c>
      <c r="R843" s="1" t="s">
        <v>74</v>
      </c>
      <c r="S843" s="1" t="s">
        <v>74</v>
      </c>
      <c r="T843" s="1" t="s">
        <v>74</v>
      </c>
      <c r="U843" s="1" t="s">
        <v>74</v>
      </c>
      <c r="V843" s="1" t="s">
        <v>8408</v>
      </c>
      <c r="W843" s="1" t="s">
        <v>74</v>
      </c>
      <c r="X843" s="1" t="s">
        <v>74</v>
      </c>
      <c r="Y843" s="1" t="s">
        <v>74</v>
      </c>
      <c r="Z843" s="1" t="s">
        <v>74</v>
      </c>
      <c r="AA843" s="1" t="s">
        <v>8409</v>
      </c>
      <c r="AB843" s="1" t="s">
        <v>8410</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8411</v>
      </c>
      <c r="AP843" s="1" t="s">
        <v>74</v>
      </c>
      <c r="AQ843" s="1" t="s">
        <v>74</v>
      </c>
      <c r="AR843" s="1" t="s">
        <v>74</v>
      </c>
      <c r="AS843" s="1" t="s">
        <v>74</v>
      </c>
      <c r="AT843" s="1" t="s">
        <v>6128</v>
      </c>
      <c r="AU843" s="1">
        <v>2021.0</v>
      </c>
      <c r="AV843" s="1">
        <v>9.0</v>
      </c>
      <c r="AW843" s="1" t="s">
        <v>74</v>
      </c>
      <c r="AX843" s="1" t="s">
        <v>74</v>
      </c>
      <c r="AY843" s="1" t="s">
        <v>74</v>
      </c>
      <c r="AZ843" s="1" t="s">
        <v>74</v>
      </c>
      <c r="BA843" s="1" t="s">
        <v>74</v>
      </c>
      <c r="BB843" s="1" t="s">
        <v>74</v>
      </c>
      <c r="BC843" s="1" t="s">
        <v>74</v>
      </c>
      <c r="BD843" s="1">
        <v>749057.0</v>
      </c>
      <c r="BE843" s="1" t="s">
        <v>8412</v>
      </c>
      <c r="BF843" s="2" t="str">
        <f>HYPERLINK("http://dx.doi.org/10.3389/fbioe.2021.749057","http://dx.doi.org/10.3389/fbioe.2021.749057")</f>
        <v>http://dx.doi.org/10.3389/fbioe.2021.749057</v>
      </c>
      <c r="BG843" s="1" t="s">
        <v>74</v>
      </c>
      <c r="BH843" s="1" t="s">
        <v>74</v>
      </c>
      <c r="BI843" s="1" t="s">
        <v>74</v>
      </c>
      <c r="BJ843" s="1" t="s">
        <v>74</v>
      </c>
      <c r="BK843" s="1" t="s">
        <v>74</v>
      </c>
      <c r="BL843" s="1" t="s">
        <v>74</v>
      </c>
      <c r="BM843" s="1" t="s">
        <v>74</v>
      </c>
      <c r="BN843" s="1">
        <v>3.493872E7</v>
      </c>
      <c r="BO843" s="1" t="s">
        <v>74</v>
      </c>
      <c r="BP843" s="1" t="s">
        <v>74</v>
      </c>
      <c r="BQ843" s="1" t="s">
        <v>74</v>
      </c>
      <c r="BR843" s="1" t="s">
        <v>74</v>
      </c>
      <c r="BS843" s="1" t="s">
        <v>8413</v>
      </c>
      <c r="BT843" s="1" t="str">
        <f>HYPERLINK("https%3A%2F%2Fwww.webofscience.com%2Fwos%2Fwoscc%2Ffull-record%2FWOS:000732249400001","View Full Record in Web of Science")</f>
        <v>View Full Record in Web of Science</v>
      </c>
    </row>
    <row r="844" ht="12.75" customHeight="1">
      <c r="A844" s="1" t="s">
        <v>72</v>
      </c>
      <c r="B844" s="1" t="s">
        <v>8414</v>
      </c>
      <c r="C844" s="1" t="s">
        <v>74</v>
      </c>
      <c r="D844" s="1" t="s">
        <v>74</v>
      </c>
      <c r="E844" s="1" t="s">
        <v>74</v>
      </c>
      <c r="F844" s="1" t="s">
        <v>8415</v>
      </c>
      <c r="G844" s="1" t="s">
        <v>74</v>
      </c>
      <c r="H844" s="1" t="s">
        <v>74</v>
      </c>
      <c r="I844" s="1" t="s">
        <v>8416</v>
      </c>
      <c r="J844" s="1" t="s">
        <v>691</v>
      </c>
      <c r="K844" s="1" t="s">
        <v>74</v>
      </c>
      <c r="L844" s="1" t="s">
        <v>74</v>
      </c>
      <c r="M844" s="1" t="s">
        <v>74</v>
      </c>
      <c r="N844" s="1" t="s">
        <v>74</v>
      </c>
      <c r="O844" s="1" t="s">
        <v>74</v>
      </c>
      <c r="P844" s="1" t="s">
        <v>74</v>
      </c>
      <c r="Q844" s="1" t="s">
        <v>74</v>
      </c>
      <c r="R844" s="1" t="s">
        <v>74</v>
      </c>
      <c r="S844" s="1" t="s">
        <v>74</v>
      </c>
      <c r="T844" s="1" t="s">
        <v>74</v>
      </c>
      <c r="U844" s="1" t="s">
        <v>74</v>
      </c>
      <c r="V844" s="1" t="s">
        <v>8417</v>
      </c>
      <c r="W844" s="1" t="s">
        <v>74</v>
      </c>
      <c r="X844" s="1" t="s">
        <v>74</v>
      </c>
      <c r="Y844" s="1" t="s">
        <v>74</v>
      </c>
      <c r="Z844" s="1" t="s">
        <v>74</v>
      </c>
      <c r="AA844" s="1" t="s">
        <v>8418</v>
      </c>
      <c r="AB844" s="1" t="s">
        <v>8419</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74</v>
      </c>
      <c r="AP844" s="1" t="s">
        <v>694</v>
      </c>
      <c r="AQ844" s="1" t="s">
        <v>74</v>
      </c>
      <c r="AR844" s="1" t="s">
        <v>74</v>
      </c>
      <c r="AS844" s="1" t="s">
        <v>74</v>
      </c>
      <c r="AT844" s="1" t="s">
        <v>1082</v>
      </c>
      <c r="AU844" s="1">
        <v>2020.0</v>
      </c>
      <c r="AV844" s="1">
        <v>10.0</v>
      </c>
      <c r="AW844" s="1">
        <v>21.0</v>
      </c>
      <c r="AX844" s="1" t="s">
        <v>74</v>
      </c>
      <c r="AY844" s="1" t="s">
        <v>74</v>
      </c>
      <c r="AZ844" s="1" t="s">
        <v>74</v>
      </c>
      <c r="BA844" s="1" t="s">
        <v>74</v>
      </c>
      <c r="BB844" s="1" t="s">
        <v>74</v>
      </c>
      <c r="BC844" s="1" t="s">
        <v>74</v>
      </c>
      <c r="BD844" s="1">
        <v>7461.0</v>
      </c>
      <c r="BE844" s="1" t="s">
        <v>8420</v>
      </c>
      <c r="BF844" s="2" t="str">
        <f>HYPERLINK("http://dx.doi.org/10.3390/app10217461","http://dx.doi.org/10.3390/app10217461")</f>
        <v>http://dx.doi.org/10.3390/app10217461</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8421</v>
      </c>
      <c r="BT844" s="1" t="str">
        <f>HYPERLINK("https%3A%2F%2Fwww.webofscience.com%2Fwos%2Fwoscc%2Ffull-record%2FWOS:000588974100001","View Full Record in Web of Science")</f>
        <v>View Full Record in Web of Science</v>
      </c>
    </row>
    <row r="845" ht="12.75" customHeight="1">
      <c r="A845" s="1" t="s">
        <v>72</v>
      </c>
      <c r="B845" s="1" t="s">
        <v>8422</v>
      </c>
      <c r="C845" s="1" t="s">
        <v>74</v>
      </c>
      <c r="D845" s="1" t="s">
        <v>74</v>
      </c>
      <c r="E845" s="1" t="s">
        <v>74</v>
      </c>
      <c r="F845" s="1" t="s">
        <v>8423</v>
      </c>
      <c r="G845" s="1" t="s">
        <v>74</v>
      </c>
      <c r="H845" s="1" t="s">
        <v>74</v>
      </c>
      <c r="I845" s="1" t="s">
        <v>8424</v>
      </c>
      <c r="J845" s="1" t="s">
        <v>8425</v>
      </c>
      <c r="K845" s="1" t="s">
        <v>74</v>
      </c>
      <c r="L845" s="1" t="s">
        <v>74</v>
      </c>
      <c r="M845" s="1" t="s">
        <v>74</v>
      </c>
      <c r="N845" s="1" t="s">
        <v>74</v>
      </c>
      <c r="O845" s="1" t="s">
        <v>74</v>
      </c>
      <c r="P845" s="1" t="s">
        <v>74</v>
      </c>
      <c r="Q845" s="1" t="s">
        <v>74</v>
      </c>
      <c r="R845" s="1" t="s">
        <v>74</v>
      </c>
      <c r="S845" s="1" t="s">
        <v>74</v>
      </c>
      <c r="T845" s="1" t="s">
        <v>74</v>
      </c>
      <c r="U845" s="1" t="s">
        <v>74</v>
      </c>
      <c r="V845" s="1" t="s">
        <v>8426</v>
      </c>
      <c r="W845" s="1" t="s">
        <v>74</v>
      </c>
      <c r="X845" s="1" t="s">
        <v>74</v>
      </c>
      <c r="Y845" s="1" t="s">
        <v>74</v>
      </c>
      <c r="Z845" s="1" t="s">
        <v>74</v>
      </c>
      <c r="AA845" s="1" t="s">
        <v>8427</v>
      </c>
      <c r="AB845" s="1" t="s">
        <v>8428</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8429</v>
      </c>
      <c r="AP845" s="1" t="s">
        <v>8430</v>
      </c>
      <c r="AQ845" s="1" t="s">
        <v>74</v>
      </c>
      <c r="AR845" s="1" t="s">
        <v>74</v>
      </c>
      <c r="AS845" s="1" t="s">
        <v>74</v>
      </c>
      <c r="AT845" s="1" t="s">
        <v>1082</v>
      </c>
      <c r="AU845" s="1">
        <v>2020.0</v>
      </c>
      <c r="AV845" s="1">
        <v>1868.0</v>
      </c>
      <c r="AW845" s="1">
        <v>11.0</v>
      </c>
      <c r="AX845" s="1" t="s">
        <v>74</v>
      </c>
      <c r="AY845" s="1" t="s">
        <v>74</v>
      </c>
      <c r="AZ845" s="1" t="s">
        <v>74</v>
      </c>
      <c r="BA845" s="1" t="s">
        <v>74</v>
      </c>
      <c r="BB845" s="1" t="s">
        <v>74</v>
      </c>
      <c r="BC845" s="1" t="s">
        <v>74</v>
      </c>
      <c r="BD845" s="1">
        <v>140484.0</v>
      </c>
      <c r="BE845" s="1" t="s">
        <v>8431</v>
      </c>
      <c r="BF845" s="2" t="str">
        <f>HYPERLINK("http://dx.doi.org/10.1016/j.bbapap.2020.140484","http://dx.doi.org/10.1016/j.bbapap.2020.140484")</f>
        <v>http://dx.doi.org/10.1016/j.bbapap.2020.140484</v>
      </c>
      <c r="BG845" s="1" t="s">
        <v>74</v>
      </c>
      <c r="BH845" s="1" t="s">
        <v>74</v>
      </c>
      <c r="BI845" s="1" t="s">
        <v>74</v>
      </c>
      <c r="BJ845" s="1" t="s">
        <v>74</v>
      </c>
      <c r="BK845" s="1" t="s">
        <v>74</v>
      </c>
      <c r="BL845" s="1" t="s">
        <v>74</v>
      </c>
      <c r="BM845" s="1" t="s">
        <v>74</v>
      </c>
      <c r="BN845" s="1">
        <v>3.2652125E7</v>
      </c>
      <c r="BO845" s="1" t="s">
        <v>74</v>
      </c>
      <c r="BP845" s="1" t="s">
        <v>74</v>
      </c>
      <c r="BQ845" s="1" t="s">
        <v>74</v>
      </c>
      <c r="BR845" s="1" t="s">
        <v>74</v>
      </c>
      <c r="BS845" s="1" t="s">
        <v>8432</v>
      </c>
      <c r="BT845" s="1" t="str">
        <f>HYPERLINK("https%3A%2F%2Fwww.webofscience.com%2Fwos%2Fwoscc%2Ffull-record%2FWOS:000562566000004","View Full Record in Web of Science")</f>
        <v>View Full Record in Web of Science</v>
      </c>
    </row>
    <row r="846" ht="12.75" customHeight="1">
      <c r="A846" s="1" t="s">
        <v>72</v>
      </c>
      <c r="B846" s="1" t="s">
        <v>8433</v>
      </c>
      <c r="C846" s="1" t="s">
        <v>74</v>
      </c>
      <c r="D846" s="1" t="s">
        <v>74</v>
      </c>
      <c r="E846" s="1" t="s">
        <v>74</v>
      </c>
      <c r="F846" s="1" t="s">
        <v>8434</v>
      </c>
      <c r="G846" s="1" t="s">
        <v>74</v>
      </c>
      <c r="H846" s="1" t="s">
        <v>74</v>
      </c>
      <c r="I846" s="1" t="s">
        <v>8435</v>
      </c>
      <c r="J846" s="1" t="s">
        <v>8436</v>
      </c>
      <c r="K846" s="1" t="s">
        <v>74</v>
      </c>
      <c r="L846" s="1" t="s">
        <v>74</v>
      </c>
      <c r="M846" s="1" t="s">
        <v>74</v>
      </c>
      <c r="N846" s="1" t="s">
        <v>74</v>
      </c>
      <c r="O846" s="1" t="s">
        <v>8437</v>
      </c>
      <c r="P846" s="1" t="s">
        <v>8438</v>
      </c>
      <c r="Q846" s="1" t="s">
        <v>8439</v>
      </c>
      <c r="R846" s="1" t="s">
        <v>8440</v>
      </c>
      <c r="S846" s="1" t="s">
        <v>74</v>
      </c>
      <c r="T846" s="1" t="s">
        <v>74</v>
      </c>
      <c r="U846" s="1" t="s">
        <v>74</v>
      </c>
      <c r="V846" s="1" t="s">
        <v>8441</v>
      </c>
      <c r="W846" s="1" t="s">
        <v>74</v>
      </c>
      <c r="X846" s="1" t="s">
        <v>74</v>
      </c>
      <c r="Y846" s="1" t="s">
        <v>74</v>
      </c>
      <c r="Z846" s="1" t="s">
        <v>74</v>
      </c>
      <c r="AA846" s="1" t="s">
        <v>8442</v>
      </c>
      <c r="AB846" s="1" t="s">
        <v>8443</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8444</v>
      </c>
      <c r="AP846" s="1" t="s">
        <v>8445</v>
      </c>
      <c r="AQ846" s="1" t="s">
        <v>74</v>
      </c>
      <c r="AR846" s="1" t="s">
        <v>74</v>
      </c>
      <c r="AS846" s="1" t="s">
        <v>74</v>
      </c>
      <c r="AT846" s="1" t="s">
        <v>974</v>
      </c>
      <c r="AU846" s="1">
        <v>2020.0</v>
      </c>
      <c r="AV846" s="1">
        <v>35.0</v>
      </c>
      <c r="AW846" s="1">
        <v>7.0</v>
      </c>
      <c r="AX846" s="1" t="s">
        <v>74</v>
      </c>
      <c r="AY846" s="1" t="s">
        <v>74</v>
      </c>
      <c r="AZ846" s="1" t="s">
        <v>74</v>
      </c>
      <c r="BA846" s="1" t="s">
        <v>74</v>
      </c>
      <c r="BB846" s="1">
        <v>6906.0</v>
      </c>
      <c r="BC846" s="1">
        <v>6915.0</v>
      </c>
      <c r="BD846" s="1" t="s">
        <v>74</v>
      </c>
      <c r="BE846" s="1" t="s">
        <v>8446</v>
      </c>
      <c r="BF846" s="2" t="str">
        <f>HYPERLINK("http://dx.doi.org/10.1109/TPEL.2019.2957951","http://dx.doi.org/10.1109/TPEL.2019.2957951")</f>
        <v>http://dx.doi.org/10.1109/TPEL.2019.2957951</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8447</v>
      </c>
      <c r="BT846" s="1" t="str">
        <f>HYPERLINK("https%3A%2F%2Fwww.webofscience.com%2Fwos%2Fwoscc%2Ffull-record%2FWOS:000550377100023","View Full Record in Web of Science")</f>
        <v>View Full Record in Web of Science</v>
      </c>
    </row>
    <row r="847" ht="12.75" customHeight="1">
      <c r="A847" s="1" t="s">
        <v>72</v>
      </c>
      <c r="B847" s="1" t="s">
        <v>5974</v>
      </c>
      <c r="C847" s="1" t="s">
        <v>74</v>
      </c>
      <c r="D847" s="1" t="s">
        <v>74</v>
      </c>
      <c r="E847" s="1" t="s">
        <v>74</v>
      </c>
      <c r="F847" s="1" t="s">
        <v>5975</v>
      </c>
      <c r="G847" s="1" t="s">
        <v>74</v>
      </c>
      <c r="H847" s="1" t="s">
        <v>74</v>
      </c>
      <c r="I847" s="1" t="s">
        <v>8448</v>
      </c>
      <c r="J847" s="1" t="s">
        <v>2319</v>
      </c>
      <c r="K847" s="1" t="s">
        <v>74</v>
      </c>
      <c r="L847" s="1" t="s">
        <v>74</v>
      </c>
      <c r="M847" s="1" t="s">
        <v>74</v>
      </c>
      <c r="N847" s="1" t="s">
        <v>74</v>
      </c>
      <c r="O847" s="1" t="s">
        <v>74</v>
      </c>
      <c r="P847" s="1" t="s">
        <v>74</v>
      </c>
      <c r="Q847" s="1" t="s">
        <v>74</v>
      </c>
      <c r="R847" s="1" t="s">
        <v>74</v>
      </c>
      <c r="S847" s="1" t="s">
        <v>74</v>
      </c>
      <c r="T847" s="1" t="s">
        <v>74</v>
      </c>
      <c r="U847" s="1" t="s">
        <v>74</v>
      </c>
      <c r="V847" s="1" t="s">
        <v>8449</v>
      </c>
      <c r="W847" s="1" t="s">
        <v>74</v>
      </c>
      <c r="X847" s="1" t="s">
        <v>74</v>
      </c>
      <c r="Y847" s="1" t="s">
        <v>74</v>
      </c>
      <c r="Z847" s="1" t="s">
        <v>74</v>
      </c>
      <c r="AA847" s="1" t="s">
        <v>74</v>
      </c>
      <c r="AB847" s="1" t="s">
        <v>7982</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2322</v>
      </c>
      <c r="AP847" s="1" t="s">
        <v>2323</v>
      </c>
      <c r="AQ847" s="1" t="s">
        <v>74</v>
      </c>
      <c r="AR847" s="1" t="s">
        <v>74</v>
      </c>
      <c r="AS847" s="1" t="s">
        <v>74</v>
      </c>
      <c r="AT847" s="1" t="s">
        <v>151</v>
      </c>
      <c r="AU847" s="1">
        <v>2020.0</v>
      </c>
      <c r="AV847" s="1">
        <v>199.0</v>
      </c>
      <c r="AW847" s="1">
        <v>5.0</v>
      </c>
      <c r="AX847" s="1" t="s">
        <v>74</v>
      </c>
      <c r="AY847" s="1" t="s">
        <v>74</v>
      </c>
      <c r="AZ847" s="1" t="s">
        <v>74</v>
      </c>
      <c r="BA847" s="1" t="s">
        <v>74</v>
      </c>
      <c r="BB847" s="1">
        <v>2015.0</v>
      </c>
      <c r="BC847" s="1">
        <v>2038.0</v>
      </c>
      <c r="BD847" s="1" t="s">
        <v>74</v>
      </c>
      <c r="BE847" s="1" t="s">
        <v>8450</v>
      </c>
      <c r="BF847" s="2" t="str">
        <f>HYPERLINK("http://dx.doi.org/10.1007/s10231-020-00954-x","http://dx.doi.org/10.1007/s10231-020-00954-x")</f>
        <v>http://dx.doi.org/10.1007/s10231-020-00954-x</v>
      </c>
      <c r="BG847" s="1" t="s">
        <v>74</v>
      </c>
      <c r="BH847" s="1" t="s">
        <v>8451</v>
      </c>
      <c r="BI847" s="1" t="s">
        <v>74</v>
      </c>
      <c r="BJ847" s="1" t="s">
        <v>74</v>
      </c>
      <c r="BK847" s="1" t="s">
        <v>74</v>
      </c>
      <c r="BL847" s="1" t="s">
        <v>74</v>
      </c>
      <c r="BM847" s="1" t="s">
        <v>74</v>
      </c>
      <c r="BN847" s="1" t="s">
        <v>74</v>
      </c>
      <c r="BO847" s="1" t="s">
        <v>74</v>
      </c>
      <c r="BP847" s="1" t="s">
        <v>74</v>
      </c>
      <c r="BQ847" s="1" t="s">
        <v>74</v>
      </c>
      <c r="BR847" s="1" t="s">
        <v>74</v>
      </c>
      <c r="BS847" s="1" t="s">
        <v>8452</v>
      </c>
      <c r="BT847" s="1" t="str">
        <f>HYPERLINK("https%3A%2F%2Fwww.webofscience.com%2Fwos%2Fwoscc%2Ffull-record%2FWOS:000516374100003","View Full Record in Web of Science")</f>
        <v>View Full Record in Web of Science</v>
      </c>
    </row>
    <row r="848" ht="12.75" customHeight="1">
      <c r="A848" s="1" t="s">
        <v>72</v>
      </c>
      <c r="B848" s="1" t="s">
        <v>8453</v>
      </c>
      <c r="C848" s="1" t="s">
        <v>74</v>
      </c>
      <c r="D848" s="1" t="s">
        <v>74</v>
      </c>
      <c r="E848" s="1" t="s">
        <v>74</v>
      </c>
      <c r="F848" s="1" t="s">
        <v>8454</v>
      </c>
      <c r="G848" s="1" t="s">
        <v>74</v>
      </c>
      <c r="H848" s="1" t="s">
        <v>74</v>
      </c>
      <c r="I848" s="1" t="s">
        <v>8455</v>
      </c>
      <c r="J848" s="1" t="s">
        <v>8456</v>
      </c>
      <c r="K848" s="1" t="s">
        <v>74</v>
      </c>
      <c r="L848" s="1" t="s">
        <v>74</v>
      </c>
      <c r="M848" s="1" t="s">
        <v>74</v>
      </c>
      <c r="N848" s="1" t="s">
        <v>74</v>
      </c>
      <c r="O848" s="1" t="s">
        <v>74</v>
      </c>
      <c r="P848" s="1" t="s">
        <v>74</v>
      </c>
      <c r="Q848" s="1" t="s">
        <v>74</v>
      </c>
      <c r="R848" s="1" t="s">
        <v>74</v>
      </c>
      <c r="S848" s="1" t="s">
        <v>74</v>
      </c>
      <c r="T848" s="1" t="s">
        <v>74</v>
      </c>
      <c r="U848" s="1" t="s">
        <v>74</v>
      </c>
      <c r="V848" s="1" t="s">
        <v>8457</v>
      </c>
      <c r="W848" s="1" t="s">
        <v>74</v>
      </c>
      <c r="X848" s="1" t="s">
        <v>74</v>
      </c>
      <c r="Y848" s="1" t="s">
        <v>74</v>
      </c>
      <c r="Z848" s="1" t="s">
        <v>74</v>
      </c>
      <c r="AA848" s="1" t="s">
        <v>8458</v>
      </c>
      <c r="AB848" s="1" t="s">
        <v>8459</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8460</v>
      </c>
      <c r="AP848" s="1" t="s">
        <v>8461</v>
      </c>
      <c r="AQ848" s="1" t="s">
        <v>74</v>
      </c>
      <c r="AR848" s="1" t="s">
        <v>74</v>
      </c>
      <c r="AS848" s="1" t="s">
        <v>74</v>
      </c>
      <c r="AT848" s="1" t="s">
        <v>822</v>
      </c>
      <c r="AU848" s="1">
        <v>2020.0</v>
      </c>
      <c r="AV848" s="1">
        <v>30.0</v>
      </c>
      <c r="AW848" s="1">
        <v>1.0</v>
      </c>
      <c r="AX848" s="1" t="s">
        <v>74</v>
      </c>
      <c r="AY848" s="1" t="s">
        <v>74</v>
      </c>
      <c r="AZ848" s="1" t="s">
        <v>74</v>
      </c>
      <c r="BA848" s="1" t="s">
        <v>74</v>
      </c>
      <c r="BB848" s="1">
        <v>108.0</v>
      </c>
      <c r="BC848" s="1">
        <v>116.0</v>
      </c>
      <c r="BD848" s="1" t="s">
        <v>74</v>
      </c>
      <c r="BE848" s="1" t="s">
        <v>8462</v>
      </c>
      <c r="BF848" s="2" t="str">
        <f>HYPERLINK("http://dx.doi.org/10.1111/sms.13537","http://dx.doi.org/10.1111/sms.13537")</f>
        <v>http://dx.doi.org/10.1111/sms.13537</v>
      </c>
      <c r="BG848" s="1" t="s">
        <v>74</v>
      </c>
      <c r="BH848" s="1" t="s">
        <v>74</v>
      </c>
      <c r="BI848" s="1" t="s">
        <v>74</v>
      </c>
      <c r="BJ848" s="1" t="s">
        <v>74</v>
      </c>
      <c r="BK848" s="1" t="s">
        <v>74</v>
      </c>
      <c r="BL848" s="1" t="s">
        <v>74</v>
      </c>
      <c r="BM848" s="1" t="s">
        <v>74</v>
      </c>
      <c r="BN848" s="1">
        <v>3.1410887E7</v>
      </c>
      <c r="BO848" s="1" t="s">
        <v>74</v>
      </c>
      <c r="BP848" s="1" t="s">
        <v>74</v>
      </c>
      <c r="BQ848" s="1" t="s">
        <v>74</v>
      </c>
      <c r="BR848" s="1" t="s">
        <v>74</v>
      </c>
      <c r="BS848" s="1" t="s">
        <v>8463</v>
      </c>
      <c r="BT848" s="1" t="str">
        <f>HYPERLINK("https%3A%2F%2Fwww.webofscience.com%2Fwos%2Fwoscc%2Ffull-record%2FWOS:000611522400012","View Full Record in Web of Science")</f>
        <v>View Full Record in Web of Science</v>
      </c>
    </row>
    <row r="849" ht="12.75" customHeight="1">
      <c r="A849" s="1" t="s">
        <v>72</v>
      </c>
      <c r="B849" s="1" t="s">
        <v>8464</v>
      </c>
      <c r="C849" s="1" t="s">
        <v>74</v>
      </c>
      <c r="D849" s="1" t="s">
        <v>74</v>
      </c>
      <c r="E849" s="1" t="s">
        <v>74</v>
      </c>
      <c r="F849" s="1" t="s">
        <v>8465</v>
      </c>
      <c r="G849" s="1" t="s">
        <v>74</v>
      </c>
      <c r="H849" s="1" t="s">
        <v>74</v>
      </c>
      <c r="I849" s="1" t="s">
        <v>8466</v>
      </c>
      <c r="J849" s="1" t="s">
        <v>1184</v>
      </c>
      <c r="K849" s="1" t="s">
        <v>74</v>
      </c>
      <c r="L849" s="1" t="s">
        <v>74</v>
      </c>
      <c r="M849" s="1" t="s">
        <v>74</v>
      </c>
      <c r="N849" s="1" t="s">
        <v>74</v>
      </c>
      <c r="O849" s="1" t="s">
        <v>74</v>
      </c>
      <c r="P849" s="1" t="s">
        <v>74</v>
      </c>
      <c r="Q849" s="1" t="s">
        <v>74</v>
      </c>
      <c r="R849" s="1" t="s">
        <v>74</v>
      </c>
      <c r="S849" s="1" t="s">
        <v>74</v>
      </c>
      <c r="T849" s="1" t="s">
        <v>74</v>
      </c>
      <c r="U849" s="1" t="s">
        <v>74</v>
      </c>
      <c r="V849" s="1" t="s">
        <v>8467</v>
      </c>
      <c r="W849" s="1" t="s">
        <v>74</v>
      </c>
      <c r="X849" s="1" t="s">
        <v>74</v>
      </c>
      <c r="Y849" s="1" t="s">
        <v>74</v>
      </c>
      <c r="Z849" s="1" t="s">
        <v>74</v>
      </c>
      <c r="AA849" s="1" t="s">
        <v>8468</v>
      </c>
      <c r="AB849" s="1" t="s">
        <v>2131</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1188</v>
      </c>
      <c r="AP849" s="1" t="s">
        <v>74</v>
      </c>
      <c r="AQ849" s="1" t="s">
        <v>74</v>
      </c>
      <c r="AR849" s="1" t="s">
        <v>74</v>
      </c>
      <c r="AS849" s="1" t="s">
        <v>74</v>
      </c>
      <c r="AT849" s="1" t="s">
        <v>974</v>
      </c>
      <c r="AU849" s="1">
        <v>2019.0</v>
      </c>
      <c r="AV849" s="1">
        <v>18.0</v>
      </c>
      <c r="AW849" s="1">
        <v>4.0</v>
      </c>
      <c r="AX849" s="1" t="s">
        <v>74</v>
      </c>
      <c r="AY849" s="1" t="s">
        <v>74</v>
      </c>
      <c r="AZ849" s="1" t="s">
        <v>74</v>
      </c>
      <c r="BA849" s="1" t="s">
        <v>74</v>
      </c>
      <c r="BB849" s="1">
        <v>425.0</v>
      </c>
      <c r="BC849" s="1">
        <v>434.0</v>
      </c>
      <c r="BD849" s="1" t="s">
        <v>74</v>
      </c>
      <c r="BE849" s="1" t="s">
        <v>8469</v>
      </c>
      <c r="BF849" s="2" t="str">
        <f>HYPERLINK("http://dx.doi.org/10.35588/blacpma.19.18.4.27","http://dx.doi.org/10.35588/blacpma.19.18.4.27")</f>
        <v>http://dx.doi.org/10.35588/blacpma.19.18.4.27</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8470</v>
      </c>
      <c r="BT849" s="1" t="str">
        <f>HYPERLINK("https%3A%2F%2Fwww.webofscience.com%2Fwos%2Fwoscc%2Ffull-record%2FWOS:000472546200006","View Full Record in Web of Science")</f>
        <v>View Full Record in Web of Science</v>
      </c>
    </row>
    <row r="850" ht="12.75" customHeight="1">
      <c r="A850" s="1" t="s">
        <v>72</v>
      </c>
      <c r="B850" s="1" t="s">
        <v>8471</v>
      </c>
      <c r="C850" s="1" t="s">
        <v>74</v>
      </c>
      <c r="D850" s="1" t="s">
        <v>74</v>
      </c>
      <c r="E850" s="1" t="s">
        <v>74</v>
      </c>
      <c r="F850" s="1" t="s">
        <v>8472</v>
      </c>
      <c r="G850" s="1" t="s">
        <v>74</v>
      </c>
      <c r="H850" s="1" t="s">
        <v>74</v>
      </c>
      <c r="I850" s="1" t="s">
        <v>8473</v>
      </c>
      <c r="J850" s="1" t="s">
        <v>7409</v>
      </c>
      <c r="K850" s="1" t="s">
        <v>74</v>
      </c>
      <c r="L850" s="1" t="s">
        <v>74</v>
      </c>
      <c r="M850" s="1" t="s">
        <v>74</v>
      </c>
      <c r="N850" s="1" t="s">
        <v>74</v>
      </c>
      <c r="O850" s="1" t="s">
        <v>74</v>
      </c>
      <c r="P850" s="1" t="s">
        <v>74</v>
      </c>
      <c r="Q850" s="1" t="s">
        <v>74</v>
      </c>
      <c r="R850" s="1" t="s">
        <v>74</v>
      </c>
      <c r="S850" s="1" t="s">
        <v>74</v>
      </c>
      <c r="T850" s="1" t="s">
        <v>74</v>
      </c>
      <c r="U850" s="1" t="s">
        <v>74</v>
      </c>
      <c r="V850" s="1" t="s">
        <v>8474</v>
      </c>
      <c r="W850" s="1" t="s">
        <v>74</v>
      </c>
      <c r="X850" s="1" t="s">
        <v>74</v>
      </c>
      <c r="Y850" s="1" t="s">
        <v>74</v>
      </c>
      <c r="Z850" s="1" t="s">
        <v>74</v>
      </c>
      <c r="AA850" s="1" t="s">
        <v>8475</v>
      </c>
      <c r="AB850" s="1" t="s">
        <v>8476</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7413</v>
      </c>
      <c r="AP850" s="1" t="s">
        <v>74</v>
      </c>
      <c r="AQ850" s="1" t="s">
        <v>74</v>
      </c>
      <c r="AR850" s="1" t="s">
        <v>74</v>
      </c>
      <c r="AS850" s="1" t="s">
        <v>74</v>
      </c>
      <c r="AT850" s="1" t="s">
        <v>8477</v>
      </c>
      <c r="AU850" s="1">
        <v>2013.0</v>
      </c>
      <c r="AV850" s="1" t="s">
        <v>74</v>
      </c>
      <c r="AW850" s="1">
        <v>9.0</v>
      </c>
      <c r="AX850" s="1" t="s">
        <v>74</v>
      </c>
      <c r="AY850" s="1" t="s">
        <v>74</v>
      </c>
      <c r="AZ850" s="1" t="s">
        <v>74</v>
      </c>
      <c r="BA850" s="1" t="s">
        <v>74</v>
      </c>
      <c r="BB850" s="1" t="s">
        <v>74</v>
      </c>
      <c r="BC850" s="1" t="s">
        <v>74</v>
      </c>
      <c r="BD850" s="1">
        <v>16.0</v>
      </c>
      <c r="BE850" s="1" t="s">
        <v>8478</v>
      </c>
      <c r="BF850" s="2" t="str">
        <f>HYPERLINK("http://dx.doi.org/10.1007/JHEP09(2013)016","http://dx.doi.org/10.1007/JHEP09(2013)016")</f>
        <v>http://dx.doi.org/10.1007/JHEP09(2013)016</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8479</v>
      </c>
      <c r="BT850" s="1" t="str">
        <f>HYPERLINK("https%3A%2F%2Fwww.webofscience.com%2Fwos%2Fwoscc%2Ffull-record%2FWOS:000325226200001","View Full Record in Web of Science")</f>
        <v>View Full Record in Web of Science</v>
      </c>
    </row>
    <row r="851" ht="12.75" customHeight="1">
      <c r="A851" s="1" t="s">
        <v>154</v>
      </c>
      <c r="B851" s="1" t="s">
        <v>8480</v>
      </c>
      <c r="C851" s="1" t="s">
        <v>74</v>
      </c>
      <c r="D851" s="1" t="s">
        <v>74</v>
      </c>
      <c r="E851" s="1" t="s">
        <v>323</v>
      </c>
      <c r="F851" s="1" t="s">
        <v>8481</v>
      </c>
      <c r="G851" s="1" t="s">
        <v>74</v>
      </c>
      <c r="H851" s="1" t="s">
        <v>74</v>
      </c>
      <c r="I851" s="1" t="s">
        <v>8482</v>
      </c>
      <c r="J851" s="1" t="s">
        <v>8483</v>
      </c>
      <c r="K851" s="1" t="s">
        <v>3414</v>
      </c>
      <c r="L851" s="1" t="s">
        <v>74</v>
      </c>
      <c r="M851" s="1" t="s">
        <v>74</v>
      </c>
      <c r="N851" s="1" t="s">
        <v>74</v>
      </c>
      <c r="O851" s="1" t="s">
        <v>8484</v>
      </c>
      <c r="P851" s="1" t="s">
        <v>8485</v>
      </c>
      <c r="Q851" s="1" t="s">
        <v>8486</v>
      </c>
      <c r="R851" s="1" t="s">
        <v>8487</v>
      </c>
      <c r="S851" s="1" t="s">
        <v>74</v>
      </c>
      <c r="T851" s="1" t="s">
        <v>74</v>
      </c>
      <c r="U851" s="1" t="s">
        <v>74</v>
      </c>
      <c r="V851" s="1" t="s">
        <v>8488</v>
      </c>
      <c r="W851" s="1" t="s">
        <v>74</v>
      </c>
      <c r="X851" s="1" t="s">
        <v>74</v>
      </c>
      <c r="Y851" s="1" t="s">
        <v>74</v>
      </c>
      <c r="Z851" s="1" t="s">
        <v>74</v>
      </c>
      <c r="AA851" s="1" t="s">
        <v>217</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3422</v>
      </c>
      <c r="AP851" s="1" t="s">
        <v>74</v>
      </c>
      <c r="AQ851" s="1" t="s">
        <v>8489</v>
      </c>
      <c r="AR851" s="1" t="s">
        <v>74</v>
      </c>
      <c r="AS851" s="1" t="s">
        <v>74</v>
      </c>
      <c r="AT851" s="1" t="s">
        <v>74</v>
      </c>
      <c r="AU851" s="1">
        <v>2011.0</v>
      </c>
      <c r="AV851" s="1" t="s">
        <v>74</v>
      </c>
      <c r="AW851" s="1" t="s">
        <v>74</v>
      </c>
      <c r="AX851" s="1" t="s">
        <v>74</v>
      </c>
      <c r="AY851" s="1" t="s">
        <v>74</v>
      </c>
      <c r="AZ851" s="1" t="s">
        <v>74</v>
      </c>
      <c r="BA851" s="1" t="s">
        <v>74</v>
      </c>
      <c r="BB851" s="1">
        <v>4102.0</v>
      </c>
      <c r="BC851" s="1">
        <v>4105.0</v>
      </c>
      <c r="BD851" s="1" t="s">
        <v>74</v>
      </c>
      <c r="BE851" s="1" t="s">
        <v>74</v>
      </c>
      <c r="BF851" s="1" t="s">
        <v>74</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8490</v>
      </c>
      <c r="BT851" s="1" t="str">
        <f>HYPERLINK("https%3A%2F%2Fwww.webofscience.com%2Fwos%2Fwoscc%2Ffull-record%2FWOS:000304755604068","View Full Record in Web of Science")</f>
        <v>View Full Record in Web of Science</v>
      </c>
    </row>
    <row r="852" ht="12.75" customHeight="1">
      <c r="A852" s="1" t="s">
        <v>72</v>
      </c>
      <c r="B852" s="1" t="s">
        <v>8491</v>
      </c>
      <c r="C852" s="1" t="s">
        <v>74</v>
      </c>
      <c r="D852" s="1" t="s">
        <v>74</v>
      </c>
      <c r="E852" s="1" t="s">
        <v>74</v>
      </c>
      <c r="F852" s="1" t="s">
        <v>8492</v>
      </c>
      <c r="G852" s="1" t="s">
        <v>74</v>
      </c>
      <c r="H852" s="1" t="s">
        <v>74</v>
      </c>
      <c r="I852" s="1" t="s">
        <v>8493</v>
      </c>
      <c r="J852" s="1" t="s">
        <v>8494</v>
      </c>
      <c r="K852" s="1" t="s">
        <v>74</v>
      </c>
      <c r="L852" s="1" t="s">
        <v>74</v>
      </c>
      <c r="M852" s="1" t="s">
        <v>74</v>
      </c>
      <c r="N852" s="1" t="s">
        <v>74</v>
      </c>
      <c r="O852" s="1" t="s">
        <v>74</v>
      </c>
      <c r="P852" s="1" t="s">
        <v>74</v>
      </c>
      <c r="Q852" s="1" t="s">
        <v>74</v>
      </c>
      <c r="R852" s="1" t="s">
        <v>74</v>
      </c>
      <c r="S852" s="1" t="s">
        <v>74</v>
      </c>
      <c r="T852" s="1" t="s">
        <v>74</v>
      </c>
      <c r="U852" s="1" t="s">
        <v>74</v>
      </c>
      <c r="V852" s="1" t="s">
        <v>8495</v>
      </c>
      <c r="W852" s="1" t="s">
        <v>74</v>
      </c>
      <c r="X852" s="1" t="s">
        <v>74</v>
      </c>
      <c r="Y852" s="1" t="s">
        <v>74</v>
      </c>
      <c r="Z852" s="1" t="s">
        <v>74</v>
      </c>
      <c r="AA852" s="1" t="s">
        <v>5672</v>
      </c>
      <c r="AB852" s="1" t="s">
        <v>8496</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8497</v>
      </c>
      <c r="AP852" s="1" t="s">
        <v>8498</v>
      </c>
      <c r="AQ852" s="1" t="s">
        <v>74</v>
      </c>
      <c r="AR852" s="1" t="s">
        <v>74</v>
      </c>
      <c r="AS852" s="1" t="s">
        <v>74</v>
      </c>
      <c r="AT852" s="1" t="s">
        <v>974</v>
      </c>
      <c r="AU852" s="1">
        <v>2009.0</v>
      </c>
      <c r="AV852" s="1">
        <v>33.0</v>
      </c>
      <c r="AW852" s="1">
        <v>4.0</v>
      </c>
      <c r="AX852" s="1" t="s">
        <v>74</v>
      </c>
      <c r="AY852" s="1" t="s">
        <v>74</v>
      </c>
      <c r="AZ852" s="1" t="s">
        <v>74</v>
      </c>
      <c r="BA852" s="1" t="s">
        <v>74</v>
      </c>
      <c r="BB852" s="1">
        <v>820.0</v>
      </c>
      <c r="BC852" s="1">
        <v>832.0</v>
      </c>
      <c r="BD852" s="1" t="s">
        <v>74</v>
      </c>
      <c r="BE852" s="1" t="s">
        <v>8499</v>
      </c>
      <c r="BF852" s="2" t="str">
        <f>HYPERLINK("http://dx.doi.org/10.1111/j.1574-6976.2009.00177.x","http://dx.doi.org/10.1111/j.1574-6976.2009.00177.x")</f>
        <v>http://dx.doi.org/10.1111/j.1574-6976.2009.00177.x</v>
      </c>
      <c r="BG852" s="1" t="s">
        <v>74</v>
      </c>
      <c r="BH852" s="1" t="s">
        <v>74</v>
      </c>
      <c r="BI852" s="1" t="s">
        <v>74</v>
      </c>
      <c r="BJ852" s="1" t="s">
        <v>74</v>
      </c>
      <c r="BK852" s="1" t="s">
        <v>74</v>
      </c>
      <c r="BL852" s="1" t="s">
        <v>74</v>
      </c>
      <c r="BM852" s="1" t="s">
        <v>74</v>
      </c>
      <c r="BN852" s="1">
        <v>1.9368559E7</v>
      </c>
      <c r="BO852" s="1" t="s">
        <v>74</v>
      </c>
      <c r="BP852" s="1" t="s">
        <v>74</v>
      </c>
      <c r="BQ852" s="1" t="s">
        <v>74</v>
      </c>
      <c r="BR852" s="1" t="s">
        <v>74</v>
      </c>
      <c r="BS852" s="1" t="s">
        <v>8500</v>
      </c>
      <c r="BT852" s="1" t="str">
        <f>HYPERLINK("https%3A%2F%2Fwww.webofscience.com%2Fwos%2Fwoscc%2Ffull-record%2FWOS:000266637300008","View Full Record in Web of Science")</f>
        <v>View Full Record in Web of Science</v>
      </c>
    </row>
    <row r="853" ht="12.75" customHeight="1">
      <c r="A853" s="1" t="s">
        <v>72</v>
      </c>
      <c r="B853" s="1" t="s">
        <v>8501</v>
      </c>
      <c r="C853" s="1" t="s">
        <v>74</v>
      </c>
      <c r="D853" s="1" t="s">
        <v>74</v>
      </c>
      <c r="E853" s="1" t="s">
        <v>74</v>
      </c>
      <c r="F853" s="1" t="s">
        <v>8502</v>
      </c>
      <c r="G853" s="1" t="s">
        <v>74</v>
      </c>
      <c r="H853" s="1" t="s">
        <v>74</v>
      </c>
      <c r="I853" s="1" t="s">
        <v>8503</v>
      </c>
      <c r="J853" s="1" t="s">
        <v>8504</v>
      </c>
      <c r="K853" s="1" t="s">
        <v>74</v>
      </c>
      <c r="L853" s="1" t="s">
        <v>74</v>
      </c>
      <c r="M853" s="1" t="s">
        <v>74</v>
      </c>
      <c r="N853" s="1" t="s">
        <v>74</v>
      </c>
      <c r="O853" s="1" t="s">
        <v>74</v>
      </c>
      <c r="P853" s="1" t="s">
        <v>74</v>
      </c>
      <c r="Q853" s="1" t="s">
        <v>74</v>
      </c>
      <c r="R853" s="1" t="s">
        <v>74</v>
      </c>
      <c r="S853" s="1" t="s">
        <v>74</v>
      </c>
      <c r="T853" s="1" t="s">
        <v>74</v>
      </c>
      <c r="U853" s="1" t="s">
        <v>74</v>
      </c>
      <c r="V853" s="1" t="s">
        <v>8505</v>
      </c>
      <c r="W853" s="1" t="s">
        <v>74</v>
      </c>
      <c r="X853" s="1" t="s">
        <v>74</v>
      </c>
      <c r="Y853" s="1" t="s">
        <v>74</v>
      </c>
      <c r="Z853" s="1" t="s">
        <v>74</v>
      </c>
      <c r="AA853" s="1" t="s">
        <v>8506</v>
      </c>
      <c r="AB853" s="1" t="s">
        <v>8507</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8508</v>
      </c>
      <c r="AP853" s="1" t="s">
        <v>74</v>
      </c>
      <c r="AQ853" s="1" t="s">
        <v>74</v>
      </c>
      <c r="AR853" s="1" t="s">
        <v>74</v>
      </c>
      <c r="AS853" s="1" t="s">
        <v>74</v>
      </c>
      <c r="AT853" s="1" t="s">
        <v>74</v>
      </c>
      <c r="AU853" s="1">
        <v>2007.0</v>
      </c>
      <c r="AV853" s="1">
        <v>359.0</v>
      </c>
      <c r="AW853" s="1">
        <v>5.0</v>
      </c>
      <c r="AX853" s="1" t="s">
        <v>74</v>
      </c>
      <c r="AY853" s="1" t="s">
        <v>74</v>
      </c>
      <c r="AZ853" s="1" t="s">
        <v>74</v>
      </c>
      <c r="BA853" s="1" t="s">
        <v>74</v>
      </c>
      <c r="BB853" s="1">
        <v>2305.0</v>
      </c>
      <c r="BC853" s="1">
        <v>2315.0</v>
      </c>
      <c r="BD853" s="1" t="s">
        <v>74</v>
      </c>
      <c r="BE853" s="1" t="s">
        <v>8509</v>
      </c>
      <c r="BF853" s="2" t="str">
        <f>HYPERLINK("http://dx.doi.org/10.1090/S0002-9947-06-04027-X","http://dx.doi.org/10.1090/S0002-9947-06-04027-X")</f>
        <v>http://dx.doi.org/10.1090/S0002-9947-06-04027-X</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8510</v>
      </c>
      <c r="BT853" s="1" t="str">
        <f>HYPERLINK("https%3A%2F%2Fwww.webofscience.com%2Fwos%2Fwoscc%2Ffull-record%2FWOS:000243610400016","View Full Record in Web of Science")</f>
        <v>View Full Record in Web of Science</v>
      </c>
    </row>
    <row r="854" ht="12.75" customHeight="1">
      <c r="A854" s="1" t="s">
        <v>72</v>
      </c>
      <c r="B854" s="1" t="s">
        <v>8511</v>
      </c>
      <c r="C854" s="1" t="s">
        <v>74</v>
      </c>
      <c r="D854" s="1" t="s">
        <v>74</v>
      </c>
      <c r="E854" s="1" t="s">
        <v>74</v>
      </c>
      <c r="F854" s="1" t="s">
        <v>8512</v>
      </c>
      <c r="G854" s="1" t="s">
        <v>74</v>
      </c>
      <c r="H854" s="1" t="s">
        <v>74</v>
      </c>
      <c r="I854" s="1" t="s">
        <v>8513</v>
      </c>
      <c r="J854" s="1" t="s">
        <v>8514</v>
      </c>
      <c r="K854" s="1" t="s">
        <v>74</v>
      </c>
      <c r="L854" s="1" t="s">
        <v>74</v>
      </c>
      <c r="M854" s="1" t="s">
        <v>74</v>
      </c>
      <c r="N854" s="1" t="s">
        <v>74</v>
      </c>
      <c r="O854" s="1" t="s">
        <v>74</v>
      </c>
      <c r="P854" s="1" t="s">
        <v>74</v>
      </c>
      <c r="Q854" s="1" t="s">
        <v>74</v>
      </c>
      <c r="R854" s="1" t="s">
        <v>74</v>
      </c>
      <c r="S854" s="1" t="s">
        <v>74</v>
      </c>
      <c r="T854" s="1" t="s">
        <v>74</v>
      </c>
      <c r="U854" s="1" t="s">
        <v>74</v>
      </c>
      <c r="V854" s="1" t="s">
        <v>8515</v>
      </c>
      <c r="W854" s="1" t="s">
        <v>74</v>
      </c>
      <c r="X854" s="1" t="s">
        <v>74</v>
      </c>
      <c r="Y854" s="1" t="s">
        <v>74</v>
      </c>
      <c r="Z854" s="1" t="s">
        <v>74</v>
      </c>
      <c r="AA854" s="1" t="s">
        <v>8516</v>
      </c>
      <c r="AB854" s="1" t="s">
        <v>8517</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8518</v>
      </c>
      <c r="AP854" s="1" t="s">
        <v>8519</v>
      </c>
      <c r="AQ854" s="1" t="s">
        <v>74</v>
      </c>
      <c r="AR854" s="1" t="s">
        <v>74</v>
      </c>
      <c r="AS854" s="1" t="s">
        <v>74</v>
      </c>
      <c r="AT854" s="1" t="s">
        <v>176</v>
      </c>
      <c r="AU854" s="1">
        <v>2023.0</v>
      </c>
      <c r="AV854" s="1">
        <v>194.0</v>
      </c>
      <c r="AW854" s="1" t="s">
        <v>74</v>
      </c>
      <c r="AX854" s="1" t="s">
        <v>74</v>
      </c>
      <c r="AY854" s="1" t="s">
        <v>74</v>
      </c>
      <c r="AZ854" s="1" t="s">
        <v>74</v>
      </c>
      <c r="BA854" s="1" t="s">
        <v>74</v>
      </c>
      <c r="BB854" s="1" t="s">
        <v>74</v>
      </c>
      <c r="BC854" s="1" t="s">
        <v>74</v>
      </c>
      <c r="BD854" s="1">
        <v>105854.0</v>
      </c>
      <c r="BE854" s="1" t="s">
        <v>8520</v>
      </c>
      <c r="BF854" s="2" t="str">
        <f>HYPERLINK("http://dx.doi.org/10.1016/j.supflu.2023.105854","http://dx.doi.org/10.1016/j.supflu.2023.105854")</f>
        <v>http://dx.doi.org/10.1016/j.supflu.2023.105854</v>
      </c>
      <c r="BG854" s="1" t="s">
        <v>74</v>
      </c>
      <c r="BH854" s="1" t="s">
        <v>310</v>
      </c>
      <c r="BI854" s="1" t="s">
        <v>74</v>
      </c>
      <c r="BJ854" s="1" t="s">
        <v>74</v>
      </c>
      <c r="BK854" s="1" t="s">
        <v>74</v>
      </c>
      <c r="BL854" s="1" t="s">
        <v>74</v>
      </c>
      <c r="BM854" s="1" t="s">
        <v>74</v>
      </c>
      <c r="BN854" s="1" t="s">
        <v>74</v>
      </c>
      <c r="BO854" s="1" t="s">
        <v>74</v>
      </c>
      <c r="BP854" s="1" t="s">
        <v>74</v>
      </c>
      <c r="BQ854" s="1" t="s">
        <v>74</v>
      </c>
      <c r="BR854" s="1" t="s">
        <v>74</v>
      </c>
      <c r="BS854" s="1" t="s">
        <v>8521</v>
      </c>
      <c r="BT854" s="1" t="str">
        <f>HYPERLINK("https%3A%2F%2Fwww.webofscience.com%2Fwos%2Fwoscc%2Ffull-record%2FWOS:000931597300001","View Full Record in Web of Science")</f>
        <v>View Full Record in Web of Science</v>
      </c>
    </row>
    <row r="855" ht="12.75" customHeight="1">
      <c r="A855" s="1" t="s">
        <v>72</v>
      </c>
      <c r="B855" s="1" t="s">
        <v>8522</v>
      </c>
      <c r="C855" s="1" t="s">
        <v>74</v>
      </c>
      <c r="D855" s="1" t="s">
        <v>74</v>
      </c>
      <c r="E855" s="1" t="s">
        <v>74</v>
      </c>
      <c r="F855" s="1" t="s">
        <v>8523</v>
      </c>
      <c r="G855" s="1" t="s">
        <v>74</v>
      </c>
      <c r="H855" s="1" t="s">
        <v>74</v>
      </c>
      <c r="I855" s="1" t="s">
        <v>8524</v>
      </c>
      <c r="J855" s="1" t="s">
        <v>1991</v>
      </c>
      <c r="K855" s="1" t="s">
        <v>74</v>
      </c>
      <c r="L855" s="1" t="s">
        <v>74</v>
      </c>
      <c r="M855" s="1" t="s">
        <v>74</v>
      </c>
      <c r="N855" s="1" t="s">
        <v>74</v>
      </c>
      <c r="O855" s="1" t="s">
        <v>74</v>
      </c>
      <c r="P855" s="1" t="s">
        <v>74</v>
      </c>
      <c r="Q855" s="1" t="s">
        <v>74</v>
      </c>
      <c r="R855" s="1" t="s">
        <v>74</v>
      </c>
      <c r="S855" s="1" t="s">
        <v>74</v>
      </c>
      <c r="T855" s="1" t="s">
        <v>74</v>
      </c>
      <c r="U855" s="1" t="s">
        <v>74</v>
      </c>
      <c r="V855" s="1" t="s">
        <v>8525</v>
      </c>
      <c r="W855" s="1" t="s">
        <v>74</v>
      </c>
      <c r="X855" s="1" t="s">
        <v>74</v>
      </c>
      <c r="Y855" s="1" t="s">
        <v>74</v>
      </c>
      <c r="Z855" s="1" t="s">
        <v>74</v>
      </c>
      <c r="AA855" s="1" t="s">
        <v>8526</v>
      </c>
      <c r="AB855" s="1" t="s">
        <v>8527</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74</v>
      </c>
      <c r="AP855" s="1" t="s">
        <v>1995</v>
      </c>
      <c r="AQ855" s="1" t="s">
        <v>74</v>
      </c>
      <c r="AR855" s="1" t="s">
        <v>74</v>
      </c>
      <c r="AS855" s="1" t="s">
        <v>74</v>
      </c>
      <c r="AT855" s="1" t="s">
        <v>8528</v>
      </c>
      <c r="AU855" s="1">
        <v>2022.0</v>
      </c>
      <c r="AV855" s="1">
        <v>9.0</v>
      </c>
      <c r="AW855" s="1" t="s">
        <v>74</v>
      </c>
      <c r="AX855" s="1" t="s">
        <v>74</v>
      </c>
      <c r="AY855" s="1" t="s">
        <v>74</v>
      </c>
      <c r="AZ855" s="1" t="s">
        <v>74</v>
      </c>
      <c r="BA855" s="1" t="s">
        <v>74</v>
      </c>
      <c r="BB855" s="1" t="s">
        <v>74</v>
      </c>
      <c r="BC855" s="1" t="s">
        <v>74</v>
      </c>
      <c r="BD855" s="1">
        <v>972135.0</v>
      </c>
      <c r="BE855" s="1" t="s">
        <v>8529</v>
      </c>
      <c r="BF855" s="2" t="str">
        <f>HYPERLINK("http://dx.doi.org/10.3389/fmars.2022.972135","http://dx.doi.org/10.3389/fmars.2022.972135")</f>
        <v>http://dx.doi.org/10.3389/fmars.2022.972135</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8530</v>
      </c>
      <c r="BT855" s="1" t="str">
        <f>HYPERLINK("https%3A%2F%2Fwww.webofscience.com%2Fwos%2Fwoscc%2Ffull-record%2FWOS:000862307200001","View Full Record in Web of Science")</f>
        <v>View Full Record in Web of Science</v>
      </c>
    </row>
    <row r="856" ht="12.75" customHeight="1">
      <c r="A856" s="1" t="s">
        <v>72</v>
      </c>
      <c r="B856" s="1" t="s">
        <v>8531</v>
      </c>
      <c r="C856" s="1" t="s">
        <v>74</v>
      </c>
      <c r="D856" s="1" t="s">
        <v>74</v>
      </c>
      <c r="E856" s="1" t="s">
        <v>74</v>
      </c>
      <c r="F856" s="1" t="s">
        <v>8532</v>
      </c>
      <c r="G856" s="1" t="s">
        <v>74</v>
      </c>
      <c r="H856" s="1" t="s">
        <v>74</v>
      </c>
      <c r="I856" s="1" t="s">
        <v>8533</v>
      </c>
      <c r="J856" s="1" t="s">
        <v>8534</v>
      </c>
      <c r="K856" s="1" t="s">
        <v>74</v>
      </c>
      <c r="L856" s="1" t="s">
        <v>74</v>
      </c>
      <c r="M856" s="1" t="s">
        <v>74</v>
      </c>
      <c r="N856" s="1" t="s">
        <v>74</v>
      </c>
      <c r="O856" s="1" t="s">
        <v>74</v>
      </c>
      <c r="P856" s="1" t="s">
        <v>74</v>
      </c>
      <c r="Q856" s="1" t="s">
        <v>74</v>
      </c>
      <c r="R856" s="1" t="s">
        <v>74</v>
      </c>
      <c r="S856" s="1" t="s">
        <v>74</v>
      </c>
      <c r="T856" s="1" t="s">
        <v>74</v>
      </c>
      <c r="U856" s="1" t="s">
        <v>74</v>
      </c>
      <c r="V856" s="1" t="s">
        <v>8535</v>
      </c>
      <c r="W856" s="1" t="s">
        <v>74</v>
      </c>
      <c r="X856" s="1" t="s">
        <v>74</v>
      </c>
      <c r="Y856" s="1" t="s">
        <v>74</v>
      </c>
      <c r="Z856" s="1" t="s">
        <v>74</v>
      </c>
      <c r="AA856" s="1" t="s">
        <v>8536</v>
      </c>
      <c r="AB856" s="1" t="s">
        <v>8537</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8538</v>
      </c>
      <c r="AP856" s="1" t="s">
        <v>8539</v>
      </c>
      <c r="AQ856" s="1" t="s">
        <v>74</v>
      </c>
      <c r="AR856" s="1" t="s">
        <v>74</v>
      </c>
      <c r="AS856" s="1" t="s">
        <v>74</v>
      </c>
      <c r="AT856" s="1" t="s">
        <v>6791</v>
      </c>
      <c r="AU856" s="1">
        <v>2022.0</v>
      </c>
      <c r="AV856" s="1">
        <v>45.0</v>
      </c>
      <c r="AW856" s="1">
        <v>2.0</v>
      </c>
      <c r="AX856" s="1" t="s">
        <v>74</v>
      </c>
      <c r="AY856" s="1" t="s">
        <v>74</v>
      </c>
      <c r="AZ856" s="1" t="s">
        <v>74</v>
      </c>
      <c r="BA856" s="1" t="s">
        <v>74</v>
      </c>
      <c r="BB856" s="1" t="s">
        <v>74</v>
      </c>
      <c r="BC856" s="1" t="s">
        <v>74</v>
      </c>
      <c r="BD856" s="1" t="s">
        <v>8540</v>
      </c>
      <c r="BE856" s="1" t="s">
        <v>8541</v>
      </c>
      <c r="BF856" s="2" t="str">
        <f>HYPERLINK("http://dx.doi.org/10.1093/sleep/zsab300","http://dx.doi.org/10.1093/sleep/zsab300")</f>
        <v>http://dx.doi.org/10.1093/sleep/zsab300</v>
      </c>
      <c r="BG856" s="1" t="s">
        <v>74</v>
      </c>
      <c r="BH856" s="1" t="s">
        <v>2805</v>
      </c>
      <c r="BI856" s="1" t="s">
        <v>74</v>
      </c>
      <c r="BJ856" s="1" t="s">
        <v>74</v>
      </c>
      <c r="BK856" s="1" t="s">
        <v>74</v>
      </c>
      <c r="BL856" s="1" t="s">
        <v>74</v>
      </c>
      <c r="BM856" s="1" t="s">
        <v>74</v>
      </c>
      <c r="BN856" s="1">
        <v>3.4962269E7</v>
      </c>
      <c r="BO856" s="1" t="s">
        <v>74</v>
      </c>
      <c r="BP856" s="1" t="s">
        <v>74</v>
      </c>
      <c r="BQ856" s="1" t="s">
        <v>74</v>
      </c>
      <c r="BR856" s="1" t="s">
        <v>74</v>
      </c>
      <c r="BS856" s="1" t="s">
        <v>8542</v>
      </c>
      <c r="BT856" s="1" t="str">
        <f>HYPERLINK("https%3A%2F%2Fwww.webofscience.com%2Fwos%2Fwoscc%2Ffull-record%2FWOS:000756437000019","View Full Record in Web of Science")</f>
        <v>View Full Record in Web of Science</v>
      </c>
    </row>
    <row r="857" ht="12.75" customHeight="1">
      <c r="A857" s="1" t="s">
        <v>72</v>
      </c>
      <c r="B857" s="1" t="s">
        <v>8543</v>
      </c>
      <c r="C857" s="1" t="s">
        <v>74</v>
      </c>
      <c r="D857" s="1" t="s">
        <v>74</v>
      </c>
      <c r="E857" s="1" t="s">
        <v>74</v>
      </c>
      <c r="F857" s="1" t="s">
        <v>8544</v>
      </c>
      <c r="G857" s="1" t="s">
        <v>74</v>
      </c>
      <c r="H857" s="1" t="s">
        <v>74</v>
      </c>
      <c r="I857" s="1" t="s">
        <v>8545</v>
      </c>
      <c r="J857" s="1" t="s">
        <v>8546</v>
      </c>
      <c r="K857" s="1" t="s">
        <v>74</v>
      </c>
      <c r="L857" s="1" t="s">
        <v>74</v>
      </c>
      <c r="M857" s="1" t="s">
        <v>74</v>
      </c>
      <c r="N857" s="1" t="s">
        <v>74</v>
      </c>
      <c r="O857" s="1" t="s">
        <v>74</v>
      </c>
      <c r="P857" s="1" t="s">
        <v>74</v>
      </c>
      <c r="Q857" s="1" t="s">
        <v>74</v>
      </c>
      <c r="R857" s="1" t="s">
        <v>74</v>
      </c>
      <c r="S857" s="1" t="s">
        <v>74</v>
      </c>
      <c r="T857" s="1" t="s">
        <v>74</v>
      </c>
      <c r="U857" s="1" t="s">
        <v>74</v>
      </c>
      <c r="V857" s="1" t="s">
        <v>8547</v>
      </c>
      <c r="W857" s="1" t="s">
        <v>74</v>
      </c>
      <c r="X857" s="1" t="s">
        <v>74</v>
      </c>
      <c r="Y857" s="1" t="s">
        <v>74</v>
      </c>
      <c r="Z857" s="1" t="s">
        <v>74</v>
      </c>
      <c r="AA857" s="1" t="s">
        <v>8548</v>
      </c>
      <c r="AB857" s="1" t="s">
        <v>8549</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8550</v>
      </c>
      <c r="AP857" s="1" t="s">
        <v>8551</v>
      </c>
      <c r="AQ857" s="1" t="s">
        <v>74</v>
      </c>
      <c r="AR857" s="1" t="s">
        <v>74</v>
      </c>
      <c r="AS857" s="1" t="s">
        <v>74</v>
      </c>
      <c r="AT857" s="1" t="s">
        <v>94</v>
      </c>
      <c r="AU857" s="1">
        <v>2021.0</v>
      </c>
      <c r="AV857" s="1">
        <v>10.0</v>
      </c>
      <c r="AW857" s="1">
        <v>3.0</v>
      </c>
      <c r="AX857" s="1" t="s">
        <v>74</v>
      </c>
      <c r="AY857" s="1" t="s">
        <v>74</v>
      </c>
      <c r="AZ857" s="1" t="s">
        <v>74</v>
      </c>
      <c r="BA857" s="1" t="s">
        <v>74</v>
      </c>
      <c r="BB857" s="1">
        <v>296.0</v>
      </c>
      <c r="BC857" s="1">
        <v>307.0</v>
      </c>
      <c r="BD857" s="1" t="s">
        <v>74</v>
      </c>
      <c r="BE857" s="1" t="s">
        <v>8552</v>
      </c>
      <c r="BF857" s="2" t="str">
        <f>HYPERLINK("http://dx.doi.org/10.1016/j.jshs.2020.12.001","http://dx.doi.org/10.1016/j.jshs.2020.12.001")</f>
        <v>http://dx.doi.org/10.1016/j.jshs.2020.12.001</v>
      </c>
      <c r="BG857" s="1" t="s">
        <v>74</v>
      </c>
      <c r="BH857" s="1" t="s">
        <v>795</v>
      </c>
      <c r="BI857" s="1" t="s">
        <v>74</v>
      </c>
      <c r="BJ857" s="1" t="s">
        <v>74</v>
      </c>
      <c r="BK857" s="1" t="s">
        <v>74</v>
      </c>
      <c r="BL857" s="1" t="s">
        <v>74</v>
      </c>
      <c r="BM857" s="1" t="s">
        <v>74</v>
      </c>
      <c r="BN857" s="1">
        <v>3.3285309E7</v>
      </c>
      <c r="BO857" s="1" t="s">
        <v>74</v>
      </c>
      <c r="BP857" s="1" t="s">
        <v>74</v>
      </c>
      <c r="BQ857" s="1" t="s">
        <v>74</v>
      </c>
      <c r="BR857" s="1" t="s">
        <v>74</v>
      </c>
      <c r="BS857" s="1" t="s">
        <v>8553</v>
      </c>
      <c r="BT857" s="1" t="str">
        <f>HYPERLINK("https%3A%2F%2Fwww.webofscience.com%2Fwos%2Fwoscc%2Ffull-record%2FWOS:000653691200007","View Full Record in Web of Science")</f>
        <v>View Full Record in Web of Science</v>
      </c>
    </row>
    <row r="858" ht="12.75" customHeight="1">
      <c r="A858" s="1" t="s">
        <v>72</v>
      </c>
      <c r="B858" s="1" t="s">
        <v>8554</v>
      </c>
      <c r="C858" s="1" t="s">
        <v>74</v>
      </c>
      <c r="D858" s="1" t="s">
        <v>74</v>
      </c>
      <c r="E858" s="1" t="s">
        <v>74</v>
      </c>
      <c r="F858" s="1" t="s">
        <v>8555</v>
      </c>
      <c r="G858" s="1" t="s">
        <v>74</v>
      </c>
      <c r="H858" s="1" t="s">
        <v>74</v>
      </c>
      <c r="I858" s="1" t="s">
        <v>8556</v>
      </c>
      <c r="J858" s="1" t="s">
        <v>360</v>
      </c>
      <c r="K858" s="1" t="s">
        <v>74</v>
      </c>
      <c r="L858" s="1" t="s">
        <v>74</v>
      </c>
      <c r="M858" s="1" t="s">
        <v>74</v>
      </c>
      <c r="N858" s="1" t="s">
        <v>74</v>
      </c>
      <c r="O858" s="1" t="s">
        <v>74</v>
      </c>
      <c r="P858" s="1" t="s">
        <v>74</v>
      </c>
      <c r="Q858" s="1" t="s">
        <v>74</v>
      </c>
      <c r="R858" s="1" t="s">
        <v>74</v>
      </c>
      <c r="S858" s="1" t="s">
        <v>74</v>
      </c>
      <c r="T858" s="1" t="s">
        <v>74</v>
      </c>
      <c r="U858" s="1" t="s">
        <v>74</v>
      </c>
      <c r="V858" s="1" t="s">
        <v>8557</v>
      </c>
      <c r="W858" s="1" t="s">
        <v>74</v>
      </c>
      <c r="X858" s="1" t="s">
        <v>74</v>
      </c>
      <c r="Y858" s="1" t="s">
        <v>74</v>
      </c>
      <c r="Z858" s="1" t="s">
        <v>74</v>
      </c>
      <c r="AA858" s="1" t="s">
        <v>8558</v>
      </c>
      <c r="AB858" s="1" t="s">
        <v>8559</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364</v>
      </c>
      <c r="AP858" s="1" t="s">
        <v>365</v>
      </c>
      <c r="AQ858" s="1" t="s">
        <v>74</v>
      </c>
      <c r="AR858" s="1" t="s">
        <v>74</v>
      </c>
      <c r="AS858" s="1" t="s">
        <v>74</v>
      </c>
      <c r="AT858" s="1" t="s">
        <v>74</v>
      </c>
      <c r="AU858" s="1">
        <v>2021.0</v>
      </c>
      <c r="AV858" s="1">
        <v>21.0</v>
      </c>
      <c r="AW858" s="1">
        <v>4.0</v>
      </c>
      <c r="AX858" s="1" t="s">
        <v>74</v>
      </c>
      <c r="AY858" s="1" t="s">
        <v>74</v>
      </c>
      <c r="AZ858" s="1" t="s">
        <v>74</v>
      </c>
      <c r="BA858" s="1" t="s">
        <v>74</v>
      </c>
      <c r="BB858" s="1">
        <v>12.0</v>
      </c>
      <c r="BC858" s="1">
        <v>19.0</v>
      </c>
      <c r="BD858" s="1" t="s">
        <v>74</v>
      </c>
      <c r="BE858" s="1" t="s">
        <v>8560</v>
      </c>
      <c r="BF858" s="2" t="str">
        <f>HYPERLINK("http://dx.doi.org/10.14589/ido.21.4.3","http://dx.doi.org/10.14589/ido.21.4.3")</f>
        <v>http://dx.doi.org/10.14589/ido.21.4.3</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8561</v>
      </c>
      <c r="BT858" s="1" t="str">
        <f>HYPERLINK("https%3A%2F%2Fwww.webofscience.com%2Fwos%2Fwoscc%2Ffull-record%2FWOS:000694766900003","View Full Record in Web of Science")</f>
        <v>View Full Record in Web of Science</v>
      </c>
    </row>
    <row r="859" ht="12.75" customHeight="1">
      <c r="A859" s="1" t="s">
        <v>72</v>
      </c>
      <c r="B859" s="1" t="s">
        <v>8562</v>
      </c>
      <c r="C859" s="1" t="s">
        <v>74</v>
      </c>
      <c r="D859" s="1" t="s">
        <v>74</v>
      </c>
      <c r="E859" s="1" t="s">
        <v>74</v>
      </c>
      <c r="F859" s="1" t="s">
        <v>8563</v>
      </c>
      <c r="G859" s="1" t="s">
        <v>74</v>
      </c>
      <c r="H859" s="1" t="s">
        <v>74</v>
      </c>
      <c r="I859" s="1" t="s">
        <v>8564</v>
      </c>
      <c r="J859" s="1" t="s">
        <v>1622</v>
      </c>
      <c r="K859" s="1" t="s">
        <v>74</v>
      </c>
      <c r="L859" s="1" t="s">
        <v>74</v>
      </c>
      <c r="M859" s="1" t="s">
        <v>74</v>
      </c>
      <c r="N859" s="1" t="s">
        <v>74</v>
      </c>
      <c r="O859" s="1" t="s">
        <v>74</v>
      </c>
      <c r="P859" s="1" t="s">
        <v>74</v>
      </c>
      <c r="Q859" s="1" t="s">
        <v>74</v>
      </c>
      <c r="R859" s="1" t="s">
        <v>74</v>
      </c>
      <c r="S859" s="1" t="s">
        <v>74</v>
      </c>
      <c r="T859" s="1" t="s">
        <v>74</v>
      </c>
      <c r="U859" s="1" t="s">
        <v>74</v>
      </c>
      <c r="V859" s="1" t="s">
        <v>8565</v>
      </c>
      <c r="W859" s="1" t="s">
        <v>74</v>
      </c>
      <c r="X859" s="1" t="s">
        <v>74</v>
      </c>
      <c r="Y859" s="1" t="s">
        <v>74</v>
      </c>
      <c r="Z859" s="1" t="s">
        <v>74</v>
      </c>
      <c r="AA859" s="1" t="s">
        <v>8566</v>
      </c>
      <c r="AB859" s="1" t="s">
        <v>8567</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1626</v>
      </c>
      <c r="AP859" s="1" t="s">
        <v>1627</v>
      </c>
      <c r="AQ859" s="1" t="s">
        <v>74</v>
      </c>
      <c r="AR859" s="1" t="s">
        <v>74</v>
      </c>
      <c r="AS859" s="1" t="s">
        <v>74</v>
      </c>
      <c r="AT859" s="1" t="s">
        <v>1082</v>
      </c>
      <c r="AU859" s="1">
        <v>2020.0</v>
      </c>
      <c r="AV859" s="1">
        <v>21.0</v>
      </c>
      <c r="AW859" s="1">
        <v>21.0</v>
      </c>
      <c r="AX859" s="1" t="s">
        <v>74</v>
      </c>
      <c r="AY859" s="1" t="s">
        <v>74</v>
      </c>
      <c r="AZ859" s="1" t="s">
        <v>74</v>
      </c>
      <c r="BA859" s="1" t="s">
        <v>74</v>
      </c>
      <c r="BB859" s="1" t="s">
        <v>74</v>
      </c>
      <c r="BC859" s="1" t="s">
        <v>74</v>
      </c>
      <c r="BD859" s="1">
        <v>7904.0</v>
      </c>
      <c r="BE859" s="1" t="s">
        <v>8568</v>
      </c>
      <c r="BF859" s="2" t="str">
        <f>HYPERLINK("http://dx.doi.org/10.3390/ijms21217904","http://dx.doi.org/10.3390/ijms21217904")</f>
        <v>http://dx.doi.org/10.3390/ijms21217904</v>
      </c>
      <c r="BG859" s="1" t="s">
        <v>74</v>
      </c>
      <c r="BH859" s="1" t="s">
        <v>74</v>
      </c>
      <c r="BI859" s="1" t="s">
        <v>74</v>
      </c>
      <c r="BJ859" s="1" t="s">
        <v>74</v>
      </c>
      <c r="BK859" s="1" t="s">
        <v>74</v>
      </c>
      <c r="BL859" s="1" t="s">
        <v>74</v>
      </c>
      <c r="BM859" s="1" t="s">
        <v>74</v>
      </c>
      <c r="BN859" s="1">
        <v>3.3114359E7</v>
      </c>
      <c r="BO859" s="1" t="s">
        <v>74</v>
      </c>
      <c r="BP859" s="1" t="s">
        <v>74</v>
      </c>
      <c r="BQ859" s="1" t="s">
        <v>74</v>
      </c>
      <c r="BR859" s="1" t="s">
        <v>74</v>
      </c>
      <c r="BS859" s="1" t="s">
        <v>8569</v>
      </c>
      <c r="BT859" s="1" t="str">
        <f>HYPERLINK("https%3A%2F%2Fwww.webofscience.com%2Fwos%2Fwoscc%2Ffull-record%2FWOS:000588949200001","View Full Record in Web of Science")</f>
        <v>View Full Record in Web of Science</v>
      </c>
    </row>
    <row r="860" ht="12.75" customHeight="1">
      <c r="A860" s="1" t="s">
        <v>72</v>
      </c>
      <c r="B860" s="1" t="s">
        <v>8570</v>
      </c>
      <c r="C860" s="1" t="s">
        <v>74</v>
      </c>
      <c r="D860" s="1" t="s">
        <v>74</v>
      </c>
      <c r="E860" s="1" t="s">
        <v>74</v>
      </c>
      <c r="F860" s="1" t="s">
        <v>8571</v>
      </c>
      <c r="G860" s="1" t="s">
        <v>74</v>
      </c>
      <c r="H860" s="1" t="s">
        <v>74</v>
      </c>
      <c r="I860" s="1" t="s">
        <v>8572</v>
      </c>
      <c r="J860" s="1" t="s">
        <v>8573</v>
      </c>
      <c r="K860" s="1" t="s">
        <v>74</v>
      </c>
      <c r="L860" s="1" t="s">
        <v>74</v>
      </c>
      <c r="M860" s="1" t="s">
        <v>74</v>
      </c>
      <c r="N860" s="1" t="s">
        <v>74</v>
      </c>
      <c r="O860" s="1" t="s">
        <v>74</v>
      </c>
      <c r="P860" s="1" t="s">
        <v>74</v>
      </c>
      <c r="Q860" s="1" t="s">
        <v>74</v>
      </c>
      <c r="R860" s="1" t="s">
        <v>74</v>
      </c>
      <c r="S860" s="1" t="s">
        <v>74</v>
      </c>
      <c r="T860" s="1" t="s">
        <v>74</v>
      </c>
      <c r="U860" s="1" t="s">
        <v>74</v>
      </c>
      <c r="V860" s="1" t="s">
        <v>8574</v>
      </c>
      <c r="W860" s="1" t="s">
        <v>74</v>
      </c>
      <c r="X860" s="1" t="s">
        <v>74</v>
      </c>
      <c r="Y860" s="1" t="s">
        <v>74</v>
      </c>
      <c r="Z860" s="1" t="s">
        <v>74</v>
      </c>
      <c r="AA860" s="1" t="s">
        <v>8575</v>
      </c>
      <c r="AB860" s="1" t="s">
        <v>8576</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8577</v>
      </c>
      <c r="AP860" s="1" t="s">
        <v>8578</v>
      </c>
      <c r="AQ860" s="1" t="s">
        <v>74</v>
      </c>
      <c r="AR860" s="1" t="s">
        <v>74</v>
      </c>
      <c r="AS860" s="1" t="s">
        <v>74</v>
      </c>
      <c r="AT860" s="1" t="s">
        <v>176</v>
      </c>
      <c r="AU860" s="1">
        <v>2020.0</v>
      </c>
      <c r="AV860" s="1">
        <v>41.0</v>
      </c>
      <c r="AW860" s="1" t="s">
        <v>74</v>
      </c>
      <c r="AX860" s="1" t="s">
        <v>74</v>
      </c>
      <c r="AY860" s="1" t="s">
        <v>74</v>
      </c>
      <c r="AZ860" s="1" t="s">
        <v>74</v>
      </c>
      <c r="BA860" s="1" t="s">
        <v>74</v>
      </c>
      <c r="BB860" s="1" t="s">
        <v>74</v>
      </c>
      <c r="BC860" s="1" t="s">
        <v>74</v>
      </c>
      <c r="BD860" s="1">
        <v>101087.0</v>
      </c>
      <c r="BE860" s="1" t="s">
        <v>8579</v>
      </c>
      <c r="BF860" s="2" t="str">
        <f>HYPERLINK("http://dx.doi.org/10.1016/j.jocs.2020.101087","http://dx.doi.org/10.1016/j.jocs.2020.101087")</f>
        <v>http://dx.doi.org/10.1016/j.jocs.2020.101087</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8580</v>
      </c>
      <c r="BT860" s="1" t="str">
        <f>HYPERLINK("https%3A%2F%2Fwww.webofscience.com%2Fwos%2Fwoscc%2Ffull-record%2FWOS:000527278400008","View Full Record in Web of Science")</f>
        <v>View Full Record in Web of Science</v>
      </c>
    </row>
    <row r="861" ht="12.75" customHeight="1">
      <c r="A861" s="1" t="s">
        <v>72</v>
      </c>
      <c r="B861" s="1" t="s">
        <v>8581</v>
      </c>
      <c r="C861" s="1" t="s">
        <v>74</v>
      </c>
      <c r="D861" s="1" t="s">
        <v>74</v>
      </c>
      <c r="E861" s="1" t="s">
        <v>74</v>
      </c>
      <c r="F861" s="1" t="s">
        <v>8582</v>
      </c>
      <c r="G861" s="1" t="s">
        <v>74</v>
      </c>
      <c r="H861" s="1" t="s">
        <v>74</v>
      </c>
      <c r="I861" s="1" t="s">
        <v>8583</v>
      </c>
      <c r="J861" s="1" t="s">
        <v>4560</v>
      </c>
      <c r="K861" s="1" t="s">
        <v>74</v>
      </c>
      <c r="L861" s="1" t="s">
        <v>74</v>
      </c>
      <c r="M861" s="1" t="s">
        <v>74</v>
      </c>
      <c r="N861" s="1" t="s">
        <v>74</v>
      </c>
      <c r="O861" s="1" t="s">
        <v>74</v>
      </c>
      <c r="P861" s="1" t="s">
        <v>74</v>
      </c>
      <c r="Q861" s="1" t="s">
        <v>74</v>
      </c>
      <c r="R861" s="1" t="s">
        <v>74</v>
      </c>
      <c r="S861" s="1" t="s">
        <v>74</v>
      </c>
      <c r="T861" s="1" t="s">
        <v>74</v>
      </c>
      <c r="U861" s="1" t="s">
        <v>74</v>
      </c>
      <c r="V861" s="1" t="s">
        <v>8584</v>
      </c>
      <c r="W861" s="1" t="s">
        <v>74</v>
      </c>
      <c r="X861" s="1" t="s">
        <v>74</v>
      </c>
      <c r="Y861" s="1" t="s">
        <v>74</v>
      </c>
      <c r="Z861" s="1" t="s">
        <v>74</v>
      </c>
      <c r="AA861" s="1" t="s">
        <v>8585</v>
      </c>
      <c r="AB861" s="1" t="s">
        <v>8586</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4564</v>
      </c>
      <c r="AP861" s="1" t="s">
        <v>4565</v>
      </c>
      <c r="AQ861" s="1" t="s">
        <v>74</v>
      </c>
      <c r="AR861" s="1" t="s">
        <v>74</v>
      </c>
      <c r="AS861" s="1" t="s">
        <v>74</v>
      </c>
      <c r="AT861" s="1" t="s">
        <v>5881</v>
      </c>
      <c r="AU861" s="1">
        <v>2018.0</v>
      </c>
      <c r="AV861" s="1">
        <v>36.0</v>
      </c>
      <c r="AW861" s="1">
        <v>4.0</v>
      </c>
      <c r="AX861" s="1" t="s">
        <v>74</v>
      </c>
      <c r="AY861" s="1" t="s">
        <v>74</v>
      </c>
      <c r="AZ861" s="1" t="s">
        <v>74</v>
      </c>
      <c r="BA861" s="1" t="s">
        <v>74</v>
      </c>
      <c r="BB861" s="1">
        <v>1131.0</v>
      </c>
      <c r="BC861" s="1">
        <v>1140.0</v>
      </c>
      <c r="BD861" s="1" t="s">
        <v>74</v>
      </c>
      <c r="BE861" s="1" t="s">
        <v>8587</v>
      </c>
      <c r="BF861" s="2" t="str">
        <f>HYPERLINK("http://dx.doi.org/10.5194/angeo-36-1131-2018","http://dx.doi.org/10.5194/angeo-36-1131-2018")</f>
        <v>http://dx.doi.org/10.5194/angeo-36-1131-2018</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8588</v>
      </c>
      <c r="BT861" s="1" t="str">
        <f>HYPERLINK("https%3A%2F%2Fwww.webofscience.com%2Fwos%2Fwoscc%2Ffull-record%2FWOS:000442246700001","View Full Record in Web of Science")</f>
        <v>View Full Record in Web of Science</v>
      </c>
    </row>
    <row r="862" ht="12.75" customHeight="1">
      <c r="A862" s="1" t="s">
        <v>72</v>
      </c>
      <c r="B862" s="1" t="s">
        <v>8589</v>
      </c>
      <c r="C862" s="1" t="s">
        <v>74</v>
      </c>
      <c r="D862" s="1" t="s">
        <v>74</v>
      </c>
      <c r="E862" s="1" t="s">
        <v>74</v>
      </c>
      <c r="F862" s="1" t="s">
        <v>8590</v>
      </c>
      <c r="G862" s="1" t="s">
        <v>74</v>
      </c>
      <c r="H862" s="1" t="s">
        <v>74</v>
      </c>
      <c r="I862" s="1" t="s">
        <v>8591</v>
      </c>
      <c r="J862" s="1" t="s">
        <v>5721</v>
      </c>
      <c r="K862" s="1" t="s">
        <v>74</v>
      </c>
      <c r="L862" s="1" t="s">
        <v>74</v>
      </c>
      <c r="M862" s="1" t="s">
        <v>74</v>
      </c>
      <c r="N862" s="1" t="s">
        <v>74</v>
      </c>
      <c r="O862" s="1" t="s">
        <v>74</v>
      </c>
      <c r="P862" s="1" t="s">
        <v>74</v>
      </c>
      <c r="Q862" s="1" t="s">
        <v>74</v>
      </c>
      <c r="R862" s="1" t="s">
        <v>74</v>
      </c>
      <c r="S862" s="1" t="s">
        <v>74</v>
      </c>
      <c r="T862" s="1" t="s">
        <v>74</v>
      </c>
      <c r="U862" s="1" t="s">
        <v>74</v>
      </c>
      <c r="V862" s="1" t="s">
        <v>8592</v>
      </c>
      <c r="W862" s="1" t="s">
        <v>74</v>
      </c>
      <c r="X862" s="1" t="s">
        <v>74</v>
      </c>
      <c r="Y862" s="1" t="s">
        <v>74</v>
      </c>
      <c r="Z862" s="1" t="s">
        <v>74</v>
      </c>
      <c r="AA862" s="1" t="s">
        <v>8593</v>
      </c>
      <c r="AB862" s="1" t="s">
        <v>8594</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74</v>
      </c>
      <c r="AP862" s="1" t="s">
        <v>5725</v>
      </c>
      <c r="AQ862" s="1" t="s">
        <v>74</v>
      </c>
      <c r="AR862" s="1" t="s">
        <v>74</v>
      </c>
      <c r="AS862" s="1" t="s">
        <v>74</v>
      </c>
      <c r="AT862" s="1" t="s">
        <v>241</v>
      </c>
      <c r="AU862" s="1">
        <v>2017.0</v>
      </c>
      <c r="AV862" s="1">
        <v>9.0</v>
      </c>
      <c r="AW862" s="1">
        <v>9.0</v>
      </c>
      <c r="AX862" s="1" t="s">
        <v>74</v>
      </c>
      <c r="AY862" s="1" t="s">
        <v>74</v>
      </c>
      <c r="AZ862" s="1" t="s">
        <v>74</v>
      </c>
      <c r="BA862" s="1" t="s">
        <v>74</v>
      </c>
      <c r="BB862" s="1" t="s">
        <v>74</v>
      </c>
      <c r="BC862" s="1" t="s">
        <v>74</v>
      </c>
      <c r="BD862" s="1">
        <v>1009.0</v>
      </c>
      <c r="BE862" s="1" t="s">
        <v>8595</v>
      </c>
      <c r="BF862" s="2" t="str">
        <f>HYPERLINK("http://dx.doi.org/10.3390/nu9091009","http://dx.doi.org/10.3390/nu9091009")</f>
        <v>http://dx.doi.org/10.3390/nu9091009</v>
      </c>
      <c r="BG862" s="1" t="s">
        <v>74</v>
      </c>
      <c r="BH862" s="1" t="s">
        <v>74</v>
      </c>
      <c r="BI862" s="1" t="s">
        <v>74</v>
      </c>
      <c r="BJ862" s="1" t="s">
        <v>74</v>
      </c>
      <c r="BK862" s="1" t="s">
        <v>74</v>
      </c>
      <c r="BL862" s="1" t="s">
        <v>74</v>
      </c>
      <c r="BM862" s="1" t="s">
        <v>74</v>
      </c>
      <c r="BN862" s="1">
        <v>2.8902162E7</v>
      </c>
      <c r="BO862" s="1" t="s">
        <v>74</v>
      </c>
      <c r="BP862" s="1" t="s">
        <v>74</v>
      </c>
      <c r="BQ862" s="1" t="s">
        <v>74</v>
      </c>
      <c r="BR862" s="1" t="s">
        <v>74</v>
      </c>
      <c r="BS862" s="1" t="s">
        <v>8596</v>
      </c>
      <c r="BT862" s="1" t="str">
        <f>HYPERLINK("https%3A%2F%2Fwww.webofscience.com%2Fwos%2Fwoscc%2Ffull-record%2FWOS:000411973200092","View Full Record in Web of Science")</f>
        <v>View Full Record in Web of Science</v>
      </c>
    </row>
    <row r="863" ht="12.75" customHeight="1">
      <c r="A863" s="1" t="s">
        <v>72</v>
      </c>
      <c r="B863" s="1" t="s">
        <v>8597</v>
      </c>
      <c r="C863" s="1" t="s">
        <v>74</v>
      </c>
      <c r="D863" s="1" t="s">
        <v>74</v>
      </c>
      <c r="E863" s="1" t="s">
        <v>74</v>
      </c>
      <c r="F863" s="1" t="s">
        <v>8598</v>
      </c>
      <c r="G863" s="1" t="s">
        <v>74</v>
      </c>
      <c r="H863" s="1" t="s">
        <v>74</v>
      </c>
      <c r="I863" s="1" t="s">
        <v>8599</v>
      </c>
      <c r="J863" s="1" t="s">
        <v>6708</v>
      </c>
      <c r="K863" s="1" t="s">
        <v>74</v>
      </c>
      <c r="L863" s="1" t="s">
        <v>74</v>
      </c>
      <c r="M863" s="1" t="s">
        <v>74</v>
      </c>
      <c r="N863" s="1" t="s">
        <v>74</v>
      </c>
      <c r="O863" s="1" t="s">
        <v>74</v>
      </c>
      <c r="P863" s="1" t="s">
        <v>74</v>
      </c>
      <c r="Q863" s="1" t="s">
        <v>74</v>
      </c>
      <c r="R863" s="1" t="s">
        <v>74</v>
      </c>
      <c r="S863" s="1" t="s">
        <v>74</v>
      </c>
      <c r="T863" s="1" t="s">
        <v>74</v>
      </c>
      <c r="U863" s="1" t="s">
        <v>74</v>
      </c>
      <c r="V863" s="1" t="s">
        <v>8600</v>
      </c>
      <c r="W863" s="1" t="s">
        <v>74</v>
      </c>
      <c r="X863" s="1" t="s">
        <v>74</v>
      </c>
      <c r="Y863" s="1" t="s">
        <v>74</v>
      </c>
      <c r="Z863" s="1" t="s">
        <v>74</v>
      </c>
      <c r="AA863" s="1" t="s">
        <v>6710</v>
      </c>
      <c r="AB863" s="1" t="s">
        <v>6711</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6712</v>
      </c>
      <c r="AP863" s="1" t="s">
        <v>6713</v>
      </c>
      <c r="AQ863" s="1" t="s">
        <v>74</v>
      </c>
      <c r="AR863" s="1" t="s">
        <v>74</v>
      </c>
      <c r="AS863" s="1" t="s">
        <v>74</v>
      </c>
      <c r="AT863" s="1" t="s">
        <v>600</v>
      </c>
      <c r="AU863" s="1">
        <v>2015.0</v>
      </c>
      <c r="AV863" s="1">
        <v>9.0</v>
      </c>
      <c r="AW863" s="1">
        <v>1.0</v>
      </c>
      <c r="AX863" s="1" t="s">
        <v>74</v>
      </c>
      <c r="AY863" s="1" t="s">
        <v>74</v>
      </c>
      <c r="AZ863" s="1" t="s">
        <v>74</v>
      </c>
      <c r="BA863" s="1" t="s">
        <v>74</v>
      </c>
      <c r="BB863" s="1">
        <v>25.0</v>
      </c>
      <c r="BC863" s="1">
        <v>40.0</v>
      </c>
      <c r="BD863" s="1" t="s">
        <v>74</v>
      </c>
      <c r="BE863" s="1" t="s">
        <v>8601</v>
      </c>
      <c r="BF863" s="2" t="str">
        <f>HYPERLINK("http://dx.doi.org/10.1049/iet-cvi.2013.0261","http://dx.doi.org/10.1049/iet-cvi.2013.0261")</f>
        <v>http://dx.doi.org/10.1049/iet-cvi.2013.0261</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8602</v>
      </c>
      <c r="BT863" s="1" t="str">
        <f>HYPERLINK("https%3A%2F%2Fwww.webofscience.com%2Fwos%2Fwoscc%2Ffull-record%2FWOS:000349308600003","View Full Record in Web of Science")</f>
        <v>View Full Record in Web of Science</v>
      </c>
    </row>
    <row r="864" ht="12.75" customHeight="1">
      <c r="A864" s="1" t="s">
        <v>72</v>
      </c>
      <c r="B864" s="1" t="s">
        <v>8603</v>
      </c>
      <c r="C864" s="1" t="s">
        <v>74</v>
      </c>
      <c r="D864" s="1" t="s">
        <v>74</v>
      </c>
      <c r="E864" s="1" t="s">
        <v>74</v>
      </c>
      <c r="F864" s="1" t="s">
        <v>8604</v>
      </c>
      <c r="G864" s="1" t="s">
        <v>74</v>
      </c>
      <c r="H864" s="1" t="s">
        <v>74</v>
      </c>
      <c r="I864" s="1" t="s">
        <v>8605</v>
      </c>
      <c r="J864" s="1" t="s">
        <v>8606</v>
      </c>
      <c r="K864" s="1" t="s">
        <v>74</v>
      </c>
      <c r="L864" s="1" t="s">
        <v>74</v>
      </c>
      <c r="M864" s="1" t="s">
        <v>74</v>
      </c>
      <c r="N864" s="1" t="s">
        <v>74</v>
      </c>
      <c r="O864" s="1" t="s">
        <v>74</v>
      </c>
      <c r="P864" s="1" t="s">
        <v>74</v>
      </c>
      <c r="Q864" s="1" t="s">
        <v>74</v>
      </c>
      <c r="R864" s="1" t="s">
        <v>74</v>
      </c>
      <c r="S864" s="1" t="s">
        <v>74</v>
      </c>
      <c r="T864" s="1" t="s">
        <v>74</v>
      </c>
      <c r="U864" s="1" t="s">
        <v>74</v>
      </c>
      <c r="V864" s="1" t="s">
        <v>8607</v>
      </c>
      <c r="W864" s="1" t="s">
        <v>74</v>
      </c>
      <c r="X864" s="1" t="s">
        <v>74</v>
      </c>
      <c r="Y864" s="1" t="s">
        <v>74</v>
      </c>
      <c r="Z864" s="1" t="s">
        <v>74</v>
      </c>
      <c r="AA864" s="1" t="s">
        <v>8608</v>
      </c>
      <c r="AB864" s="1" t="s">
        <v>8609</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8610</v>
      </c>
      <c r="AP864" s="1" t="s">
        <v>8611</v>
      </c>
      <c r="AQ864" s="1" t="s">
        <v>74</v>
      </c>
      <c r="AR864" s="1" t="s">
        <v>74</v>
      </c>
      <c r="AS864" s="1" t="s">
        <v>74</v>
      </c>
      <c r="AT864" s="1" t="s">
        <v>385</v>
      </c>
      <c r="AU864" s="1">
        <v>2014.0</v>
      </c>
      <c r="AV864" s="1">
        <v>88.0</v>
      </c>
      <c r="AW864" s="1">
        <v>11.0</v>
      </c>
      <c r="AX864" s="1" t="s">
        <v>74</v>
      </c>
      <c r="AY864" s="1" t="s">
        <v>74</v>
      </c>
      <c r="AZ864" s="1" t="s">
        <v>74</v>
      </c>
      <c r="BA864" s="1" t="s">
        <v>74</v>
      </c>
      <c r="BB864" s="1">
        <v>5936.0</v>
      </c>
      <c r="BC864" s="1">
        <v>5955.0</v>
      </c>
      <c r="BD864" s="1" t="s">
        <v>74</v>
      </c>
      <c r="BE864" s="1" t="s">
        <v>8612</v>
      </c>
      <c r="BF864" s="2" t="str">
        <f>HYPERLINK("http://dx.doi.org/10.1128/JVI.00279-14","http://dx.doi.org/10.1128/JVI.00279-14")</f>
        <v>http://dx.doi.org/10.1128/JVI.00279-14</v>
      </c>
      <c r="BG864" s="1" t="s">
        <v>74</v>
      </c>
      <c r="BH864" s="1" t="s">
        <v>74</v>
      </c>
      <c r="BI864" s="1" t="s">
        <v>74</v>
      </c>
      <c r="BJ864" s="1" t="s">
        <v>74</v>
      </c>
      <c r="BK864" s="1" t="s">
        <v>74</v>
      </c>
      <c r="BL864" s="1" t="s">
        <v>74</v>
      </c>
      <c r="BM864" s="1" t="s">
        <v>74</v>
      </c>
      <c r="BN864" s="1">
        <v>2.4623421E7</v>
      </c>
      <c r="BO864" s="1" t="s">
        <v>74</v>
      </c>
      <c r="BP864" s="1" t="s">
        <v>74</v>
      </c>
      <c r="BQ864" s="1" t="s">
        <v>74</v>
      </c>
      <c r="BR864" s="1" t="s">
        <v>74</v>
      </c>
      <c r="BS864" s="1" t="s">
        <v>8613</v>
      </c>
      <c r="BT864" s="1" t="str">
        <f>HYPERLINK("https%3A%2F%2Fwww.webofscience.com%2Fwos%2Fwoscc%2Ffull-record%2FWOS:000335970300005","View Full Record in Web of Science")</f>
        <v>View Full Record in Web of Science</v>
      </c>
    </row>
    <row r="865" ht="12.75" customHeight="1">
      <c r="A865" s="1" t="s">
        <v>72</v>
      </c>
      <c r="B865" s="1" t="s">
        <v>8614</v>
      </c>
      <c r="C865" s="1" t="s">
        <v>74</v>
      </c>
      <c r="D865" s="1" t="s">
        <v>74</v>
      </c>
      <c r="E865" s="1" t="s">
        <v>74</v>
      </c>
      <c r="F865" s="1" t="s">
        <v>8615</v>
      </c>
      <c r="G865" s="1" t="s">
        <v>74</v>
      </c>
      <c r="H865" s="1" t="s">
        <v>74</v>
      </c>
      <c r="I865" s="1" t="s">
        <v>8616</v>
      </c>
      <c r="J865" s="1" t="s">
        <v>8617</v>
      </c>
      <c r="K865" s="1" t="s">
        <v>74</v>
      </c>
      <c r="L865" s="1" t="s">
        <v>74</v>
      </c>
      <c r="M865" s="1" t="s">
        <v>74</v>
      </c>
      <c r="N865" s="1" t="s">
        <v>74</v>
      </c>
      <c r="O865" s="1" t="s">
        <v>74</v>
      </c>
      <c r="P865" s="1" t="s">
        <v>74</v>
      </c>
      <c r="Q865" s="1" t="s">
        <v>74</v>
      </c>
      <c r="R865" s="1" t="s">
        <v>74</v>
      </c>
      <c r="S865" s="1" t="s">
        <v>74</v>
      </c>
      <c r="T865" s="1" t="s">
        <v>74</v>
      </c>
      <c r="U865" s="1" t="s">
        <v>74</v>
      </c>
      <c r="V865" s="1" t="s">
        <v>8618</v>
      </c>
      <c r="W865" s="1" t="s">
        <v>74</v>
      </c>
      <c r="X865" s="1" t="s">
        <v>74</v>
      </c>
      <c r="Y865" s="1" t="s">
        <v>74</v>
      </c>
      <c r="Z865" s="1" t="s">
        <v>74</v>
      </c>
      <c r="AA865" s="1" t="s">
        <v>8619</v>
      </c>
      <c r="AB865" s="1" t="s">
        <v>8620</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8621</v>
      </c>
      <c r="AP865" s="1" t="s">
        <v>8622</v>
      </c>
      <c r="AQ865" s="1" t="s">
        <v>74</v>
      </c>
      <c r="AR865" s="1" t="s">
        <v>74</v>
      </c>
      <c r="AS865" s="1" t="s">
        <v>74</v>
      </c>
      <c r="AT865" s="1" t="s">
        <v>489</v>
      </c>
      <c r="AU865" s="1">
        <v>2009.0</v>
      </c>
      <c r="AV865" s="1">
        <v>151.0</v>
      </c>
      <c r="AW865" s="1" t="s">
        <v>201</v>
      </c>
      <c r="AX865" s="1" t="s">
        <v>74</v>
      </c>
      <c r="AY865" s="1" t="s">
        <v>74</v>
      </c>
      <c r="AZ865" s="1" t="s">
        <v>74</v>
      </c>
      <c r="BA865" s="1" t="s">
        <v>74</v>
      </c>
      <c r="BB865" s="1">
        <v>333.0</v>
      </c>
      <c r="BC865" s="1">
        <v>341.0</v>
      </c>
      <c r="BD865" s="1" t="s">
        <v>74</v>
      </c>
      <c r="BE865" s="1" t="s">
        <v>8623</v>
      </c>
      <c r="BF865" s="2" t="str">
        <f>HYPERLINK("http://dx.doi.org/10.1016/j.cej.2009.04.012","http://dx.doi.org/10.1016/j.cej.2009.04.012")</f>
        <v>http://dx.doi.org/10.1016/j.cej.2009.04.012</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8624</v>
      </c>
      <c r="BT865" s="1" t="str">
        <f>HYPERLINK("https%3A%2F%2Fwww.webofscience.com%2Fwos%2Fwoscc%2Ffull-record%2FWOS:000274348300042","View Full Record in Web of Science")</f>
        <v>View Full Record in Web of Science</v>
      </c>
    </row>
    <row r="866" ht="12.75" customHeight="1">
      <c r="A866" s="1" t="s">
        <v>72</v>
      </c>
      <c r="B866" s="1" t="s">
        <v>8625</v>
      </c>
      <c r="C866" s="1" t="s">
        <v>74</v>
      </c>
      <c r="D866" s="1" t="s">
        <v>74</v>
      </c>
      <c r="E866" s="1" t="s">
        <v>74</v>
      </c>
      <c r="F866" s="1" t="s">
        <v>8626</v>
      </c>
      <c r="G866" s="1" t="s">
        <v>74</v>
      </c>
      <c r="H866" s="1" t="s">
        <v>74</v>
      </c>
      <c r="I866" s="1" t="s">
        <v>8627</v>
      </c>
      <c r="J866" s="1" t="s">
        <v>3110</v>
      </c>
      <c r="K866" s="1" t="s">
        <v>74</v>
      </c>
      <c r="L866" s="1" t="s">
        <v>74</v>
      </c>
      <c r="M866" s="1" t="s">
        <v>74</v>
      </c>
      <c r="N866" s="1" t="s">
        <v>74</v>
      </c>
      <c r="O866" s="1" t="s">
        <v>74</v>
      </c>
      <c r="P866" s="1" t="s">
        <v>74</v>
      </c>
      <c r="Q866" s="1" t="s">
        <v>74</v>
      </c>
      <c r="R866" s="1" t="s">
        <v>74</v>
      </c>
      <c r="S866" s="1" t="s">
        <v>74</v>
      </c>
      <c r="T866" s="1" t="s">
        <v>74</v>
      </c>
      <c r="U866" s="1" t="s">
        <v>74</v>
      </c>
      <c r="V866" s="1" t="s">
        <v>8628</v>
      </c>
      <c r="W866" s="1" t="s">
        <v>74</v>
      </c>
      <c r="X866" s="1" t="s">
        <v>74</v>
      </c>
      <c r="Y866" s="1" t="s">
        <v>74</v>
      </c>
      <c r="Z866" s="1" t="s">
        <v>74</v>
      </c>
      <c r="AA866" s="1" t="s">
        <v>8629</v>
      </c>
      <c r="AB866" s="1" t="s">
        <v>8630</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3114</v>
      </c>
      <c r="AP866" s="1" t="s">
        <v>3115</v>
      </c>
      <c r="AQ866" s="1" t="s">
        <v>74</v>
      </c>
      <c r="AR866" s="1" t="s">
        <v>74</v>
      </c>
      <c r="AS866" s="1" t="s">
        <v>74</v>
      </c>
      <c r="AT866" s="1" t="s">
        <v>6843</v>
      </c>
      <c r="AU866" s="1">
        <v>2009.0</v>
      </c>
      <c r="AV866" s="1">
        <v>358.0</v>
      </c>
      <c r="AW866" s="1">
        <v>1.0</v>
      </c>
      <c r="AX866" s="1" t="s">
        <v>74</v>
      </c>
      <c r="AY866" s="1" t="s">
        <v>74</v>
      </c>
      <c r="AZ866" s="1" t="s">
        <v>74</v>
      </c>
      <c r="BA866" s="1" t="s">
        <v>74</v>
      </c>
      <c r="BB866" s="1">
        <v>26.0</v>
      </c>
      <c r="BC866" s="1">
        <v>31.0</v>
      </c>
      <c r="BD866" s="1" t="s">
        <v>74</v>
      </c>
      <c r="BE866" s="1" t="s">
        <v>8631</v>
      </c>
      <c r="BF866" s="2" t="str">
        <f>HYPERLINK("http://dx.doi.org/10.1016/j.apcata.2009.01.034","http://dx.doi.org/10.1016/j.apcata.2009.01.034")</f>
        <v>http://dx.doi.org/10.1016/j.apcata.2009.01.034</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8632</v>
      </c>
      <c r="BT866" s="1" t="str">
        <f>HYPERLINK("https%3A%2F%2Fwww.webofscience.com%2Fwos%2Fwoscc%2Ffull-record%2FWOS:000265237700005","View Full Record in Web of Science")</f>
        <v>View Full Record in Web of Science</v>
      </c>
    </row>
    <row r="867" ht="12.75" customHeight="1">
      <c r="A867" s="1" t="s">
        <v>72</v>
      </c>
      <c r="B867" s="1" t="s">
        <v>8633</v>
      </c>
      <c r="C867" s="1" t="s">
        <v>74</v>
      </c>
      <c r="D867" s="1" t="s">
        <v>74</v>
      </c>
      <c r="E867" s="1" t="s">
        <v>74</v>
      </c>
      <c r="F867" s="1" t="s">
        <v>8633</v>
      </c>
      <c r="G867" s="1" t="s">
        <v>74</v>
      </c>
      <c r="H867" s="1" t="s">
        <v>74</v>
      </c>
      <c r="I867" s="1" t="s">
        <v>8634</v>
      </c>
      <c r="J867" s="1" t="s">
        <v>5241</v>
      </c>
      <c r="K867" s="1" t="s">
        <v>74</v>
      </c>
      <c r="L867" s="1" t="s">
        <v>74</v>
      </c>
      <c r="M867" s="1" t="s">
        <v>74</v>
      </c>
      <c r="N867" s="1" t="s">
        <v>74</v>
      </c>
      <c r="O867" s="1" t="s">
        <v>74</v>
      </c>
      <c r="P867" s="1" t="s">
        <v>74</v>
      </c>
      <c r="Q867" s="1" t="s">
        <v>74</v>
      </c>
      <c r="R867" s="1" t="s">
        <v>74</v>
      </c>
      <c r="S867" s="1" t="s">
        <v>74</v>
      </c>
      <c r="T867" s="1" t="s">
        <v>74</v>
      </c>
      <c r="U867" s="1" t="s">
        <v>74</v>
      </c>
      <c r="V867" s="1" t="s">
        <v>8635</v>
      </c>
      <c r="W867" s="1" t="s">
        <v>74</v>
      </c>
      <c r="X867" s="1" t="s">
        <v>74</v>
      </c>
      <c r="Y867" s="1" t="s">
        <v>74</v>
      </c>
      <c r="Z867" s="1" t="s">
        <v>74</v>
      </c>
      <c r="AA867" s="1" t="s">
        <v>8636</v>
      </c>
      <c r="AB867" s="1" t="s">
        <v>8637</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5245</v>
      </c>
      <c r="AP867" s="1" t="s">
        <v>5246</v>
      </c>
      <c r="AQ867" s="1" t="s">
        <v>74</v>
      </c>
      <c r="AR867" s="1" t="s">
        <v>74</v>
      </c>
      <c r="AS867" s="1" t="s">
        <v>74</v>
      </c>
      <c r="AT867" s="1" t="s">
        <v>176</v>
      </c>
      <c r="AU867" s="1">
        <v>2006.0</v>
      </c>
      <c r="AV867" s="1">
        <v>73.0</v>
      </c>
      <c r="AW867" s="1">
        <v>9.0</v>
      </c>
      <c r="AX867" s="1" t="s">
        <v>74</v>
      </c>
      <c r="AY867" s="1" t="s">
        <v>74</v>
      </c>
      <c r="AZ867" s="1" t="s">
        <v>74</v>
      </c>
      <c r="BA867" s="1" t="s">
        <v>74</v>
      </c>
      <c r="BB867" s="1" t="s">
        <v>74</v>
      </c>
      <c r="BC867" s="1" t="s">
        <v>74</v>
      </c>
      <c r="BD867" s="1">
        <v>92417.0</v>
      </c>
      <c r="BE867" s="1" t="s">
        <v>8638</v>
      </c>
      <c r="BF867" s="2" t="str">
        <f>HYPERLINK("http://dx.doi.org/10.1103/PhysRevB.73.092417","http://dx.doi.org/10.1103/PhysRevB.73.092417")</f>
        <v>http://dx.doi.org/10.1103/PhysRevB.73.092417</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8639</v>
      </c>
      <c r="BT867" s="1" t="str">
        <f>HYPERLINK("https%3A%2F%2Fwww.webofscience.com%2Fwos%2Fwoscc%2Ffull-record%2FWOS:000236467100027","View Full Record in Web of Science")</f>
        <v>View Full Record in Web of Science</v>
      </c>
    </row>
    <row r="868" ht="12.75" customHeight="1">
      <c r="A868" s="1" t="s">
        <v>72</v>
      </c>
      <c r="B868" s="1" t="s">
        <v>8640</v>
      </c>
      <c r="C868" s="1" t="s">
        <v>74</v>
      </c>
      <c r="D868" s="1" t="s">
        <v>74</v>
      </c>
      <c r="E868" s="1" t="s">
        <v>74</v>
      </c>
      <c r="F868" s="1" t="s">
        <v>8640</v>
      </c>
      <c r="G868" s="1" t="s">
        <v>74</v>
      </c>
      <c r="H868" s="1" t="s">
        <v>74</v>
      </c>
      <c r="I868" s="1" t="s">
        <v>8641</v>
      </c>
      <c r="J868" s="1" t="s">
        <v>8642</v>
      </c>
      <c r="K868" s="1" t="s">
        <v>74</v>
      </c>
      <c r="L868" s="1" t="s">
        <v>74</v>
      </c>
      <c r="M868" s="1" t="s">
        <v>74</v>
      </c>
      <c r="N868" s="1" t="s">
        <v>74</v>
      </c>
      <c r="O868" s="1" t="s">
        <v>74</v>
      </c>
      <c r="P868" s="1" t="s">
        <v>74</v>
      </c>
      <c r="Q868" s="1" t="s">
        <v>74</v>
      </c>
      <c r="R868" s="1" t="s">
        <v>74</v>
      </c>
      <c r="S868" s="1" t="s">
        <v>74</v>
      </c>
      <c r="T868" s="1" t="s">
        <v>74</v>
      </c>
      <c r="U868" s="1" t="s">
        <v>74</v>
      </c>
      <c r="V868" s="1" t="s">
        <v>8643</v>
      </c>
      <c r="W868" s="1" t="s">
        <v>74</v>
      </c>
      <c r="X868" s="1" t="s">
        <v>74</v>
      </c>
      <c r="Y868" s="1" t="s">
        <v>74</v>
      </c>
      <c r="Z868" s="1" t="s">
        <v>74</v>
      </c>
      <c r="AA868" s="1" t="s">
        <v>8644</v>
      </c>
      <c r="AB868" s="1" t="s">
        <v>8645</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8646</v>
      </c>
      <c r="AP868" s="1" t="s">
        <v>74</v>
      </c>
      <c r="AQ868" s="1" t="s">
        <v>74</v>
      </c>
      <c r="AR868" s="1" t="s">
        <v>74</v>
      </c>
      <c r="AS868" s="1" t="s">
        <v>74</v>
      </c>
      <c r="AT868" s="1" t="s">
        <v>8647</v>
      </c>
      <c r="AU868" s="1">
        <v>2003.0</v>
      </c>
      <c r="AV868" s="1">
        <v>14.0</v>
      </c>
      <c r="AW868" s="1">
        <v>11.0</v>
      </c>
      <c r="AX868" s="1" t="s">
        <v>74</v>
      </c>
      <c r="AY868" s="1" t="s">
        <v>74</v>
      </c>
      <c r="AZ868" s="1" t="s">
        <v>74</v>
      </c>
      <c r="BA868" s="1" t="s">
        <v>74</v>
      </c>
      <c r="BB868" s="1">
        <v>1473.0</v>
      </c>
      <c r="BC868" s="1">
        <v>1477.0</v>
      </c>
      <c r="BD868" s="1" t="s">
        <v>74</v>
      </c>
      <c r="BE868" s="1" t="s">
        <v>8648</v>
      </c>
      <c r="BF868" s="2" t="str">
        <f>HYPERLINK("http://dx.doi.org/10.1016/S0957-4166(03)00317-3","http://dx.doi.org/10.1016/S0957-4166(03)00317-3")</f>
        <v>http://dx.doi.org/10.1016/S0957-4166(03)00317-3</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8649</v>
      </c>
      <c r="BT868" s="1" t="str">
        <f>HYPERLINK("https%3A%2F%2Fwww.webofscience.com%2Fwos%2Fwoscc%2Ffull-record%2FWOS:000183239900008","View Full Record in Web of Science")</f>
        <v>View Full Record in Web of Science</v>
      </c>
    </row>
    <row r="869" ht="12.75" customHeight="1">
      <c r="A869" s="1" t="s">
        <v>72</v>
      </c>
      <c r="B869" s="1" t="s">
        <v>8633</v>
      </c>
      <c r="C869" s="1" t="s">
        <v>74</v>
      </c>
      <c r="D869" s="1" t="s">
        <v>74</v>
      </c>
      <c r="E869" s="1" t="s">
        <v>74</v>
      </c>
      <c r="F869" s="1" t="s">
        <v>8633</v>
      </c>
      <c r="G869" s="1" t="s">
        <v>74</v>
      </c>
      <c r="H869" s="1" t="s">
        <v>74</v>
      </c>
      <c r="I869" s="1" t="s">
        <v>8650</v>
      </c>
      <c r="J869" s="1" t="s">
        <v>1780</v>
      </c>
      <c r="K869" s="1" t="s">
        <v>74</v>
      </c>
      <c r="L869" s="1" t="s">
        <v>74</v>
      </c>
      <c r="M869" s="1" t="s">
        <v>74</v>
      </c>
      <c r="N869" s="1" t="s">
        <v>74</v>
      </c>
      <c r="O869" s="1" t="s">
        <v>8651</v>
      </c>
      <c r="P869" s="1" t="s">
        <v>8652</v>
      </c>
      <c r="Q869" s="1" t="s">
        <v>8653</v>
      </c>
      <c r="R869" s="1" t="s">
        <v>8654</v>
      </c>
      <c r="S869" s="1" t="s">
        <v>74</v>
      </c>
      <c r="T869" s="1" t="s">
        <v>74</v>
      </c>
      <c r="U869" s="1" t="s">
        <v>74</v>
      </c>
      <c r="V869" s="1" t="s">
        <v>8655</v>
      </c>
      <c r="W869" s="1" t="s">
        <v>74</v>
      </c>
      <c r="X869" s="1" t="s">
        <v>74</v>
      </c>
      <c r="Y869" s="1" t="s">
        <v>74</v>
      </c>
      <c r="Z869" s="1" t="s">
        <v>74</v>
      </c>
      <c r="AA869" s="1" t="s">
        <v>8636</v>
      </c>
      <c r="AB869" s="1" t="s">
        <v>8637</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1784</v>
      </c>
      <c r="AP869" s="1" t="s">
        <v>1785</v>
      </c>
      <c r="AQ869" s="1" t="s">
        <v>74</v>
      </c>
      <c r="AR869" s="1" t="s">
        <v>74</v>
      </c>
      <c r="AS869" s="1" t="s">
        <v>74</v>
      </c>
      <c r="AT869" s="1" t="s">
        <v>94</v>
      </c>
      <c r="AU869" s="1">
        <v>2001.0</v>
      </c>
      <c r="AV869" s="1">
        <v>226.0</v>
      </c>
      <c r="AW869" s="1" t="s">
        <v>74</v>
      </c>
      <c r="AX869" s="1">
        <v>1.0</v>
      </c>
      <c r="AY869" s="1" t="s">
        <v>74</v>
      </c>
      <c r="AZ869" s="1" t="s">
        <v>1350</v>
      </c>
      <c r="BA869" s="1" t="s">
        <v>74</v>
      </c>
      <c r="BB869" s="1">
        <v>603.0</v>
      </c>
      <c r="BC869" s="1">
        <v>605.0</v>
      </c>
      <c r="BD869" s="1" t="s">
        <v>74</v>
      </c>
      <c r="BE869" s="1" t="s">
        <v>8656</v>
      </c>
      <c r="BF869" s="2" t="str">
        <f>HYPERLINK("http://dx.doi.org/10.1016/S0304-8853(00)00691-0","http://dx.doi.org/10.1016/S0304-8853(00)00691-0")</f>
        <v>http://dx.doi.org/10.1016/S0304-8853(00)00691-0</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8657</v>
      </c>
      <c r="BT869" s="1" t="str">
        <f>HYPERLINK("https%3A%2F%2Fwww.webofscience.com%2Fwos%2Fwoscc%2Ffull-record%2FWOS:000170708600221","View Full Record in Web of Science")</f>
        <v>View Full Record in Web of Science</v>
      </c>
    </row>
    <row r="870" ht="12.75" customHeight="1">
      <c r="A870" s="1" t="s">
        <v>72</v>
      </c>
      <c r="B870" s="1" t="s">
        <v>8658</v>
      </c>
      <c r="C870" s="1" t="s">
        <v>74</v>
      </c>
      <c r="D870" s="1" t="s">
        <v>74</v>
      </c>
      <c r="E870" s="1" t="s">
        <v>74</v>
      </c>
      <c r="F870" s="1" t="s">
        <v>8659</v>
      </c>
      <c r="G870" s="1" t="s">
        <v>74</v>
      </c>
      <c r="H870" s="1" t="s">
        <v>74</v>
      </c>
      <c r="I870" s="1" t="s">
        <v>8660</v>
      </c>
      <c r="J870" s="1" t="s">
        <v>8661</v>
      </c>
      <c r="K870" s="1" t="s">
        <v>74</v>
      </c>
      <c r="L870" s="1" t="s">
        <v>74</v>
      </c>
      <c r="M870" s="1" t="s">
        <v>74</v>
      </c>
      <c r="N870" s="1" t="s">
        <v>74</v>
      </c>
      <c r="O870" s="1" t="s">
        <v>74</v>
      </c>
      <c r="P870" s="1" t="s">
        <v>74</v>
      </c>
      <c r="Q870" s="1" t="s">
        <v>74</v>
      </c>
      <c r="R870" s="1" t="s">
        <v>74</v>
      </c>
      <c r="S870" s="1" t="s">
        <v>74</v>
      </c>
      <c r="T870" s="1" t="s">
        <v>74</v>
      </c>
      <c r="U870" s="1" t="s">
        <v>74</v>
      </c>
      <c r="V870" s="1" t="s">
        <v>8662</v>
      </c>
      <c r="W870" s="1" t="s">
        <v>74</v>
      </c>
      <c r="X870" s="1" t="s">
        <v>74</v>
      </c>
      <c r="Y870" s="1" t="s">
        <v>74</v>
      </c>
      <c r="Z870" s="1" t="s">
        <v>74</v>
      </c>
      <c r="AA870" s="1" t="s">
        <v>8663</v>
      </c>
      <c r="AB870" s="1" t="s">
        <v>74</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8664</v>
      </c>
      <c r="AP870" s="1" t="s">
        <v>74</v>
      </c>
      <c r="AQ870" s="1" t="s">
        <v>74</v>
      </c>
      <c r="AR870" s="1" t="s">
        <v>74</v>
      </c>
      <c r="AS870" s="1" t="s">
        <v>74</v>
      </c>
      <c r="AT870" s="1" t="s">
        <v>385</v>
      </c>
      <c r="AU870" s="1">
        <v>2024.0</v>
      </c>
      <c r="AV870" s="1">
        <v>13.0</v>
      </c>
      <c r="AW870" s="1">
        <v>3.0</v>
      </c>
      <c r="AX870" s="1" t="s">
        <v>74</v>
      </c>
      <c r="AY870" s="1" t="s">
        <v>74</v>
      </c>
      <c r="AZ870" s="1" t="s">
        <v>74</v>
      </c>
      <c r="BA870" s="1" t="s">
        <v>74</v>
      </c>
      <c r="BB870" s="1">
        <v>893.0</v>
      </c>
      <c r="BC870" s="1">
        <v>924.0</v>
      </c>
      <c r="BD870" s="1" t="s">
        <v>74</v>
      </c>
      <c r="BE870" s="1" t="s">
        <v>8665</v>
      </c>
      <c r="BF870" s="2" t="str">
        <f>HYPERLINK("http://dx.doi.org/10.3934/eect.2024010","http://dx.doi.org/10.3934/eect.2024010")</f>
        <v>http://dx.doi.org/10.3934/eect.2024010</v>
      </c>
      <c r="BG870" s="1" t="s">
        <v>74</v>
      </c>
      <c r="BH870" s="1" t="s">
        <v>2360</v>
      </c>
      <c r="BI870" s="1" t="s">
        <v>74</v>
      </c>
      <c r="BJ870" s="1" t="s">
        <v>74</v>
      </c>
      <c r="BK870" s="1" t="s">
        <v>74</v>
      </c>
      <c r="BL870" s="1" t="s">
        <v>74</v>
      </c>
      <c r="BM870" s="1" t="s">
        <v>74</v>
      </c>
      <c r="BN870" s="1" t="s">
        <v>74</v>
      </c>
      <c r="BO870" s="1" t="s">
        <v>74</v>
      </c>
      <c r="BP870" s="1" t="s">
        <v>74</v>
      </c>
      <c r="BQ870" s="1" t="s">
        <v>74</v>
      </c>
      <c r="BR870" s="1" t="s">
        <v>74</v>
      </c>
      <c r="BS870" s="1" t="s">
        <v>8666</v>
      </c>
      <c r="BT870" s="1" t="str">
        <f>HYPERLINK("https%3A%2F%2Fwww.webofscience.com%2Fwos%2Fwoscc%2Ffull-record%2FWOS:001172141900001","View Full Record in Web of Science")</f>
        <v>View Full Record in Web of Science</v>
      </c>
    </row>
    <row r="871" ht="12.75" customHeight="1">
      <c r="A871" s="1" t="s">
        <v>72</v>
      </c>
      <c r="B871" s="1" t="s">
        <v>8667</v>
      </c>
      <c r="C871" s="1" t="s">
        <v>74</v>
      </c>
      <c r="D871" s="1" t="s">
        <v>74</v>
      </c>
      <c r="E871" s="1" t="s">
        <v>74</v>
      </c>
      <c r="F871" s="1" t="s">
        <v>8668</v>
      </c>
      <c r="G871" s="1" t="s">
        <v>74</v>
      </c>
      <c r="H871" s="1" t="s">
        <v>74</v>
      </c>
      <c r="I871" s="1" t="s">
        <v>8669</v>
      </c>
      <c r="J871" s="1" t="s">
        <v>8670</v>
      </c>
      <c r="K871" s="1" t="s">
        <v>74</v>
      </c>
      <c r="L871" s="1" t="s">
        <v>74</v>
      </c>
      <c r="M871" s="1" t="s">
        <v>74</v>
      </c>
      <c r="N871" s="1" t="s">
        <v>74</v>
      </c>
      <c r="O871" s="1" t="s">
        <v>74</v>
      </c>
      <c r="P871" s="1" t="s">
        <v>74</v>
      </c>
      <c r="Q871" s="1" t="s">
        <v>74</v>
      </c>
      <c r="R871" s="1" t="s">
        <v>74</v>
      </c>
      <c r="S871" s="1" t="s">
        <v>74</v>
      </c>
      <c r="T871" s="1" t="s">
        <v>74</v>
      </c>
      <c r="U871" s="1" t="s">
        <v>74</v>
      </c>
      <c r="V871" s="1" t="s">
        <v>8671</v>
      </c>
      <c r="W871" s="1" t="s">
        <v>74</v>
      </c>
      <c r="X871" s="1" t="s">
        <v>74</v>
      </c>
      <c r="Y871" s="1" t="s">
        <v>74</v>
      </c>
      <c r="Z871" s="1" t="s">
        <v>74</v>
      </c>
      <c r="AA871" s="1" t="s">
        <v>8672</v>
      </c>
      <c r="AB871" s="1" t="s">
        <v>8673</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8674</v>
      </c>
      <c r="AP871" s="1" t="s">
        <v>8675</v>
      </c>
      <c r="AQ871" s="1" t="s">
        <v>74</v>
      </c>
      <c r="AR871" s="1" t="s">
        <v>74</v>
      </c>
      <c r="AS871" s="1" t="s">
        <v>74</v>
      </c>
      <c r="AT871" s="1" t="s">
        <v>5257</v>
      </c>
      <c r="AU871" s="1">
        <v>2023.0</v>
      </c>
      <c r="AV871" s="1">
        <v>94.0</v>
      </c>
      <c r="AW871" s="1">
        <v>4.0</v>
      </c>
      <c r="AX871" s="1" t="s">
        <v>74</v>
      </c>
      <c r="AY871" s="1" t="s">
        <v>74</v>
      </c>
      <c r="AZ871" s="1" t="s">
        <v>74</v>
      </c>
      <c r="BA871" s="1" t="s">
        <v>74</v>
      </c>
      <c r="BB871" s="1">
        <v>475.0</v>
      </c>
      <c r="BC871" s="1">
        <v>484.0</v>
      </c>
      <c r="BD871" s="1" t="s">
        <v>74</v>
      </c>
      <c r="BE871" s="1" t="s">
        <v>8676</v>
      </c>
      <c r="BF871" s="2" t="str">
        <f>HYPERLINK("http://dx.doi.org/10.32641/andespediatr.v94i4.4476","http://dx.doi.org/10.32641/andespediatr.v94i4.4476")</f>
        <v>http://dx.doi.org/10.32641/andespediatr.v94i4.4476</v>
      </c>
      <c r="BG871" s="1" t="s">
        <v>74</v>
      </c>
      <c r="BH871" s="1" t="s">
        <v>74</v>
      </c>
      <c r="BI871" s="1" t="s">
        <v>74</v>
      </c>
      <c r="BJ871" s="1" t="s">
        <v>74</v>
      </c>
      <c r="BK871" s="1" t="s">
        <v>74</v>
      </c>
      <c r="BL871" s="1" t="s">
        <v>74</v>
      </c>
      <c r="BM871" s="1" t="s">
        <v>74</v>
      </c>
      <c r="BN871" s="1">
        <v>3.9808557E7</v>
      </c>
      <c r="BO871" s="1" t="s">
        <v>74</v>
      </c>
      <c r="BP871" s="1" t="s">
        <v>74</v>
      </c>
      <c r="BQ871" s="1" t="s">
        <v>74</v>
      </c>
      <c r="BR871" s="1" t="s">
        <v>74</v>
      </c>
      <c r="BS871" s="1" t="s">
        <v>8677</v>
      </c>
      <c r="BT871" s="1" t="str">
        <f>HYPERLINK("https%3A%2F%2Fwww.webofscience.com%2Fwos%2Fwoscc%2Ffull-record%2FWOS:001053878700008","View Full Record in Web of Science")</f>
        <v>View Full Record in Web of Science</v>
      </c>
    </row>
    <row r="872" ht="12.75" customHeight="1">
      <c r="A872" s="1" t="s">
        <v>72</v>
      </c>
      <c r="B872" s="1" t="s">
        <v>8678</v>
      </c>
      <c r="C872" s="1" t="s">
        <v>74</v>
      </c>
      <c r="D872" s="1" t="s">
        <v>74</v>
      </c>
      <c r="E872" s="1" t="s">
        <v>74</v>
      </c>
      <c r="F872" s="1" t="s">
        <v>8679</v>
      </c>
      <c r="G872" s="1" t="s">
        <v>74</v>
      </c>
      <c r="H872" s="1" t="s">
        <v>74</v>
      </c>
      <c r="I872" s="1" t="s">
        <v>8680</v>
      </c>
      <c r="J872" s="1" t="s">
        <v>8681</v>
      </c>
      <c r="K872" s="1" t="s">
        <v>74</v>
      </c>
      <c r="L872" s="1" t="s">
        <v>74</v>
      </c>
      <c r="M872" s="1" t="s">
        <v>74</v>
      </c>
      <c r="N872" s="1" t="s">
        <v>74</v>
      </c>
      <c r="O872" s="1" t="s">
        <v>74</v>
      </c>
      <c r="P872" s="1" t="s">
        <v>74</v>
      </c>
      <c r="Q872" s="1" t="s">
        <v>74</v>
      </c>
      <c r="R872" s="1" t="s">
        <v>74</v>
      </c>
      <c r="S872" s="1" t="s">
        <v>74</v>
      </c>
      <c r="T872" s="1" t="s">
        <v>74</v>
      </c>
      <c r="U872" s="1" t="s">
        <v>74</v>
      </c>
      <c r="V872" s="1" t="s">
        <v>8682</v>
      </c>
      <c r="W872" s="1" t="s">
        <v>74</v>
      </c>
      <c r="X872" s="1" t="s">
        <v>74</v>
      </c>
      <c r="Y872" s="1" t="s">
        <v>74</v>
      </c>
      <c r="Z872" s="1" t="s">
        <v>74</v>
      </c>
      <c r="AA872" s="1" t="s">
        <v>8683</v>
      </c>
      <c r="AB872" s="1" t="s">
        <v>8684</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8685</v>
      </c>
      <c r="AP872" s="1" t="s">
        <v>74</v>
      </c>
      <c r="AQ872" s="1" t="s">
        <v>74</v>
      </c>
      <c r="AR872" s="1" t="s">
        <v>74</v>
      </c>
      <c r="AS872" s="1" t="s">
        <v>74</v>
      </c>
      <c r="AT872" s="1" t="s">
        <v>94</v>
      </c>
      <c r="AU872" s="1">
        <v>2023.0</v>
      </c>
      <c r="AV872" s="1">
        <v>16.0</v>
      </c>
      <c r="AW872" s="1">
        <v>5.0</v>
      </c>
      <c r="AX872" s="1" t="s">
        <v>74</v>
      </c>
      <c r="AY872" s="1" t="s">
        <v>74</v>
      </c>
      <c r="AZ872" s="1" t="s">
        <v>74</v>
      </c>
      <c r="BA872" s="1" t="s">
        <v>74</v>
      </c>
      <c r="BB872" s="1">
        <v>871.0</v>
      </c>
      <c r="BC872" s="1">
        <v>876.0</v>
      </c>
      <c r="BD872" s="1" t="s">
        <v>74</v>
      </c>
      <c r="BE872" s="1" t="s">
        <v>8686</v>
      </c>
      <c r="BF872" s="2" t="str">
        <f>HYPERLINK("http://dx.doi.org/10.1111/1751-7915.14254","http://dx.doi.org/10.1111/1751-7915.14254")</f>
        <v>http://dx.doi.org/10.1111/1751-7915.14254</v>
      </c>
      <c r="BG872" s="1" t="s">
        <v>74</v>
      </c>
      <c r="BH872" s="1" t="s">
        <v>74</v>
      </c>
      <c r="BI872" s="1" t="s">
        <v>74</v>
      </c>
      <c r="BJ872" s="1" t="s">
        <v>74</v>
      </c>
      <c r="BK872" s="1" t="s">
        <v>74</v>
      </c>
      <c r="BL872" s="1" t="s">
        <v>74</v>
      </c>
      <c r="BM872" s="1" t="s">
        <v>74</v>
      </c>
      <c r="BN872" s="1">
        <v>3.6965145E7</v>
      </c>
      <c r="BO872" s="1" t="s">
        <v>74</v>
      </c>
      <c r="BP872" s="1" t="s">
        <v>74</v>
      </c>
      <c r="BQ872" s="1" t="s">
        <v>74</v>
      </c>
      <c r="BR872" s="1" t="s">
        <v>74</v>
      </c>
      <c r="BS872" s="1" t="s">
        <v>8687</v>
      </c>
      <c r="BT872" s="1" t="str">
        <f>HYPERLINK("https%3A%2F%2Fwww.webofscience.com%2Fwos%2Fwoscc%2Ffull-record%2FWOS:000978432600001","View Full Record in Web of Science")</f>
        <v>View Full Record in Web of Science</v>
      </c>
    </row>
    <row r="873" ht="12.75" customHeight="1">
      <c r="A873" s="1" t="s">
        <v>72</v>
      </c>
      <c r="B873" s="1" t="s">
        <v>8688</v>
      </c>
      <c r="C873" s="1" t="s">
        <v>74</v>
      </c>
      <c r="D873" s="1" t="s">
        <v>74</v>
      </c>
      <c r="E873" s="1" t="s">
        <v>74</v>
      </c>
      <c r="F873" s="1" t="s">
        <v>8689</v>
      </c>
      <c r="G873" s="1" t="s">
        <v>74</v>
      </c>
      <c r="H873" s="1" t="s">
        <v>74</v>
      </c>
      <c r="I873" s="1" t="s">
        <v>8690</v>
      </c>
      <c r="J873" s="1" t="s">
        <v>8691</v>
      </c>
      <c r="K873" s="1" t="s">
        <v>74</v>
      </c>
      <c r="L873" s="1" t="s">
        <v>74</v>
      </c>
      <c r="M873" s="1" t="s">
        <v>74</v>
      </c>
      <c r="N873" s="1" t="s">
        <v>74</v>
      </c>
      <c r="O873" s="1" t="s">
        <v>74</v>
      </c>
      <c r="P873" s="1" t="s">
        <v>74</v>
      </c>
      <c r="Q873" s="1" t="s">
        <v>74</v>
      </c>
      <c r="R873" s="1" t="s">
        <v>74</v>
      </c>
      <c r="S873" s="1" t="s">
        <v>74</v>
      </c>
      <c r="T873" s="1" t="s">
        <v>74</v>
      </c>
      <c r="U873" s="1" t="s">
        <v>74</v>
      </c>
      <c r="V873" s="1" t="s">
        <v>8692</v>
      </c>
      <c r="W873" s="1" t="s">
        <v>74</v>
      </c>
      <c r="X873" s="1" t="s">
        <v>74</v>
      </c>
      <c r="Y873" s="1" t="s">
        <v>74</v>
      </c>
      <c r="Z873" s="1" t="s">
        <v>74</v>
      </c>
      <c r="AA873" s="1" t="s">
        <v>8693</v>
      </c>
      <c r="AB873" s="1" t="s">
        <v>8694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8695</v>
      </c>
      <c r="AP873" s="1" t="s">
        <v>8696</v>
      </c>
      <c r="AQ873" s="1" t="s">
        <v>74</v>
      </c>
      <c r="AR873" s="1" t="s">
        <v>74</v>
      </c>
      <c r="AS873" s="1" t="s">
        <v>74</v>
      </c>
      <c r="AT873" s="1" t="s">
        <v>6994</v>
      </c>
      <c r="AU873" s="1">
        <v>2021.0</v>
      </c>
      <c r="AV873" s="1">
        <v>99.0</v>
      </c>
      <c r="AW873" s="1" t="s">
        <v>74</v>
      </c>
      <c r="AX873" s="1" t="s">
        <v>74</v>
      </c>
      <c r="AY873" s="1" t="s">
        <v>74</v>
      </c>
      <c r="AZ873" s="1" t="s">
        <v>74</v>
      </c>
      <c r="BA873" s="1" t="s">
        <v>74</v>
      </c>
      <c r="BB873" s="1">
        <v>211.0</v>
      </c>
      <c r="BC873" s="1">
        <v>228.0</v>
      </c>
      <c r="BD873" s="1" t="s">
        <v>74</v>
      </c>
      <c r="BE873" s="1" t="s">
        <v>8697</v>
      </c>
      <c r="BF873" s="2" t="str">
        <f>HYPERLINK("http://dx.doi.org/10.1016/j.camwa.2021.08.013","http://dx.doi.org/10.1016/j.camwa.2021.08.013")</f>
        <v>http://dx.doi.org/10.1016/j.camwa.2021.08.013</v>
      </c>
      <c r="BG873" s="1" t="s">
        <v>74</v>
      </c>
      <c r="BH873" s="1" t="s">
        <v>4665</v>
      </c>
      <c r="BI873" s="1" t="s">
        <v>74</v>
      </c>
      <c r="BJ873" s="1" t="s">
        <v>74</v>
      </c>
      <c r="BK873" s="1" t="s">
        <v>74</v>
      </c>
      <c r="BL873" s="1" t="s">
        <v>74</v>
      </c>
      <c r="BM873" s="1" t="s">
        <v>74</v>
      </c>
      <c r="BN873" s="1" t="s">
        <v>74</v>
      </c>
      <c r="BO873" s="1" t="s">
        <v>74</v>
      </c>
      <c r="BP873" s="1" t="s">
        <v>74</v>
      </c>
      <c r="BQ873" s="1" t="s">
        <v>74</v>
      </c>
      <c r="BR873" s="1" t="s">
        <v>74</v>
      </c>
      <c r="BS873" s="1" t="s">
        <v>8698</v>
      </c>
      <c r="BT873" s="1" t="str">
        <f>HYPERLINK("https%3A%2F%2Fwww.webofscience.com%2Fwos%2Fwoscc%2Ffull-record%2FWOS:000701652500016","View Full Record in Web of Science")</f>
        <v>View Full Record in Web of Science</v>
      </c>
    </row>
    <row r="874" ht="12.75" customHeight="1">
      <c r="A874" s="1" t="s">
        <v>72</v>
      </c>
      <c r="B874" s="1" t="s">
        <v>8699</v>
      </c>
      <c r="C874" s="1" t="s">
        <v>74</v>
      </c>
      <c r="D874" s="1" t="s">
        <v>74</v>
      </c>
      <c r="E874" s="1" t="s">
        <v>74</v>
      </c>
      <c r="F874" s="1" t="s">
        <v>8700</v>
      </c>
      <c r="G874" s="1" t="s">
        <v>74</v>
      </c>
      <c r="H874" s="1" t="s">
        <v>74</v>
      </c>
      <c r="I874" s="1" t="s">
        <v>8701</v>
      </c>
      <c r="J874" s="1" t="s">
        <v>8702</v>
      </c>
      <c r="K874" s="1" t="s">
        <v>74</v>
      </c>
      <c r="L874" s="1" t="s">
        <v>74</v>
      </c>
      <c r="M874" s="1" t="s">
        <v>74</v>
      </c>
      <c r="N874" s="1" t="s">
        <v>74</v>
      </c>
      <c r="O874" s="1" t="s">
        <v>74</v>
      </c>
      <c r="P874" s="1" t="s">
        <v>74</v>
      </c>
      <c r="Q874" s="1" t="s">
        <v>74</v>
      </c>
      <c r="R874" s="1" t="s">
        <v>74</v>
      </c>
      <c r="S874" s="1" t="s">
        <v>74</v>
      </c>
      <c r="T874" s="1" t="s">
        <v>74</v>
      </c>
      <c r="U874" s="1" t="s">
        <v>74</v>
      </c>
      <c r="V874" s="1" t="s">
        <v>8703</v>
      </c>
      <c r="W874" s="1" t="s">
        <v>74</v>
      </c>
      <c r="X874" s="1" t="s">
        <v>74</v>
      </c>
      <c r="Y874" s="1" t="s">
        <v>74</v>
      </c>
      <c r="Z874" s="1" t="s">
        <v>74</v>
      </c>
      <c r="AA874" s="1" t="s">
        <v>8704</v>
      </c>
      <c r="AB874" s="1" t="s">
        <v>8705</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8706</v>
      </c>
      <c r="AP874" s="1" t="s">
        <v>8707</v>
      </c>
      <c r="AQ874" s="1" t="s">
        <v>74</v>
      </c>
      <c r="AR874" s="1" t="s">
        <v>74</v>
      </c>
      <c r="AS874" s="1" t="s">
        <v>74</v>
      </c>
      <c r="AT874" s="1" t="s">
        <v>1564</v>
      </c>
      <c r="AU874" s="1">
        <v>2023.0</v>
      </c>
      <c r="AV874" s="1">
        <v>23.0</v>
      </c>
      <c r="AW874" s="1">
        <v>2.0</v>
      </c>
      <c r="AX874" s="1" t="s">
        <v>74</v>
      </c>
      <c r="AY874" s="1" t="s">
        <v>74</v>
      </c>
      <c r="AZ874" s="1" t="s">
        <v>74</v>
      </c>
      <c r="BA874" s="1" t="s">
        <v>74</v>
      </c>
      <c r="BB874" s="1">
        <v>205.0</v>
      </c>
      <c r="BC874" s="1">
        <v>224.0</v>
      </c>
      <c r="BD874" s="1" t="s">
        <v>74</v>
      </c>
      <c r="BE874" s="1" t="s">
        <v>8708</v>
      </c>
      <c r="BF874" s="2" t="str">
        <f>HYPERLINK("http://dx.doi.org/10.1080/15623599.2020.1857003","http://dx.doi.org/10.1080/15623599.2020.1857003")</f>
        <v>http://dx.doi.org/10.1080/15623599.2020.1857003</v>
      </c>
      <c r="BG874" s="1" t="s">
        <v>74</v>
      </c>
      <c r="BH874" s="1" t="s">
        <v>8709</v>
      </c>
      <c r="BI874" s="1" t="s">
        <v>74</v>
      </c>
      <c r="BJ874" s="1" t="s">
        <v>74</v>
      </c>
      <c r="BK874" s="1" t="s">
        <v>74</v>
      </c>
      <c r="BL874" s="1" t="s">
        <v>74</v>
      </c>
      <c r="BM874" s="1" t="s">
        <v>74</v>
      </c>
      <c r="BN874" s="1" t="s">
        <v>74</v>
      </c>
      <c r="BO874" s="1" t="s">
        <v>74</v>
      </c>
      <c r="BP874" s="1" t="s">
        <v>74</v>
      </c>
      <c r="BQ874" s="1" t="s">
        <v>74</v>
      </c>
      <c r="BR874" s="1" t="s">
        <v>74</v>
      </c>
      <c r="BS874" s="1" t="s">
        <v>8710</v>
      </c>
      <c r="BT874" s="1" t="str">
        <f>HYPERLINK("https%3A%2F%2Fwww.webofscience.com%2Fwos%2Fwoscc%2Ffull-record%2FWOS:000597710800001","View Full Record in Web of Science")</f>
        <v>View Full Record in Web of Science</v>
      </c>
    </row>
    <row r="875" ht="12.75" customHeight="1">
      <c r="A875" s="1" t="s">
        <v>72</v>
      </c>
      <c r="B875" s="1" t="s">
        <v>8711</v>
      </c>
      <c r="C875" s="1" t="s">
        <v>74</v>
      </c>
      <c r="D875" s="1" t="s">
        <v>74</v>
      </c>
      <c r="E875" s="1" t="s">
        <v>74</v>
      </c>
      <c r="F875" s="1" t="s">
        <v>8712</v>
      </c>
      <c r="G875" s="1" t="s">
        <v>74</v>
      </c>
      <c r="H875" s="1" t="s">
        <v>74</v>
      </c>
      <c r="I875" s="1" t="s">
        <v>8713</v>
      </c>
      <c r="J875" s="1" t="s">
        <v>8714</v>
      </c>
      <c r="K875" s="1" t="s">
        <v>74</v>
      </c>
      <c r="L875" s="1" t="s">
        <v>74</v>
      </c>
      <c r="M875" s="1" t="s">
        <v>74</v>
      </c>
      <c r="N875" s="1" t="s">
        <v>74</v>
      </c>
      <c r="O875" s="1" t="s">
        <v>74</v>
      </c>
      <c r="P875" s="1" t="s">
        <v>74</v>
      </c>
      <c r="Q875" s="1" t="s">
        <v>74</v>
      </c>
      <c r="R875" s="1" t="s">
        <v>74</v>
      </c>
      <c r="S875" s="1" t="s">
        <v>74</v>
      </c>
      <c r="T875" s="1" t="s">
        <v>74</v>
      </c>
      <c r="U875" s="1" t="s">
        <v>74</v>
      </c>
      <c r="V875" s="1" t="s">
        <v>8715</v>
      </c>
      <c r="W875" s="1" t="s">
        <v>74</v>
      </c>
      <c r="X875" s="1" t="s">
        <v>74</v>
      </c>
      <c r="Y875" s="1" t="s">
        <v>74</v>
      </c>
      <c r="Z875" s="1" t="s">
        <v>74</v>
      </c>
      <c r="AA875" s="1" t="s">
        <v>8716</v>
      </c>
      <c r="AB875" s="1" t="s">
        <v>8717</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8718</v>
      </c>
      <c r="AP875" s="1" t="s">
        <v>8719</v>
      </c>
      <c r="AQ875" s="1" t="s">
        <v>74</v>
      </c>
      <c r="AR875" s="1" t="s">
        <v>74</v>
      </c>
      <c r="AS875" s="1" t="s">
        <v>74</v>
      </c>
      <c r="AT875" s="1" t="s">
        <v>822</v>
      </c>
      <c r="AU875" s="1">
        <v>2020.0</v>
      </c>
      <c r="AV875" s="1">
        <v>169.0</v>
      </c>
      <c r="AW875" s="1" t="s">
        <v>74</v>
      </c>
      <c r="AX875" s="1" t="s">
        <v>74</v>
      </c>
      <c r="AY875" s="1" t="s">
        <v>74</v>
      </c>
      <c r="AZ875" s="1" t="s">
        <v>74</v>
      </c>
      <c r="BA875" s="1" t="s">
        <v>74</v>
      </c>
      <c r="BB875" s="1" t="s">
        <v>74</v>
      </c>
      <c r="BC875" s="1" t="s">
        <v>74</v>
      </c>
      <c r="BD875" s="1">
        <v>103919.0</v>
      </c>
      <c r="BE875" s="1" t="s">
        <v>8720</v>
      </c>
      <c r="BF875" s="2" t="str">
        <f>HYPERLINK("http://dx.doi.org/10.1016/j.envexpbot.2019.103919","http://dx.doi.org/10.1016/j.envexpbot.2019.103919")</f>
        <v>http://dx.doi.org/10.1016/j.envexpbot.2019.103919</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8721</v>
      </c>
      <c r="BT875" s="1" t="str">
        <f>HYPERLINK("https%3A%2F%2Fwww.webofscience.com%2Fwos%2Fwoscc%2Ffull-record%2FWOS:000499735700021","View Full Record in Web of Science")</f>
        <v>View Full Record in Web of Science</v>
      </c>
    </row>
    <row r="876" ht="12.75" customHeight="1">
      <c r="A876" s="1" t="s">
        <v>72</v>
      </c>
      <c r="B876" s="1" t="s">
        <v>8722</v>
      </c>
      <c r="C876" s="1" t="s">
        <v>74</v>
      </c>
      <c r="D876" s="1" t="s">
        <v>74</v>
      </c>
      <c r="E876" s="1" t="s">
        <v>74</v>
      </c>
      <c r="F876" s="1" t="s">
        <v>8723</v>
      </c>
      <c r="G876" s="1" t="s">
        <v>74</v>
      </c>
      <c r="H876" s="1" t="s">
        <v>74</v>
      </c>
      <c r="I876" s="1" t="s">
        <v>8724</v>
      </c>
      <c r="J876" s="1" t="s">
        <v>8725</v>
      </c>
      <c r="K876" s="1" t="s">
        <v>74</v>
      </c>
      <c r="L876" s="1" t="s">
        <v>74</v>
      </c>
      <c r="M876" s="1" t="s">
        <v>74</v>
      </c>
      <c r="N876" s="1" t="s">
        <v>74</v>
      </c>
      <c r="O876" s="1" t="s">
        <v>74</v>
      </c>
      <c r="P876" s="1" t="s">
        <v>74</v>
      </c>
      <c r="Q876" s="1" t="s">
        <v>74</v>
      </c>
      <c r="R876" s="1" t="s">
        <v>74</v>
      </c>
      <c r="S876" s="1" t="s">
        <v>74</v>
      </c>
      <c r="T876" s="1" t="s">
        <v>74</v>
      </c>
      <c r="U876" s="1" t="s">
        <v>74</v>
      </c>
      <c r="V876" s="1" t="s">
        <v>8726</v>
      </c>
      <c r="W876" s="1" t="s">
        <v>74</v>
      </c>
      <c r="X876" s="1" t="s">
        <v>74</v>
      </c>
      <c r="Y876" s="1" t="s">
        <v>74</v>
      </c>
      <c r="Z876" s="1" t="s">
        <v>74</v>
      </c>
      <c r="AA876" s="1" t="s">
        <v>8727</v>
      </c>
      <c r="AB876" s="1" t="s">
        <v>8728</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8729</v>
      </c>
      <c r="AP876" s="1" t="s">
        <v>8730</v>
      </c>
      <c r="AQ876" s="1" t="s">
        <v>74</v>
      </c>
      <c r="AR876" s="1" t="s">
        <v>74</v>
      </c>
      <c r="AS876" s="1" t="s">
        <v>74</v>
      </c>
      <c r="AT876" s="1" t="s">
        <v>151</v>
      </c>
      <c r="AU876" s="1">
        <v>2019.0</v>
      </c>
      <c r="AV876" s="1">
        <v>32.0</v>
      </c>
      <c r="AW876" s="1">
        <v>10.0</v>
      </c>
      <c r="AX876" s="1" t="s">
        <v>74</v>
      </c>
      <c r="AY876" s="1" t="s">
        <v>74</v>
      </c>
      <c r="AZ876" s="1" t="s">
        <v>74</v>
      </c>
      <c r="BA876" s="1" t="s">
        <v>74</v>
      </c>
      <c r="BB876" s="1">
        <v>1089.0</v>
      </c>
      <c r="BC876" s="1">
        <v>1101.0</v>
      </c>
      <c r="BD876" s="1" t="s">
        <v>74</v>
      </c>
      <c r="BE876" s="1" t="s">
        <v>8731</v>
      </c>
      <c r="BF876" s="2" t="str">
        <f>HYPERLINK("http://dx.doi.org/10.1515/jpem-2019-0137","http://dx.doi.org/10.1515/jpem-2019-0137")</f>
        <v>http://dx.doi.org/10.1515/jpem-2019-0137</v>
      </c>
      <c r="BG876" s="1" t="s">
        <v>74</v>
      </c>
      <c r="BH876" s="1" t="s">
        <v>74</v>
      </c>
      <c r="BI876" s="1" t="s">
        <v>74</v>
      </c>
      <c r="BJ876" s="1" t="s">
        <v>74</v>
      </c>
      <c r="BK876" s="1" t="s">
        <v>74</v>
      </c>
      <c r="BL876" s="1" t="s">
        <v>74</v>
      </c>
      <c r="BM876" s="1" t="s">
        <v>74</v>
      </c>
      <c r="BN876" s="1">
        <v>3.1557127E7</v>
      </c>
      <c r="BO876" s="1" t="s">
        <v>74</v>
      </c>
      <c r="BP876" s="1" t="s">
        <v>74</v>
      </c>
      <c r="BQ876" s="1" t="s">
        <v>74</v>
      </c>
      <c r="BR876" s="1" t="s">
        <v>74</v>
      </c>
      <c r="BS876" s="1" t="s">
        <v>8732</v>
      </c>
      <c r="BT876" s="1" t="str">
        <f>HYPERLINK("https%3A%2F%2Fwww.webofscience.com%2Fwos%2Fwoscc%2Ffull-record%2FWOS:000494784600008","View Full Record in Web of Science")</f>
        <v>View Full Record in Web of Science</v>
      </c>
    </row>
    <row r="877" ht="12.75" customHeight="1">
      <c r="A877" s="1" t="s">
        <v>72</v>
      </c>
      <c r="B877" s="1" t="s">
        <v>8733</v>
      </c>
      <c r="C877" s="1" t="s">
        <v>74</v>
      </c>
      <c r="D877" s="1" t="s">
        <v>74</v>
      </c>
      <c r="E877" s="1" t="s">
        <v>74</v>
      </c>
      <c r="F877" s="1" t="s">
        <v>8734</v>
      </c>
      <c r="G877" s="1" t="s">
        <v>74</v>
      </c>
      <c r="H877" s="1" t="s">
        <v>74</v>
      </c>
      <c r="I877" s="1" t="s">
        <v>8735</v>
      </c>
      <c r="J877" s="1" t="s">
        <v>8736</v>
      </c>
      <c r="K877" s="1" t="s">
        <v>74</v>
      </c>
      <c r="L877" s="1" t="s">
        <v>74</v>
      </c>
      <c r="M877" s="1" t="s">
        <v>74</v>
      </c>
      <c r="N877" s="1" t="s">
        <v>74</v>
      </c>
      <c r="O877" s="1" t="s">
        <v>74</v>
      </c>
      <c r="P877" s="1" t="s">
        <v>74</v>
      </c>
      <c r="Q877" s="1" t="s">
        <v>74</v>
      </c>
      <c r="R877" s="1" t="s">
        <v>74</v>
      </c>
      <c r="S877" s="1" t="s">
        <v>74</v>
      </c>
      <c r="T877" s="1" t="s">
        <v>74</v>
      </c>
      <c r="U877" s="1" t="s">
        <v>74</v>
      </c>
      <c r="V877" s="1" t="s">
        <v>8737</v>
      </c>
      <c r="W877" s="1" t="s">
        <v>74</v>
      </c>
      <c r="X877" s="1" t="s">
        <v>74</v>
      </c>
      <c r="Y877" s="1" t="s">
        <v>74</v>
      </c>
      <c r="Z877" s="1" t="s">
        <v>74</v>
      </c>
      <c r="AA877" s="1" t="s">
        <v>8738</v>
      </c>
      <c r="AB877" s="1" t="s">
        <v>8739</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8740</v>
      </c>
      <c r="AP877" s="1" t="s">
        <v>8741</v>
      </c>
      <c r="AQ877" s="1" t="s">
        <v>74</v>
      </c>
      <c r="AR877" s="1" t="s">
        <v>74</v>
      </c>
      <c r="AS877" s="1" t="s">
        <v>74</v>
      </c>
      <c r="AT877" s="1" t="s">
        <v>151</v>
      </c>
      <c r="AU877" s="1">
        <v>2019.0</v>
      </c>
      <c r="AV877" s="1">
        <v>15.0</v>
      </c>
      <c r="AW877" s="1">
        <v>10.0</v>
      </c>
      <c r="AX877" s="1" t="s">
        <v>74</v>
      </c>
      <c r="AY877" s="1" t="s">
        <v>74</v>
      </c>
      <c r="AZ877" s="1" t="s">
        <v>74</v>
      </c>
      <c r="BA877" s="1" t="s">
        <v>74</v>
      </c>
      <c r="BB877" s="1" t="s">
        <v>74</v>
      </c>
      <c r="BC877" s="1" t="s">
        <v>74</v>
      </c>
      <c r="BD877" s="1" t="s">
        <v>8742</v>
      </c>
      <c r="BE877" s="1" t="s">
        <v>8743</v>
      </c>
      <c r="BF877" s="2" t="str">
        <f>HYPERLINK("http://dx.doi.org/10.1371/journal.pcbi.1007388","http://dx.doi.org/10.1371/journal.pcbi.1007388")</f>
        <v>http://dx.doi.org/10.1371/journal.pcbi.1007388</v>
      </c>
      <c r="BG877" s="1" t="s">
        <v>74</v>
      </c>
      <c r="BH877" s="1" t="s">
        <v>74</v>
      </c>
      <c r="BI877" s="1" t="s">
        <v>74</v>
      </c>
      <c r="BJ877" s="1" t="s">
        <v>74</v>
      </c>
      <c r="BK877" s="1" t="s">
        <v>74</v>
      </c>
      <c r="BL877" s="1" t="s">
        <v>74</v>
      </c>
      <c r="BM877" s="1" t="s">
        <v>74</v>
      </c>
      <c r="BN877" s="1">
        <v>3.1581239E7</v>
      </c>
      <c r="BO877" s="1" t="s">
        <v>74</v>
      </c>
      <c r="BP877" s="1" t="s">
        <v>74</v>
      </c>
      <c r="BQ877" s="1" t="s">
        <v>74</v>
      </c>
      <c r="BR877" s="1" t="s">
        <v>74</v>
      </c>
      <c r="BS877" s="1" t="s">
        <v>8744</v>
      </c>
      <c r="BT877" s="1" t="str">
        <f>HYPERLINK("https%3A%2F%2Fwww.webofscience.com%2Fwos%2Fwoscc%2Ffull-record%2FWOS:000500776600035","View Full Record in Web of Science")</f>
        <v>View Full Record in Web of Science</v>
      </c>
    </row>
    <row r="878" ht="12.75" customHeight="1">
      <c r="A878" s="1" t="s">
        <v>72</v>
      </c>
      <c r="B878" s="1" t="s">
        <v>8745</v>
      </c>
      <c r="C878" s="1" t="s">
        <v>74</v>
      </c>
      <c r="D878" s="1" t="s">
        <v>74</v>
      </c>
      <c r="E878" s="1" t="s">
        <v>74</v>
      </c>
      <c r="F878" s="1" t="s">
        <v>8746</v>
      </c>
      <c r="G878" s="1" t="s">
        <v>74</v>
      </c>
      <c r="H878" s="1" t="s">
        <v>74</v>
      </c>
      <c r="I878" s="1" t="s">
        <v>8747</v>
      </c>
      <c r="J878" s="1" t="s">
        <v>1184</v>
      </c>
      <c r="K878" s="1" t="s">
        <v>74</v>
      </c>
      <c r="L878" s="1" t="s">
        <v>74</v>
      </c>
      <c r="M878" s="1" t="s">
        <v>74</v>
      </c>
      <c r="N878" s="1" t="s">
        <v>74</v>
      </c>
      <c r="O878" s="1" t="s">
        <v>74</v>
      </c>
      <c r="P878" s="1" t="s">
        <v>74</v>
      </c>
      <c r="Q878" s="1" t="s">
        <v>74</v>
      </c>
      <c r="R878" s="1" t="s">
        <v>74</v>
      </c>
      <c r="S878" s="1" t="s">
        <v>74</v>
      </c>
      <c r="T878" s="1" t="s">
        <v>74</v>
      </c>
      <c r="U878" s="1" t="s">
        <v>74</v>
      </c>
      <c r="V878" s="1" t="s">
        <v>8748</v>
      </c>
      <c r="W878" s="1" t="s">
        <v>74</v>
      </c>
      <c r="X878" s="1" t="s">
        <v>74</v>
      </c>
      <c r="Y878" s="1" t="s">
        <v>74</v>
      </c>
      <c r="Z878" s="1" t="s">
        <v>74</v>
      </c>
      <c r="AA878" s="1" t="s">
        <v>8749</v>
      </c>
      <c r="AB878" s="1" t="s">
        <v>8750</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1188</v>
      </c>
      <c r="AP878" s="1" t="s">
        <v>74</v>
      </c>
      <c r="AQ878" s="1" t="s">
        <v>74</v>
      </c>
      <c r="AR878" s="1" t="s">
        <v>74</v>
      </c>
      <c r="AS878" s="1" t="s">
        <v>74</v>
      </c>
      <c r="AT878" s="1" t="s">
        <v>241</v>
      </c>
      <c r="AU878" s="1">
        <v>2018.0</v>
      </c>
      <c r="AV878" s="1">
        <v>17.0</v>
      </c>
      <c r="AW878" s="1">
        <v>5.0</v>
      </c>
      <c r="AX878" s="1" t="s">
        <v>74</v>
      </c>
      <c r="AY878" s="1" t="s">
        <v>74</v>
      </c>
      <c r="AZ878" s="1" t="s">
        <v>74</v>
      </c>
      <c r="BA878" s="1" t="s">
        <v>74</v>
      </c>
      <c r="BB878" s="1">
        <v>522.0</v>
      </c>
      <c r="BC878" s="1">
        <v>540.0</v>
      </c>
      <c r="BD878" s="1" t="s">
        <v>74</v>
      </c>
      <c r="BE878" s="1" t="s">
        <v>74</v>
      </c>
      <c r="BF878" s="1" t="s">
        <v>74</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8751</v>
      </c>
      <c r="BT878" s="1" t="str">
        <f>HYPERLINK("https%3A%2F%2Fwww.webofscience.com%2Fwos%2Fwoscc%2Ffull-record%2FWOS:000444010000007","View Full Record in Web of Science")</f>
        <v>View Full Record in Web of Science</v>
      </c>
    </row>
    <row r="879" ht="12.75" customHeight="1">
      <c r="A879" s="1" t="s">
        <v>72</v>
      </c>
      <c r="B879" s="1" t="s">
        <v>8752</v>
      </c>
      <c r="C879" s="1" t="s">
        <v>74</v>
      </c>
      <c r="D879" s="1" t="s">
        <v>74</v>
      </c>
      <c r="E879" s="1" t="s">
        <v>74</v>
      </c>
      <c r="F879" s="1" t="s">
        <v>8753</v>
      </c>
      <c r="G879" s="1" t="s">
        <v>74</v>
      </c>
      <c r="H879" s="1" t="s">
        <v>74</v>
      </c>
      <c r="I879" s="1" t="s">
        <v>8754</v>
      </c>
      <c r="J879" s="1" t="s">
        <v>8755</v>
      </c>
      <c r="K879" s="1" t="s">
        <v>74</v>
      </c>
      <c r="L879" s="1" t="s">
        <v>74</v>
      </c>
      <c r="M879" s="1" t="s">
        <v>74</v>
      </c>
      <c r="N879" s="1" t="s">
        <v>74</v>
      </c>
      <c r="O879" s="1" t="s">
        <v>74</v>
      </c>
      <c r="P879" s="1" t="s">
        <v>74</v>
      </c>
      <c r="Q879" s="1" t="s">
        <v>74</v>
      </c>
      <c r="R879" s="1" t="s">
        <v>74</v>
      </c>
      <c r="S879" s="1" t="s">
        <v>74</v>
      </c>
      <c r="T879" s="1" t="s">
        <v>74</v>
      </c>
      <c r="U879" s="1" t="s">
        <v>74</v>
      </c>
      <c r="V879" s="1" t="s">
        <v>8756</v>
      </c>
      <c r="W879" s="1" t="s">
        <v>74</v>
      </c>
      <c r="X879" s="1" t="s">
        <v>74</v>
      </c>
      <c r="Y879" s="1" t="s">
        <v>74</v>
      </c>
      <c r="Z879" s="1" t="s">
        <v>74</v>
      </c>
      <c r="AA879" s="1" t="s">
        <v>8757</v>
      </c>
      <c r="AB879" s="1" t="s">
        <v>8758</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8759</v>
      </c>
      <c r="AP879" s="1" t="s">
        <v>8760</v>
      </c>
      <c r="AQ879" s="1" t="s">
        <v>74</v>
      </c>
      <c r="AR879" s="1" t="s">
        <v>74</v>
      </c>
      <c r="AS879" s="1" t="s">
        <v>74</v>
      </c>
      <c r="AT879" s="1" t="s">
        <v>151</v>
      </c>
      <c r="AU879" s="1">
        <v>2017.0</v>
      </c>
      <c r="AV879" s="1">
        <v>33.0</v>
      </c>
      <c r="AW879" s="1">
        <v>10.0</v>
      </c>
      <c r="AX879" s="1" t="s">
        <v>74</v>
      </c>
      <c r="AY879" s="1" t="s">
        <v>74</v>
      </c>
      <c r="AZ879" s="1" t="s">
        <v>74</v>
      </c>
      <c r="BA879" s="1" t="s">
        <v>74</v>
      </c>
      <c r="BB879" s="1" t="s">
        <v>74</v>
      </c>
      <c r="BC879" s="1" t="s">
        <v>74</v>
      </c>
      <c r="BD879" s="1">
        <v>105003.0</v>
      </c>
      <c r="BE879" s="1" t="s">
        <v>8761</v>
      </c>
      <c r="BF879" s="2" t="str">
        <f>HYPERLINK("http://dx.doi.org/10.1088/1361-6420/aa863f","http://dx.doi.org/10.1088/1361-6420/aa863f")</f>
        <v>http://dx.doi.org/10.1088/1361-6420/aa863f</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8762</v>
      </c>
      <c r="BT879" s="1" t="str">
        <f>HYPERLINK("https%3A%2F%2Fwww.webofscience.com%2Fwos%2Fwoscc%2Ffull-record%2FWOS:000410094300003","View Full Record in Web of Science")</f>
        <v>View Full Record in Web of Science</v>
      </c>
    </row>
    <row r="880" ht="12.75" customHeight="1">
      <c r="A880" s="1" t="s">
        <v>72</v>
      </c>
      <c r="B880" s="1" t="s">
        <v>8763</v>
      </c>
      <c r="C880" s="1" t="s">
        <v>74</v>
      </c>
      <c r="D880" s="1" t="s">
        <v>74</v>
      </c>
      <c r="E880" s="1" t="s">
        <v>74</v>
      </c>
      <c r="F880" s="1" t="s">
        <v>8764</v>
      </c>
      <c r="G880" s="1" t="s">
        <v>74</v>
      </c>
      <c r="H880" s="1" t="s">
        <v>74</v>
      </c>
      <c r="I880" s="1" t="s">
        <v>8765</v>
      </c>
      <c r="J880" s="1" t="s">
        <v>4060</v>
      </c>
      <c r="K880" s="1" t="s">
        <v>74</v>
      </c>
      <c r="L880" s="1" t="s">
        <v>74</v>
      </c>
      <c r="M880" s="1" t="s">
        <v>74</v>
      </c>
      <c r="N880" s="1" t="s">
        <v>74</v>
      </c>
      <c r="O880" s="1" t="s">
        <v>74</v>
      </c>
      <c r="P880" s="1" t="s">
        <v>74</v>
      </c>
      <c r="Q880" s="1" t="s">
        <v>74</v>
      </c>
      <c r="R880" s="1" t="s">
        <v>74</v>
      </c>
      <c r="S880" s="1" t="s">
        <v>74</v>
      </c>
      <c r="T880" s="1" t="s">
        <v>74</v>
      </c>
      <c r="U880" s="1" t="s">
        <v>74</v>
      </c>
      <c r="V880" s="1" t="s">
        <v>8766</v>
      </c>
      <c r="W880" s="1" t="s">
        <v>74</v>
      </c>
      <c r="X880" s="1" t="s">
        <v>74</v>
      </c>
      <c r="Y880" s="1" t="s">
        <v>74</v>
      </c>
      <c r="Z880" s="1" t="s">
        <v>74</v>
      </c>
      <c r="AA880" s="1" t="s">
        <v>8767</v>
      </c>
      <c r="AB880" s="1" t="s">
        <v>8768</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4064</v>
      </c>
      <c r="AP880" s="1" t="s">
        <v>4065</v>
      </c>
      <c r="AQ880" s="1" t="s">
        <v>74</v>
      </c>
      <c r="AR880" s="1" t="s">
        <v>74</v>
      </c>
      <c r="AS880" s="1" t="s">
        <v>74</v>
      </c>
      <c r="AT880" s="1" t="s">
        <v>489</v>
      </c>
      <c r="AU880" s="1">
        <v>2017.0</v>
      </c>
      <c r="AV880" s="1">
        <v>19.0</v>
      </c>
      <c r="AW880" s="1">
        <v>8.0</v>
      </c>
      <c r="AX880" s="1" t="s">
        <v>74</v>
      </c>
      <c r="AY880" s="1" t="s">
        <v>74</v>
      </c>
      <c r="AZ880" s="1" t="s">
        <v>74</v>
      </c>
      <c r="BA880" s="1" t="s">
        <v>74</v>
      </c>
      <c r="BB880" s="1" t="s">
        <v>74</v>
      </c>
      <c r="BC880" s="1" t="s">
        <v>74</v>
      </c>
      <c r="BD880" s="1">
        <v>288.0</v>
      </c>
      <c r="BE880" s="1" t="s">
        <v>8769</v>
      </c>
      <c r="BF880" s="2" t="str">
        <f>HYPERLINK("http://dx.doi.org/10.1007/s11051-017-3983-7","http://dx.doi.org/10.1007/s11051-017-3983-7")</f>
        <v>http://dx.doi.org/10.1007/s11051-017-3983-7</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8770</v>
      </c>
      <c r="BT880" s="1" t="str">
        <f>HYPERLINK("https%3A%2F%2Fwww.webofscience.com%2Fwos%2Fwoscc%2Ffull-record%2FWOS:000410849700001","View Full Record in Web of Science")</f>
        <v>View Full Record in Web of Science</v>
      </c>
    </row>
    <row r="881" ht="12.75" customHeight="1">
      <c r="A881" s="1" t="s">
        <v>72</v>
      </c>
      <c r="B881" s="1" t="s">
        <v>8771</v>
      </c>
      <c r="C881" s="1" t="s">
        <v>74</v>
      </c>
      <c r="D881" s="1" t="s">
        <v>74</v>
      </c>
      <c r="E881" s="1" t="s">
        <v>74</v>
      </c>
      <c r="F881" s="1" t="s">
        <v>8772</v>
      </c>
      <c r="G881" s="1" t="s">
        <v>74</v>
      </c>
      <c r="H881" s="1" t="s">
        <v>74</v>
      </c>
      <c r="I881" s="1" t="s">
        <v>8773</v>
      </c>
      <c r="J881" s="1" t="s">
        <v>2329</v>
      </c>
      <c r="K881" s="1" t="s">
        <v>74</v>
      </c>
      <c r="L881" s="1" t="s">
        <v>74</v>
      </c>
      <c r="M881" s="1" t="s">
        <v>74</v>
      </c>
      <c r="N881" s="1" t="s">
        <v>74</v>
      </c>
      <c r="O881" s="1" t="s">
        <v>74</v>
      </c>
      <c r="P881" s="1" t="s">
        <v>74</v>
      </c>
      <c r="Q881" s="1" t="s">
        <v>74</v>
      </c>
      <c r="R881" s="1" t="s">
        <v>74</v>
      </c>
      <c r="S881" s="1" t="s">
        <v>74</v>
      </c>
      <c r="T881" s="1" t="s">
        <v>74</v>
      </c>
      <c r="U881" s="1" t="s">
        <v>74</v>
      </c>
      <c r="V881" s="1" t="s">
        <v>8774</v>
      </c>
      <c r="W881" s="1" t="s">
        <v>74</v>
      </c>
      <c r="X881" s="1" t="s">
        <v>74</v>
      </c>
      <c r="Y881" s="1" t="s">
        <v>74</v>
      </c>
      <c r="Z881" s="1" t="s">
        <v>74</v>
      </c>
      <c r="AA881" s="1" t="s">
        <v>8775</v>
      </c>
      <c r="AB881" s="1" t="s">
        <v>8776</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2333</v>
      </c>
      <c r="AP881" s="1" t="s">
        <v>2334</v>
      </c>
      <c r="AQ881" s="1" t="s">
        <v>74</v>
      </c>
      <c r="AR881" s="1" t="s">
        <v>74</v>
      </c>
      <c r="AS881" s="1" t="s">
        <v>74</v>
      </c>
      <c r="AT881" s="1" t="s">
        <v>3180</v>
      </c>
      <c r="AU881" s="1">
        <v>2015.0</v>
      </c>
      <c r="AV881" s="1">
        <v>106.0</v>
      </c>
      <c r="AW881" s="1">
        <v>6.0</v>
      </c>
      <c r="AX881" s="1" t="s">
        <v>74</v>
      </c>
      <c r="AY881" s="1" t="s">
        <v>74</v>
      </c>
      <c r="AZ881" s="1" t="s">
        <v>74</v>
      </c>
      <c r="BA881" s="1" t="s">
        <v>74</v>
      </c>
      <c r="BB881" s="1" t="s">
        <v>74</v>
      </c>
      <c r="BC881" s="1" t="s">
        <v>74</v>
      </c>
      <c r="BD881" s="1">
        <v>61901.0</v>
      </c>
      <c r="BE881" s="1" t="s">
        <v>8777</v>
      </c>
      <c r="BF881" s="2" t="str">
        <f>HYPERLINK("http://dx.doi.org/10.1063/1.4908119","http://dx.doi.org/10.1063/1.4908119")</f>
        <v>http://dx.doi.org/10.1063/1.4908119</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8778</v>
      </c>
      <c r="BT881" s="1" t="str">
        <f>HYPERLINK("https%3A%2F%2Fwww.webofscience.com%2Fwos%2Fwoscc%2Ffull-record%2FWOS:000349845300020","View Full Record in Web of Science")</f>
        <v>View Full Record in Web of Science</v>
      </c>
    </row>
    <row r="882" ht="12.75" customHeight="1">
      <c r="A882" s="1" t="s">
        <v>72</v>
      </c>
      <c r="B882" s="1" t="s">
        <v>8779</v>
      </c>
      <c r="C882" s="1" t="s">
        <v>74</v>
      </c>
      <c r="D882" s="1" t="s">
        <v>74</v>
      </c>
      <c r="E882" s="1" t="s">
        <v>74</v>
      </c>
      <c r="F882" s="1" t="s">
        <v>8780</v>
      </c>
      <c r="G882" s="1" t="s">
        <v>74</v>
      </c>
      <c r="H882" s="1" t="s">
        <v>74</v>
      </c>
      <c r="I882" s="1" t="s">
        <v>8781</v>
      </c>
      <c r="J882" s="1" t="s">
        <v>8782</v>
      </c>
      <c r="K882" s="1" t="s">
        <v>74</v>
      </c>
      <c r="L882" s="1" t="s">
        <v>74</v>
      </c>
      <c r="M882" s="1" t="s">
        <v>74</v>
      </c>
      <c r="N882" s="1" t="s">
        <v>74</v>
      </c>
      <c r="O882" s="1" t="s">
        <v>74</v>
      </c>
      <c r="P882" s="1" t="s">
        <v>74</v>
      </c>
      <c r="Q882" s="1" t="s">
        <v>74</v>
      </c>
      <c r="R882" s="1" t="s">
        <v>74</v>
      </c>
      <c r="S882" s="1" t="s">
        <v>74</v>
      </c>
      <c r="T882" s="1" t="s">
        <v>74</v>
      </c>
      <c r="U882" s="1" t="s">
        <v>74</v>
      </c>
      <c r="V882" s="1" t="s">
        <v>74</v>
      </c>
      <c r="W882" s="1" t="s">
        <v>74</v>
      </c>
      <c r="X882" s="1" t="s">
        <v>74</v>
      </c>
      <c r="Y882" s="1" t="s">
        <v>74</v>
      </c>
      <c r="Z882" s="1" t="s">
        <v>74</v>
      </c>
      <c r="AA882" s="1" t="s">
        <v>8783</v>
      </c>
      <c r="AB882" s="1" t="s">
        <v>8784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8785</v>
      </c>
      <c r="AP882" s="1" t="s">
        <v>74</v>
      </c>
      <c r="AQ882" s="1" t="s">
        <v>74</v>
      </c>
      <c r="AR882" s="1" t="s">
        <v>74</v>
      </c>
      <c r="AS882" s="1" t="s">
        <v>74</v>
      </c>
      <c r="AT882" s="1" t="s">
        <v>877</v>
      </c>
      <c r="AU882" s="1">
        <v>2014.0</v>
      </c>
      <c r="AV882" s="1">
        <v>70.0</v>
      </c>
      <c r="AW882" s="1" t="s">
        <v>74</v>
      </c>
      <c r="AX882" s="1" t="s">
        <v>74</v>
      </c>
      <c r="AY882" s="1" t="s">
        <v>320</v>
      </c>
      <c r="AZ882" s="1" t="s">
        <v>74</v>
      </c>
      <c r="BA882" s="1" t="s">
        <v>8786</v>
      </c>
      <c r="BB882" s="1" t="s">
        <v>8787</v>
      </c>
      <c r="BC882" s="1" t="s">
        <v>8787</v>
      </c>
      <c r="BD882" s="1" t="s">
        <v>74</v>
      </c>
      <c r="BE882" s="1" t="s">
        <v>8788</v>
      </c>
      <c r="BF882" s="2" t="str">
        <f>HYPERLINK("http://dx.doi.org/10.1107/S2053273314082783","http://dx.doi.org/10.1107/S2053273314082783")</f>
        <v>http://dx.doi.org/10.1107/S2053273314082783</v>
      </c>
      <c r="BG882" s="1" t="s">
        <v>74</v>
      </c>
      <c r="BH882" s="1" t="s">
        <v>74</v>
      </c>
      <c r="BI882" s="1" t="s">
        <v>74</v>
      </c>
      <c r="BJ882" s="1" t="s">
        <v>74</v>
      </c>
      <c r="BK882" s="1" t="s">
        <v>74</v>
      </c>
      <c r="BL882" s="1" t="s">
        <v>74</v>
      </c>
      <c r="BM882" s="1" t="s">
        <v>74</v>
      </c>
      <c r="BN882" s="1" t="s">
        <v>74</v>
      </c>
      <c r="BO882" s="1" t="s">
        <v>74</v>
      </c>
      <c r="BP882" s="1" t="s">
        <v>74</v>
      </c>
      <c r="BQ882" s="1" t="s">
        <v>74</v>
      </c>
      <c r="BR882" s="1" t="s">
        <v>74</v>
      </c>
      <c r="BS882" s="1" t="s">
        <v>8789</v>
      </c>
      <c r="BT882" s="1" t="str">
        <f>HYPERLINK("https%3A%2F%2Fwww.webofscience.com%2Fwos%2Fwoscc%2Ffull-record%2FWOS:000519606301724","View Full Record in Web of Science")</f>
        <v>View Full Record in Web of Science</v>
      </c>
    </row>
    <row r="883" ht="12.75" customHeight="1">
      <c r="A883" s="1" t="s">
        <v>72</v>
      </c>
      <c r="B883" s="1" t="s">
        <v>8790</v>
      </c>
      <c r="C883" s="1" t="s">
        <v>74</v>
      </c>
      <c r="D883" s="1" t="s">
        <v>74</v>
      </c>
      <c r="E883" s="1" t="s">
        <v>74</v>
      </c>
      <c r="F883" s="1" t="s">
        <v>8791</v>
      </c>
      <c r="G883" s="1" t="s">
        <v>74</v>
      </c>
      <c r="H883" s="1" t="s">
        <v>74</v>
      </c>
      <c r="I883" s="1" t="s">
        <v>8792</v>
      </c>
      <c r="J883" s="1" t="s">
        <v>8793</v>
      </c>
      <c r="K883" s="1" t="s">
        <v>74</v>
      </c>
      <c r="L883" s="1" t="s">
        <v>74</v>
      </c>
      <c r="M883" s="1" t="s">
        <v>74</v>
      </c>
      <c r="N883" s="1" t="s">
        <v>74</v>
      </c>
      <c r="O883" s="1" t="s">
        <v>74</v>
      </c>
      <c r="P883" s="1" t="s">
        <v>74</v>
      </c>
      <c r="Q883" s="1" t="s">
        <v>74</v>
      </c>
      <c r="R883" s="1" t="s">
        <v>74</v>
      </c>
      <c r="S883" s="1" t="s">
        <v>74</v>
      </c>
      <c r="T883" s="1" t="s">
        <v>74</v>
      </c>
      <c r="U883" s="1" t="s">
        <v>74</v>
      </c>
      <c r="V883" s="1" t="s">
        <v>8794</v>
      </c>
      <c r="W883" s="1" t="s">
        <v>74</v>
      </c>
      <c r="X883" s="1" t="s">
        <v>74</v>
      </c>
      <c r="Y883" s="1" t="s">
        <v>74</v>
      </c>
      <c r="Z883" s="1" t="s">
        <v>74</v>
      </c>
      <c r="AA883" s="1" t="s">
        <v>8795</v>
      </c>
      <c r="AB883" s="1" t="s">
        <v>8796</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8797</v>
      </c>
      <c r="AP883" s="1" t="s">
        <v>8798</v>
      </c>
      <c r="AQ883" s="1" t="s">
        <v>74</v>
      </c>
      <c r="AR883" s="1" t="s">
        <v>74</v>
      </c>
      <c r="AS883" s="1" t="s">
        <v>74</v>
      </c>
      <c r="AT883" s="1" t="s">
        <v>94</v>
      </c>
      <c r="AU883" s="1">
        <v>2014.0</v>
      </c>
      <c r="AV883" s="1">
        <v>180.0</v>
      </c>
      <c r="AW883" s="1" t="s">
        <v>74</v>
      </c>
      <c r="AX883" s="1" t="s">
        <v>74</v>
      </c>
      <c r="AY883" s="1" t="s">
        <v>74</v>
      </c>
      <c r="AZ883" s="1" t="s">
        <v>74</v>
      </c>
      <c r="BA883" s="1" t="s">
        <v>74</v>
      </c>
      <c r="BB883" s="1">
        <v>61.0</v>
      </c>
      <c r="BC883" s="1">
        <v>71.0</v>
      </c>
      <c r="BD883" s="1" t="s">
        <v>74</v>
      </c>
      <c r="BE883" s="1" t="s">
        <v>8799</v>
      </c>
      <c r="BF883" s="2" t="str">
        <f>HYPERLINK("http://dx.doi.org/10.1016/j.chemphyslip.2014.02.005","http://dx.doi.org/10.1016/j.chemphyslip.2014.02.005")</f>
        <v>http://dx.doi.org/10.1016/j.chemphyslip.2014.02.005</v>
      </c>
      <c r="BG883" s="1" t="s">
        <v>74</v>
      </c>
      <c r="BH883" s="1" t="s">
        <v>74</v>
      </c>
      <c r="BI883" s="1" t="s">
        <v>74</v>
      </c>
      <c r="BJ883" s="1" t="s">
        <v>74</v>
      </c>
      <c r="BK883" s="1" t="s">
        <v>74</v>
      </c>
      <c r="BL883" s="1" t="s">
        <v>74</v>
      </c>
      <c r="BM883" s="1" t="s">
        <v>74</v>
      </c>
      <c r="BN883" s="1">
        <v>2.4613478E7</v>
      </c>
      <c r="BO883" s="1" t="s">
        <v>74</v>
      </c>
      <c r="BP883" s="1" t="s">
        <v>74</v>
      </c>
      <c r="BQ883" s="1" t="s">
        <v>74</v>
      </c>
      <c r="BR883" s="1" t="s">
        <v>74</v>
      </c>
      <c r="BS883" s="1" t="s">
        <v>8800</v>
      </c>
      <c r="BT883" s="1" t="str">
        <f>HYPERLINK("https%3A%2F%2Fwww.webofscience.com%2Fwos%2Fwoscc%2Ffull-record%2FWOS:000335870900007","View Full Record in Web of Science")</f>
        <v>View Full Record in Web of Science</v>
      </c>
    </row>
    <row r="884" ht="12.75" customHeight="1">
      <c r="A884" s="1" t="s">
        <v>72</v>
      </c>
      <c r="B884" s="1" t="s">
        <v>8801</v>
      </c>
      <c r="C884" s="1" t="s">
        <v>74</v>
      </c>
      <c r="D884" s="1" t="s">
        <v>74</v>
      </c>
      <c r="E884" s="1" t="s">
        <v>74</v>
      </c>
      <c r="F884" s="1" t="s">
        <v>8802</v>
      </c>
      <c r="G884" s="1" t="s">
        <v>74</v>
      </c>
      <c r="H884" s="1" t="s">
        <v>74</v>
      </c>
      <c r="I884" s="1" t="s">
        <v>8803</v>
      </c>
      <c r="J884" s="1" t="s">
        <v>8804</v>
      </c>
      <c r="K884" s="1" t="s">
        <v>74</v>
      </c>
      <c r="L884" s="1" t="s">
        <v>74</v>
      </c>
      <c r="M884" s="1" t="s">
        <v>74</v>
      </c>
      <c r="N884" s="1" t="s">
        <v>74</v>
      </c>
      <c r="O884" s="1" t="s">
        <v>74</v>
      </c>
      <c r="P884" s="1" t="s">
        <v>74</v>
      </c>
      <c r="Q884" s="1" t="s">
        <v>74</v>
      </c>
      <c r="R884" s="1" t="s">
        <v>74</v>
      </c>
      <c r="S884" s="1" t="s">
        <v>74</v>
      </c>
      <c r="T884" s="1" t="s">
        <v>74</v>
      </c>
      <c r="U884" s="1" t="s">
        <v>74</v>
      </c>
      <c r="V884" s="1" t="s">
        <v>8805</v>
      </c>
      <c r="W884" s="1" t="s">
        <v>74</v>
      </c>
      <c r="X884" s="1" t="s">
        <v>74</v>
      </c>
      <c r="Y884" s="1" t="s">
        <v>74</v>
      </c>
      <c r="Z884" s="1" t="s">
        <v>74</v>
      </c>
      <c r="AA884" s="1" t="s">
        <v>74</v>
      </c>
      <c r="AB884" s="1" t="s">
        <v>8806</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8807</v>
      </c>
      <c r="AP884" s="1" t="s">
        <v>74</v>
      </c>
      <c r="AQ884" s="1" t="s">
        <v>74</v>
      </c>
      <c r="AR884" s="1" t="s">
        <v>74</v>
      </c>
      <c r="AS884" s="1" t="s">
        <v>74</v>
      </c>
      <c r="AT884" s="1" t="s">
        <v>74</v>
      </c>
      <c r="AU884" s="1">
        <v>2014.0</v>
      </c>
      <c r="AV884" s="1">
        <v>41.0</v>
      </c>
      <c r="AW884" s="1">
        <v>1.0</v>
      </c>
      <c r="AX884" s="1" t="s">
        <v>74</v>
      </c>
      <c r="AY884" s="1" t="s">
        <v>74</v>
      </c>
      <c r="AZ884" s="1" t="s">
        <v>74</v>
      </c>
      <c r="BA884" s="1" t="s">
        <v>74</v>
      </c>
      <c r="BB884" s="1">
        <v>174.0</v>
      </c>
      <c r="BC884" s="1">
        <v>209.0</v>
      </c>
      <c r="BD884" s="1" t="s">
        <v>74</v>
      </c>
      <c r="BE884" s="1" t="s">
        <v>8808</v>
      </c>
      <c r="BF884" s="2" t="str">
        <f>HYPERLINK("http://dx.doi.org/10.5027/andgeoV41n1-a07","http://dx.doi.org/10.5027/andgeoV41n1-a07")</f>
        <v>http://dx.doi.org/10.5027/andgeoV41n1-a07</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8809</v>
      </c>
      <c r="BT884" s="1" t="str">
        <f>HYPERLINK("https%3A%2F%2Fwww.webofscience.com%2Fwos%2Fwoscc%2Ffull-record%2FWOS:000331151700007","View Full Record in Web of Science")</f>
        <v>View Full Record in Web of Science</v>
      </c>
    </row>
    <row r="885" ht="12.75" customHeight="1">
      <c r="A885" s="1" t="s">
        <v>72</v>
      </c>
      <c r="B885" s="1" t="s">
        <v>8810</v>
      </c>
      <c r="C885" s="1" t="s">
        <v>74</v>
      </c>
      <c r="D885" s="1" t="s">
        <v>74</v>
      </c>
      <c r="E885" s="1" t="s">
        <v>74</v>
      </c>
      <c r="F885" s="1" t="s">
        <v>8811</v>
      </c>
      <c r="G885" s="1" t="s">
        <v>74</v>
      </c>
      <c r="H885" s="1" t="s">
        <v>74</v>
      </c>
      <c r="I885" s="1" t="s">
        <v>8812</v>
      </c>
      <c r="J885" s="1" t="s">
        <v>787</v>
      </c>
      <c r="K885" s="1" t="s">
        <v>74</v>
      </c>
      <c r="L885" s="1" t="s">
        <v>74</v>
      </c>
      <c r="M885" s="1" t="s">
        <v>74</v>
      </c>
      <c r="N885" s="1" t="s">
        <v>74</v>
      </c>
      <c r="O885" s="1" t="s">
        <v>74</v>
      </c>
      <c r="P885" s="1" t="s">
        <v>74</v>
      </c>
      <c r="Q885" s="1" t="s">
        <v>74</v>
      </c>
      <c r="R885" s="1" t="s">
        <v>74</v>
      </c>
      <c r="S885" s="1" t="s">
        <v>74</v>
      </c>
      <c r="T885" s="1" t="s">
        <v>74</v>
      </c>
      <c r="U885" s="1" t="s">
        <v>74</v>
      </c>
      <c r="V885" s="1" t="s">
        <v>8813</v>
      </c>
      <c r="W885" s="1" t="s">
        <v>74</v>
      </c>
      <c r="X885" s="1" t="s">
        <v>74</v>
      </c>
      <c r="Y885" s="1" t="s">
        <v>74</v>
      </c>
      <c r="Z885" s="1" t="s">
        <v>74</v>
      </c>
      <c r="AA885" s="1" t="s">
        <v>8814</v>
      </c>
      <c r="AB885" s="1" t="s">
        <v>6453</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791</v>
      </c>
      <c r="AP885" s="1" t="s">
        <v>792</v>
      </c>
      <c r="AQ885" s="1" t="s">
        <v>74</v>
      </c>
      <c r="AR885" s="1" t="s">
        <v>74</v>
      </c>
      <c r="AS885" s="1" t="s">
        <v>74</v>
      </c>
      <c r="AT885" s="1" t="s">
        <v>4585</v>
      </c>
      <c r="AU885" s="1">
        <v>2009.0</v>
      </c>
      <c r="AV885" s="1">
        <v>117.0</v>
      </c>
      <c r="AW885" s="1">
        <v>4.0</v>
      </c>
      <c r="AX885" s="1" t="s">
        <v>74</v>
      </c>
      <c r="AY885" s="1" t="s">
        <v>74</v>
      </c>
      <c r="AZ885" s="1" t="s">
        <v>74</v>
      </c>
      <c r="BA885" s="1" t="s">
        <v>74</v>
      </c>
      <c r="BB885" s="1">
        <v>647.0</v>
      </c>
      <c r="BC885" s="1">
        <v>653.0</v>
      </c>
      <c r="BD885" s="1" t="s">
        <v>74</v>
      </c>
      <c r="BE885" s="1" t="s">
        <v>8815</v>
      </c>
      <c r="BF885" s="2" t="str">
        <f>HYPERLINK("http://dx.doi.org/10.1016/j.foodchem.2009.04.066","http://dx.doi.org/10.1016/j.foodchem.2009.04.066")</f>
        <v>http://dx.doi.org/10.1016/j.foodchem.2009.04.066</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8816</v>
      </c>
      <c r="BT885" s="1" t="str">
        <f>HYPERLINK("https%3A%2F%2Fwww.webofscience.com%2Fwos%2Fwoscc%2Ffull-record%2FWOS:000268386200011","View Full Record in Web of Science")</f>
        <v>View Full Record in Web of Science</v>
      </c>
    </row>
    <row r="886" ht="12.75" customHeight="1">
      <c r="A886" s="1" t="s">
        <v>72</v>
      </c>
      <c r="B886" s="1" t="s">
        <v>8817</v>
      </c>
      <c r="C886" s="1" t="s">
        <v>74</v>
      </c>
      <c r="D886" s="1" t="s">
        <v>74</v>
      </c>
      <c r="E886" s="1" t="s">
        <v>74</v>
      </c>
      <c r="F886" s="1" t="s">
        <v>8818</v>
      </c>
      <c r="G886" s="1" t="s">
        <v>74</v>
      </c>
      <c r="H886" s="1" t="s">
        <v>74</v>
      </c>
      <c r="I886" s="1" t="s">
        <v>8819</v>
      </c>
      <c r="J886" s="1" t="s">
        <v>1023</v>
      </c>
      <c r="K886" s="1" t="s">
        <v>74</v>
      </c>
      <c r="L886" s="1" t="s">
        <v>74</v>
      </c>
      <c r="M886" s="1" t="s">
        <v>74</v>
      </c>
      <c r="N886" s="1" t="s">
        <v>74</v>
      </c>
      <c r="O886" s="1" t="s">
        <v>74</v>
      </c>
      <c r="P886" s="1" t="s">
        <v>74</v>
      </c>
      <c r="Q886" s="1" t="s">
        <v>74</v>
      </c>
      <c r="R886" s="1" t="s">
        <v>74</v>
      </c>
      <c r="S886" s="1" t="s">
        <v>74</v>
      </c>
      <c r="T886" s="1" t="s">
        <v>74</v>
      </c>
      <c r="U886" s="1" t="s">
        <v>74</v>
      </c>
      <c r="V886" s="1" t="s">
        <v>8820</v>
      </c>
      <c r="W886" s="1" t="s">
        <v>74</v>
      </c>
      <c r="X886" s="1" t="s">
        <v>74</v>
      </c>
      <c r="Y886" s="1" t="s">
        <v>74</v>
      </c>
      <c r="Z886" s="1" t="s">
        <v>74</v>
      </c>
      <c r="AA886" s="1" t="s">
        <v>8821</v>
      </c>
      <c r="AB886" s="1" t="s">
        <v>8822</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1027</v>
      </c>
      <c r="AP886" s="1" t="s">
        <v>74</v>
      </c>
      <c r="AQ886" s="1" t="s">
        <v>74</v>
      </c>
      <c r="AR886" s="1" t="s">
        <v>74</v>
      </c>
      <c r="AS886" s="1" t="s">
        <v>74</v>
      </c>
      <c r="AT886" s="1" t="s">
        <v>7618</v>
      </c>
      <c r="AU886" s="1">
        <v>2009.0</v>
      </c>
      <c r="AV886" s="1">
        <v>42.0</v>
      </c>
      <c r="AW886" s="1">
        <v>22.0</v>
      </c>
      <c r="AX886" s="1" t="s">
        <v>74</v>
      </c>
      <c r="AY886" s="1" t="s">
        <v>74</v>
      </c>
      <c r="AZ886" s="1" t="s">
        <v>74</v>
      </c>
      <c r="BA886" s="1" t="s">
        <v>74</v>
      </c>
      <c r="BB886" s="1" t="s">
        <v>74</v>
      </c>
      <c r="BC886" s="1" t="s">
        <v>74</v>
      </c>
      <c r="BD886" s="1">
        <v>225002.0</v>
      </c>
      <c r="BE886" s="1" t="s">
        <v>8823</v>
      </c>
      <c r="BF886" s="2" t="str">
        <f>HYPERLINK("http://dx.doi.org/10.1088/0022-3727/42/22/225002","http://dx.doi.org/10.1088/0022-3727/42/22/225002")</f>
        <v>http://dx.doi.org/10.1088/0022-3727/42/22/225002</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8824</v>
      </c>
      <c r="BT886" s="1" t="str">
        <f>HYPERLINK("https%3A%2F%2Fwww.webofscience.com%2Fwos%2Fwoscc%2Ffull-record%2FWOS:000271519000009","View Full Record in Web of Science")</f>
        <v>View Full Record in Web of Science</v>
      </c>
    </row>
    <row r="887" ht="12.75" customHeight="1">
      <c r="A887" s="1" t="s">
        <v>72</v>
      </c>
      <c r="B887" s="1" t="s">
        <v>8825</v>
      </c>
      <c r="C887" s="1" t="s">
        <v>74</v>
      </c>
      <c r="D887" s="1" t="s">
        <v>74</v>
      </c>
      <c r="E887" s="1" t="s">
        <v>74</v>
      </c>
      <c r="F887" s="1" t="s">
        <v>8826</v>
      </c>
      <c r="G887" s="1" t="s">
        <v>74</v>
      </c>
      <c r="H887" s="1" t="s">
        <v>74</v>
      </c>
      <c r="I887" s="1" t="s">
        <v>8827</v>
      </c>
      <c r="J887" s="1" t="s">
        <v>8828</v>
      </c>
      <c r="K887" s="1" t="s">
        <v>74</v>
      </c>
      <c r="L887" s="1" t="s">
        <v>74</v>
      </c>
      <c r="M887" s="1" t="s">
        <v>74</v>
      </c>
      <c r="N887" s="1" t="s">
        <v>74</v>
      </c>
      <c r="O887" s="1" t="s">
        <v>74</v>
      </c>
      <c r="P887" s="1" t="s">
        <v>74</v>
      </c>
      <c r="Q887" s="1" t="s">
        <v>74</v>
      </c>
      <c r="R887" s="1" t="s">
        <v>74</v>
      </c>
      <c r="S887" s="1" t="s">
        <v>74</v>
      </c>
      <c r="T887" s="1" t="s">
        <v>74</v>
      </c>
      <c r="U887" s="1" t="s">
        <v>74</v>
      </c>
      <c r="V887" s="1" t="s">
        <v>8829</v>
      </c>
      <c r="W887" s="1" t="s">
        <v>74</v>
      </c>
      <c r="X887" s="1" t="s">
        <v>74</v>
      </c>
      <c r="Y887" s="1" t="s">
        <v>74</v>
      </c>
      <c r="Z887" s="1" t="s">
        <v>74</v>
      </c>
      <c r="AA887" s="1" t="s">
        <v>74</v>
      </c>
      <c r="AB887" s="1" t="s">
        <v>74</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8830</v>
      </c>
      <c r="AP887" s="1" t="s">
        <v>8831</v>
      </c>
      <c r="AQ887" s="1" t="s">
        <v>74</v>
      </c>
      <c r="AR887" s="1" t="s">
        <v>74</v>
      </c>
      <c r="AS887" s="1" t="s">
        <v>74</v>
      </c>
      <c r="AT887" s="1" t="s">
        <v>241</v>
      </c>
      <c r="AU887" s="1">
        <v>2009.0</v>
      </c>
      <c r="AV887" s="1">
        <v>8.0</v>
      </c>
      <c r="AW887" s="1">
        <v>3.0</v>
      </c>
      <c r="AX887" s="1" t="s">
        <v>74</v>
      </c>
      <c r="AY887" s="1" t="s">
        <v>74</v>
      </c>
      <c r="AZ887" s="1" t="s">
        <v>74</v>
      </c>
      <c r="BA887" s="1" t="s">
        <v>74</v>
      </c>
      <c r="BB887" s="1">
        <v>181.0</v>
      </c>
      <c r="BC887" s="1">
        <v>185.0</v>
      </c>
      <c r="BD887" s="1" t="s">
        <v>74</v>
      </c>
      <c r="BE887" s="1" t="s">
        <v>8832</v>
      </c>
      <c r="BF887" s="2" t="str">
        <f>HYPERLINK("http://dx.doi.org/10.1111/j.1473-2165.2009.00455.x","http://dx.doi.org/10.1111/j.1473-2165.2009.00455.x")</f>
        <v>http://dx.doi.org/10.1111/j.1473-2165.2009.00455.x</v>
      </c>
      <c r="BG887" s="1" t="s">
        <v>74</v>
      </c>
      <c r="BH887" s="1" t="s">
        <v>74</v>
      </c>
      <c r="BI887" s="1" t="s">
        <v>74</v>
      </c>
      <c r="BJ887" s="1" t="s">
        <v>74</v>
      </c>
      <c r="BK887" s="1" t="s">
        <v>74</v>
      </c>
      <c r="BL887" s="1" t="s">
        <v>74</v>
      </c>
      <c r="BM887" s="1" t="s">
        <v>74</v>
      </c>
      <c r="BN887" s="1">
        <v>1.9735515E7</v>
      </c>
      <c r="BO887" s="1" t="s">
        <v>74</v>
      </c>
      <c r="BP887" s="1" t="s">
        <v>74</v>
      </c>
      <c r="BQ887" s="1" t="s">
        <v>74</v>
      </c>
      <c r="BR887" s="1" t="s">
        <v>74</v>
      </c>
      <c r="BS887" s="1" t="s">
        <v>8833</v>
      </c>
      <c r="BT887" s="1" t="str">
        <f>HYPERLINK("https%3A%2F%2Fwww.webofscience.com%2Fwos%2Fwoscc%2Ffull-record%2FWOS:000208137000006","View Full Record in Web of Science")</f>
        <v>View Full Record in Web of Science</v>
      </c>
    </row>
    <row r="888" ht="12.75" customHeight="1">
      <c r="A888" s="1" t="s">
        <v>72</v>
      </c>
      <c r="B888" s="1" t="s">
        <v>6284</v>
      </c>
      <c r="C888" s="1" t="s">
        <v>74</v>
      </c>
      <c r="D888" s="1" t="s">
        <v>74</v>
      </c>
      <c r="E888" s="1" t="s">
        <v>74</v>
      </c>
      <c r="F888" s="1" t="s">
        <v>6284</v>
      </c>
      <c r="G888" s="1" t="s">
        <v>74</v>
      </c>
      <c r="H888" s="1" t="s">
        <v>74</v>
      </c>
      <c r="I888" s="1" t="s">
        <v>8834</v>
      </c>
      <c r="J888" s="1" t="s">
        <v>3081</v>
      </c>
      <c r="K888" s="1" t="s">
        <v>74</v>
      </c>
      <c r="L888" s="1" t="s">
        <v>74</v>
      </c>
      <c r="M888" s="1" t="s">
        <v>74</v>
      </c>
      <c r="N888" s="1" t="s">
        <v>74</v>
      </c>
      <c r="O888" s="1" t="s">
        <v>74</v>
      </c>
      <c r="P888" s="1" t="s">
        <v>74</v>
      </c>
      <c r="Q888" s="1" t="s">
        <v>74</v>
      </c>
      <c r="R888" s="1" t="s">
        <v>74</v>
      </c>
      <c r="S888" s="1" t="s">
        <v>74</v>
      </c>
      <c r="T888" s="1" t="s">
        <v>74</v>
      </c>
      <c r="U888" s="1" t="s">
        <v>74</v>
      </c>
      <c r="V888" s="1" t="s">
        <v>8835</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3085</v>
      </c>
      <c r="AP888" s="1" t="s">
        <v>3086</v>
      </c>
      <c r="AQ888" s="1" t="s">
        <v>74</v>
      </c>
      <c r="AR888" s="1" t="s">
        <v>74</v>
      </c>
      <c r="AS888" s="1" t="s">
        <v>74</v>
      </c>
      <c r="AT888" s="1" t="s">
        <v>74</v>
      </c>
      <c r="AU888" s="1">
        <v>2003.0</v>
      </c>
      <c r="AV888" s="1">
        <v>36.0</v>
      </c>
      <c r="AW888" s="1" t="s">
        <v>2143</v>
      </c>
      <c r="AX888" s="1" t="s">
        <v>74</v>
      </c>
      <c r="AY888" s="1" t="s">
        <v>74</v>
      </c>
      <c r="AZ888" s="1" t="s">
        <v>74</v>
      </c>
      <c r="BA888" s="1" t="s">
        <v>74</v>
      </c>
      <c r="BB888" s="1">
        <v>405.0</v>
      </c>
      <c r="BC888" s="1">
        <v>410.0</v>
      </c>
      <c r="BD888" s="1" t="s">
        <v>74</v>
      </c>
      <c r="BE888" s="1" t="s">
        <v>74</v>
      </c>
      <c r="BF888" s="1" t="s">
        <v>74</v>
      </c>
      <c r="BG888" s="1" t="s">
        <v>74</v>
      </c>
      <c r="BH888" s="1" t="s">
        <v>74</v>
      </c>
      <c r="BI888" s="1" t="s">
        <v>74</v>
      </c>
      <c r="BJ888" s="1" t="s">
        <v>74</v>
      </c>
      <c r="BK888" s="1" t="s">
        <v>74</v>
      </c>
      <c r="BL888" s="1" t="s">
        <v>74</v>
      </c>
      <c r="BM888" s="1" t="s">
        <v>74</v>
      </c>
      <c r="BN888" s="1">
        <v>1.4631872E7</v>
      </c>
      <c r="BO888" s="1" t="s">
        <v>74</v>
      </c>
      <c r="BP888" s="1" t="s">
        <v>74</v>
      </c>
      <c r="BQ888" s="1" t="s">
        <v>74</v>
      </c>
      <c r="BR888" s="1" t="s">
        <v>74</v>
      </c>
      <c r="BS888" s="1" t="s">
        <v>8836</v>
      </c>
      <c r="BT888" s="1" t="str">
        <f>HYPERLINK("https%3A%2F%2Fwww.webofscience.com%2Fwos%2Fwoscc%2Ffull-record%2FWOS:000186644200011","View Full Record in Web of Science")</f>
        <v>View Full Record in Web of Science</v>
      </c>
    </row>
    <row r="889" ht="12.75" customHeight="1">
      <c r="A889" s="1" t="s">
        <v>72</v>
      </c>
      <c r="B889" s="1" t="s">
        <v>6085</v>
      </c>
      <c r="C889" s="1" t="s">
        <v>74</v>
      </c>
      <c r="D889" s="1" t="s">
        <v>74</v>
      </c>
      <c r="E889" s="1" t="s">
        <v>74</v>
      </c>
      <c r="F889" s="1" t="s">
        <v>6085</v>
      </c>
      <c r="G889" s="1" t="s">
        <v>74</v>
      </c>
      <c r="H889" s="1" t="s">
        <v>74</v>
      </c>
      <c r="I889" s="1" t="s">
        <v>8837</v>
      </c>
      <c r="J889" s="1" t="s">
        <v>1897</v>
      </c>
      <c r="K889" s="1" t="s">
        <v>74</v>
      </c>
      <c r="L889" s="1" t="s">
        <v>74</v>
      </c>
      <c r="M889" s="1" t="s">
        <v>74</v>
      </c>
      <c r="N889" s="1" t="s">
        <v>74</v>
      </c>
      <c r="O889" s="1" t="s">
        <v>74</v>
      </c>
      <c r="P889" s="1" t="s">
        <v>74</v>
      </c>
      <c r="Q889" s="1" t="s">
        <v>74</v>
      </c>
      <c r="R889" s="1" t="s">
        <v>74</v>
      </c>
      <c r="S889" s="1" t="s">
        <v>74</v>
      </c>
      <c r="T889" s="1" t="s">
        <v>74</v>
      </c>
      <c r="U889" s="1" t="s">
        <v>74</v>
      </c>
      <c r="V889" s="1" t="s">
        <v>8838</v>
      </c>
      <c r="W889" s="1" t="s">
        <v>74</v>
      </c>
      <c r="X889" s="1" t="s">
        <v>74</v>
      </c>
      <c r="Y889" s="1" t="s">
        <v>74</v>
      </c>
      <c r="Z889" s="1" t="s">
        <v>74</v>
      </c>
      <c r="AA889" s="1" t="s">
        <v>74</v>
      </c>
      <c r="AB889" s="1" t="s">
        <v>74</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1901</v>
      </c>
      <c r="AP889" s="1" t="s">
        <v>74</v>
      </c>
      <c r="AQ889" s="1" t="s">
        <v>74</v>
      </c>
      <c r="AR889" s="1" t="s">
        <v>74</v>
      </c>
      <c r="AS889" s="1" t="s">
        <v>74</v>
      </c>
      <c r="AT889" s="1" t="s">
        <v>600</v>
      </c>
      <c r="AU889" s="1">
        <v>1998.0</v>
      </c>
      <c r="AV889" s="1">
        <v>123.0</v>
      </c>
      <c r="AW889" s="1">
        <v>4.0</v>
      </c>
      <c r="AX889" s="1" t="s">
        <v>74</v>
      </c>
      <c r="AY889" s="1" t="s">
        <v>74</v>
      </c>
      <c r="AZ889" s="1" t="s">
        <v>74</v>
      </c>
      <c r="BA889" s="1" t="s">
        <v>74</v>
      </c>
      <c r="BB889" s="1">
        <v>661.0</v>
      </c>
      <c r="BC889" s="1">
        <v>666.0</v>
      </c>
      <c r="BD889" s="1" t="s">
        <v>74</v>
      </c>
      <c r="BE889" s="1" t="s">
        <v>8839</v>
      </c>
      <c r="BF889" s="2" t="str">
        <f>HYPERLINK("http://dx.doi.org/10.1038/sj.bjp.0701657","http://dx.doi.org/10.1038/sj.bjp.0701657")</f>
        <v>http://dx.doi.org/10.1038/sj.bjp.0701657</v>
      </c>
      <c r="BG889" s="1" t="s">
        <v>74</v>
      </c>
      <c r="BH889" s="1" t="s">
        <v>74</v>
      </c>
      <c r="BI889" s="1" t="s">
        <v>74</v>
      </c>
      <c r="BJ889" s="1" t="s">
        <v>74</v>
      </c>
      <c r="BK889" s="1" t="s">
        <v>74</v>
      </c>
      <c r="BL889" s="1" t="s">
        <v>74</v>
      </c>
      <c r="BM889" s="1" t="s">
        <v>74</v>
      </c>
      <c r="BN889" s="1">
        <v>9517385.0</v>
      </c>
      <c r="BO889" s="1" t="s">
        <v>74</v>
      </c>
      <c r="BP889" s="1" t="s">
        <v>74</v>
      </c>
      <c r="BQ889" s="1" t="s">
        <v>74</v>
      </c>
      <c r="BR889" s="1" t="s">
        <v>74</v>
      </c>
      <c r="BS889" s="1" t="s">
        <v>8840</v>
      </c>
      <c r="BT889" s="1" t="str">
        <f>HYPERLINK("https%3A%2F%2Fwww.webofscience.com%2Fwos%2Fwoscc%2Ffull-record%2FWOS:000072107500010","View Full Record in Web of Science")</f>
        <v>View Full Record in Web of Science</v>
      </c>
    </row>
    <row r="890" ht="12.75" customHeight="1">
      <c r="A890" s="1" t="s">
        <v>72</v>
      </c>
      <c r="B890" s="1" t="s">
        <v>8841</v>
      </c>
      <c r="C890" s="1" t="s">
        <v>74</v>
      </c>
      <c r="D890" s="1" t="s">
        <v>74</v>
      </c>
      <c r="E890" s="1" t="s">
        <v>74</v>
      </c>
      <c r="F890" s="1" t="s">
        <v>8842</v>
      </c>
      <c r="G890" s="1" t="s">
        <v>74</v>
      </c>
      <c r="H890" s="1" t="s">
        <v>74</v>
      </c>
      <c r="I890" s="1" t="s">
        <v>8843</v>
      </c>
      <c r="J890" s="1" t="s">
        <v>691</v>
      </c>
      <c r="K890" s="1" t="s">
        <v>74</v>
      </c>
      <c r="L890" s="1" t="s">
        <v>74</v>
      </c>
      <c r="M890" s="1" t="s">
        <v>74</v>
      </c>
      <c r="N890" s="1" t="s">
        <v>74</v>
      </c>
      <c r="O890" s="1" t="s">
        <v>74</v>
      </c>
      <c r="P890" s="1" t="s">
        <v>74</v>
      </c>
      <c r="Q890" s="1" t="s">
        <v>74</v>
      </c>
      <c r="R890" s="1" t="s">
        <v>74</v>
      </c>
      <c r="S890" s="1" t="s">
        <v>74</v>
      </c>
      <c r="T890" s="1" t="s">
        <v>74</v>
      </c>
      <c r="U890" s="1" t="s">
        <v>74</v>
      </c>
      <c r="V890" s="1" t="s">
        <v>8844</v>
      </c>
      <c r="W890" s="1" t="s">
        <v>74</v>
      </c>
      <c r="X890" s="1" t="s">
        <v>74</v>
      </c>
      <c r="Y890" s="1" t="s">
        <v>74</v>
      </c>
      <c r="Z890" s="1" t="s">
        <v>74</v>
      </c>
      <c r="AA890" s="1" t="s">
        <v>8845</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74</v>
      </c>
      <c r="AP890" s="1" t="s">
        <v>694</v>
      </c>
      <c r="AQ890" s="1" t="s">
        <v>74</v>
      </c>
      <c r="AR890" s="1" t="s">
        <v>74</v>
      </c>
      <c r="AS890" s="1" t="s">
        <v>74</v>
      </c>
      <c r="AT890" s="1" t="s">
        <v>221</v>
      </c>
      <c r="AU890" s="1">
        <v>2025.0</v>
      </c>
      <c r="AV890" s="1">
        <v>15.0</v>
      </c>
      <c r="AW890" s="1">
        <v>8.0</v>
      </c>
      <c r="AX890" s="1" t="s">
        <v>74</v>
      </c>
      <c r="AY890" s="1" t="s">
        <v>74</v>
      </c>
      <c r="AZ890" s="1" t="s">
        <v>74</v>
      </c>
      <c r="BA890" s="1" t="s">
        <v>74</v>
      </c>
      <c r="BB890" s="1" t="s">
        <v>74</v>
      </c>
      <c r="BC890" s="1" t="s">
        <v>74</v>
      </c>
      <c r="BD890" s="1">
        <v>4556.0</v>
      </c>
      <c r="BE890" s="1" t="s">
        <v>8846</v>
      </c>
      <c r="BF890" s="2" t="str">
        <f>HYPERLINK("http://dx.doi.org/10.3390/app15084556","http://dx.doi.org/10.3390/app15084556")</f>
        <v>http://dx.doi.org/10.3390/app15084556</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8847</v>
      </c>
      <c r="BT890" s="1" t="str">
        <f>HYPERLINK("https%3A%2F%2Fwww.webofscience.com%2Fwos%2Fwoscc%2Ffull-record%2FWOS:001474759400001","View Full Record in Web of Science")</f>
        <v>View Full Record in Web of Science</v>
      </c>
    </row>
    <row r="891" ht="12.75" customHeight="1">
      <c r="A891" s="1" t="s">
        <v>72</v>
      </c>
      <c r="B891" s="1" t="s">
        <v>8848</v>
      </c>
      <c r="C891" s="1" t="s">
        <v>74</v>
      </c>
      <c r="D891" s="1" t="s">
        <v>74</v>
      </c>
      <c r="E891" s="1" t="s">
        <v>74</v>
      </c>
      <c r="F891" s="1" t="s">
        <v>8849</v>
      </c>
      <c r="G891" s="1" t="s">
        <v>74</v>
      </c>
      <c r="H891" s="1" t="s">
        <v>74</v>
      </c>
      <c r="I891" s="1" t="s">
        <v>8850</v>
      </c>
      <c r="J891" s="1" t="s">
        <v>8851</v>
      </c>
      <c r="K891" s="1" t="s">
        <v>74</v>
      </c>
      <c r="L891" s="1" t="s">
        <v>74</v>
      </c>
      <c r="M891" s="1" t="s">
        <v>74</v>
      </c>
      <c r="N891" s="1" t="s">
        <v>74</v>
      </c>
      <c r="O891" s="1" t="s">
        <v>74</v>
      </c>
      <c r="P891" s="1" t="s">
        <v>74</v>
      </c>
      <c r="Q891" s="1" t="s">
        <v>74</v>
      </c>
      <c r="R891" s="1" t="s">
        <v>74</v>
      </c>
      <c r="S891" s="1" t="s">
        <v>74</v>
      </c>
      <c r="T891" s="1" t="s">
        <v>74</v>
      </c>
      <c r="U891" s="1" t="s">
        <v>74</v>
      </c>
      <c r="V891" s="1" t="s">
        <v>8852</v>
      </c>
      <c r="W891" s="1" t="s">
        <v>74</v>
      </c>
      <c r="X891" s="1" t="s">
        <v>74</v>
      </c>
      <c r="Y891" s="1" t="s">
        <v>74</v>
      </c>
      <c r="Z891" s="1" t="s">
        <v>74</v>
      </c>
      <c r="AA891" s="1" t="s">
        <v>8853</v>
      </c>
      <c r="AB891" s="1" t="s">
        <v>74</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74</v>
      </c>
      <c r="AP891" s="1" t="s">
        <v>8854</v>
      </c>
      <c r="AQ891" s="1" t="s">
        <v>74</v>
      </c>
      <c r="AR891" s="1" t="s">
        <v>74</v>
      </c>
      <c r="AS891" s="1" t="s">
        <v>74</v>
      </c>
      <c r="AT891" s="1" t="s">
        <v>8855</v>
      </c>
      <c r="AU891" s="1">
        <v>2025.0</v>
      </c>
      <c r="AV891" s="1" t="s">
        <v>74</v>
      </c>
      <c r="AW891" s="1" t="s">
        <v>74</v>
      </c>
      <c r="AX891" s="1" t="s">
        <v>74</v>
      </c>
      <c r="AY891" s="1" t="s">
        <v>74</v>
      </c>
      <c r="AZ891" s="1" t="s">
        <v>74</v>
      </c>
      <c r="BA891" s="1" t="s">
        <v>74</v>
      </c>
      <c r="BB891" s="1" t="s">
        <v>74</v>
      </c>
      <c r="BC891" s="1" t="s">
        <v>74</v>
      </c>
      <c r="BD891" s="1" t="s">
        <v>74</v>
      </c>
      <c r="BE891" s="1" t="s">
        <v>8856</v>
      </c>
      <c r="BF891" s="2" t="str">
        <f>HYPERLINK("http://dx.doi.org/10.1021/acsaelm.5c00280","http://dx.doi.org/10.1021/acsaelm.5c00280")</f>
        <v>http://dx.doi.org/10.1021/acsaelm.5c00280</v>
      </c>
      <c r="BG891" s="1" t="s">
        <v>74</v>
      </c>
      <c r="BH891" s="1" t="s">
        <v>5472</v>
      </c>
      <c r="BI891" s="1" t="s">
        <v>74</v>
      </c>
      <c r="BJ891" s="1" t="s">
        <v>74</v>
      </c>
      <c r="BK891" s="1" t="s">
        <v>74</v>
      </c>
      <c r="BL891" s="1" t="s">
        <v>74</v>
      </c>
      <c r="BM891" s="1" t="s">
        <v>74</v>
      </c>
      <c r="BN891" s="1" t="s">
        <v>74</v>
      </c>
      <c r="BO891" s="1" t="s">
        <v>74</v>
      </c>
      <c r="BP891" s="1" t="s">
        <v>74</v>
      </c>
      <c r="BQ891" s="1" t="s">
        <v>74</v>
      </c>
      <c r="BR891" s="1" t="s">
        <v>74</v>
      </c>
      <c r="BS891" s="1" t="s">
        <v>8857</v>
      </c>
      <c r="BT891" s="1" t="str">
        <f>HYPERLINK("https%3A%2F%2Fwww.webofscience.com%2Fwos%2Fwoscc%2Ffull-record%2FWOS:001467432500001","View Full Record in Web of Science")</f>
        <v>View Full Record in Web of Science</v>
      </c>
    </row>
    <row r="892" ht="12.75" customHeight="1">
      <c r="A892" s="1" t="s">
        <v>72</v>
      </c>
      <c r="B892" s="1" t="s">
        <v>8858</v>
      </c>
      <c r="C892" s="1" t="s">
        <v>74</v>
      </c>
      <c r="D892" s="1" t="s">
        <v>74</v>
      </c>
      <c r="E892" s="1" t="s">
        <v>74</v>
      </c>
      <c r="F892" s="1" t="s">
        <v>8859</v>
      </c>
      <c r="G892" s="1" t="s">
        <v>74</v>
      </c>
      <c r="H892" s="1" t="s">
        <v>74</v>
      </c>
      <c r="I892" s="1" t="s">
        <v>8860</v>
      </c>
      <c r="J892" s="1" t="s">
        <v>4140</v>
      </c>
      <c r="K892" s="1" t="s">
        <v>74</v>
      </c>
      <c r="L892" s="1" t="s">
        <v>74</v>
      </c>
      <c r="M892" s="1" t="s">
        <v>74</v>
      </c>
      <c r="N892" s="1" t="s">
        <v>74</v>
      </c>
      <c r="O892" s="1" t="s">
        <v>74</v>
      </c>
      <c r="P892" s="1" t="s">
        <v>74</v>
      </c>
      <c r="Q892" s="1" t="s">
        <v>74</v>
      </c>
      <c r="R892" s="1" t="s">
        <v>74</v>
      </c>
      <c r="S892" s="1" t="s">
        <v>74</v>
      </c>
      <c r="T892" s="1" t="s">
        <v>74</v>
      </c>
      <c r="U892" s="1" t="s">
        <v>74</v>
      </c>
      <c r="V892" s="1" t="s">
        <v>74</v>
      </c>
      <c r="W892" s="1" t="s">
        <v>74</v>
      </c>
      <c r="X892" s="1" t="s">
        <v>74</v>
      </c>
      <c r="Y892" s="1" t="s">
        <v>74</v>
      </c>
      <c r="Z892" s="1" t="s">
        <v>74</v>
      </c>
      <c r="AA892" s="1" t="s">
        <v>8861</v>
      </c>
      <c r="AB892" s="1" t="s">
        <v>74</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4144</v>
      </c>
      <c r="AP892" s="1" t="s">
        <v>4145</v>
      </c>
      <c r="AQ892" s="1" t="s">
        <v>74</v>
      </c>
      <c r="AR892" s="1" t="s">
        <v>74</v>
      </c>
      <c r="AS892" s="1" t="s">
        <v>74</v>
      </c>
      <c r="AT892" s="1" t="s">
        <v>94</v>
      </c>
      <c r="AU892" s="1">
        <v>2025.0</v>
      </c>
      <c r="AV892" s="1">
        <v>55.0</v>
      </c>
      <c r="AW892" s="1">
        <v>5.0</v>
      </c>
      <c r="AX892" s="1" t="s">
        <v>74</v>
      </c>
      <c r="AY892" s="1" t="s">
        <v>74</v>
      </c>
      <c r="AZ892" s="1" t="s">
        <v>74</v>
      </c>
      <c r="BA892" s="1" t="s">
        <v>74</v>
      </c>
      <c r="BB892" s="1">
        <v>1381.0</v>
      </c>
      <c r="BC892" s="1">
        <v>1381.0</v>
      </c>
      <c r="BD892" s="1" t="s">
        <v>74</v>
      </c>
      <c r="BE892" s="1" t="s">
        <v>8862</v>
      </c>
      <c r="BF892" s="2" t="str">
        <f>HYPERLINK("http://dx.doi.org/10.1007/s10800-025-02279-0","http://dx.doi.org/10.1007/s10800-025-02279-0")</f>
        <v>http://dx.doi.org/10.1007/s10800-025-02279-0</v>
      </c>
      <c r="BG892" s="1" t="s">
        <v>74</v>
      </c>
      <c r="BH892" s="1" t="s">
        <v>3467</v>
      </c>
      <c r="BI892" s="1" t="s">
        <v>74</v>
      </c>
      <c r="BJ892" s="1" t="s">
        <v>74</v>
      </c>
      <c r="BK892" s="1" t="s">
        <v>74</v>
      </c>
      <c r="BL892" s="1" t="s">
        <v>74</v>
      </c>
      <c r="BM892" s="1" t="s">
        <v>74</v>
      </c>
      <c r="BN892" s="1" t="s">
        <v>74</v>
      </c>
      <c r="BO892" s="1" t="s">
        <v>74</v>
      </c>
      <c r="BP892" s="1" t="s">
        <v>74</v>
      </c>
      <c r="BQ892" s="1" t="s">
        <v>74</v>
      </c>
      <c r="BR892" s="1" t="s">
        <v>74</v>
      </c>
      <c r="BS892" s="1" t="s">
        <v>8863</v>
      </c>
      <c r="BT892" s="1" t="str">
        <f>HYPERLINK("https%3A%2F%2Fwww.webofscience.com%2Fwos%2Fwoscc%2Ffull-record%2FWOS:001422455400001","View Full Record in Web of Science")</f>
        <v>View Full Record in Web of Science</v>
      </c>
    </row>
    <row r="893" ht="12.75" customHeight="1">
      <c r="A893" s="1" t="s">
        <v>72</v>
      </c>
      <c r="B893" s="1" t="s">
        <v>8864</v>
      </c>
      <c r="C893" s="1" t="s">
        <v>74</v>
      </c>
      <c r="D893" s="1" t="s">
        <v>74</v>
      </c>
      <c r="E893" s="1" t="s">
        <v>74</v>
      </c>
      <c r="F893" s="1" t="s">
        <v>8865</v>
      </c>
      <c r="G893" s="1" t="s">
        <v>74</v>
      </c>
      <c r="H893" s="1" t="s">
        <v>74</v>
      </c>
      <c r="I893" s="1" t="s">
        <v>8866</v>
      </c>
      <c r="J893" s="1" t="s">
        <v>5111</v>
      </c>
      <c r="K893" s="1" t="s">
        <v>74</v>
      </c>
      <c r="L893" s="1" t="s">
        <v>74</v>
      </c>
      <c r="M893" s="1" t="s">
        <v>74</v>
      </c>
      <c r="N893" s="1" t="s">
        <v>74</v>
      </c>
      <c r="O893" s="1" t="s">
        <v>74</v>
      </c>
      <c r="P893" s="1" t="s">
        <v>74</v>
      </c>
      <c r="Q893" s="1" t="s">
        <v>74</v>
      </c>
      <c r="R893" s="1" t="s">
        <v>74</v>
      </c>
      <c r="S893" s="1" t="s">
        <v>74</v>
      </c>
      <c r="T893" s="1" t="s">
        <v>74</v>
      </c>
      <c r="U893" s="1" t="s">
        <v>74</v>
      </c>
      <c r="V893" s="1" t="s">
        <v>8867</v>
      </c>
      <c r="W893" s="1" t="s">
        <v>74</v>
      </c>
      <c r="X893" s="1" t="s">
        <v>74</v>
      </c>
      <c r="Y893" s="1" t="s">
        <v>74</v>
      </c>
      <c r="Z893" s="1" t="s">
        <v>74</v>
      </c>
      <c r="AA893" s="1" t="s">
        <v>8868</v>
      </c>
      <c r="AB893" s="1" t="s">
        <v>8869</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5115</v>
      </c>
      <c r="AP893" s="1" t="s">
        <v>5116</v>
      </c>
      <c r="AQ893" s="1" t="s">
        <v>74</v>
      </c>
      <c r="AR893" s="1" t="s">
        <v>74</v>
      </c>
      <c r="AS893" s="1" t="s">
        <v>74</v>
      </c>
      <c r="AT893" s="1" t="s">
        <v>877</v>
      </c>
      <c r="AU893" s="1">
        <v>2024.0</v>
      </c>
      <c r="AV893" s="1">
        <v>274.0</v>
      </c>
      <c r="AW893" s="1" t="s">
        <v>74</v>
      </c>
      <c r="AX893" s="1">
        <v>1.0</v>
      </c>
      <c r="AY893" s="1" t="s">
        <v>74</v>
      </c>
      <c r="AZ893" s="1" t="s">
        <v>74</v>
      </c>
      <c r="BA893" s="1" t="s">
        <v>74</v>
      </c>
      <c r="BB893" s="1" t="s">
        <v>74</v>
      </c>
      <c r="BC893" s="1" t="s">
        <v>74</v>
      </c>
      <c r="BD893" s="1">
        <v>133039.0</v>
      </c>
      <c r="BE893" s="1" t="s">
        <v>8870</v>
      </c>
      <c r="BF893" s="2" t="str">
        <f>HYPERLINK("http://dx.doi.org/10.1016/j.ijbiomac.2024.133039","http://dx.doi.org/10.1016/j.ijbiomac.2024.133039")</f>
        <v>http://dx.doi.org/10.1016/j.ijbiomac.2024.133039</v>
      </c>
      <c r="BG893" s="1" t="s">
        <v>74</v>
      </c>
      <c r="BH893" s="1" t="s">
        <v>5302</v>
      </c>
      <c r="BI893" s="1" t="s">
        <v>74</v>
      </c>
      <c r="BJ893" s="1" t="s">
        <v>74</v>
      </c>
      <c r="BK893" s="1" t="s">
        <v>74</v>
      </c>
      <c r="BL893" s="1" t="s">
        <v>74</v>
      </c>
      <c r="BM893" s="1" t="s">
        <v>74</v>
      </c>
      <c r="BN893" s="1">
        <v>3.8866285E7</v>
      </c>
      <c r="BO893" s="1" t="s">
        <v>74</v>
      </c>
      <c r="BP893" s="1" t="s">
        <v>74</v>
      </c>
      <c r="BQ893" s="1" t="s">
        <v>74</v>
      </c>
      <c r="BR893" s="1" t="s">
        <v>74</v>
      </c>
      <c r="BS893" s="1" t="s">
        <v>8871</v>
      </c>
      <c r="BT893" s="1" t="str">
        <f>HYPERLINK("https%3A%2F%2Fwww.webofscience.com%2Fwos%2Fwoscc%2Ffull-record%2FWOS:001261521100001","View Full Record in Web of Science")</f>
        <v>View Full Record in Web of Science</v>
      </c>
    </row>
    <row r="894" ht="12.75" customHeight="1">
      <c r="A894" s="1" t="s">
        <v>72</v>
      </c>
      <c r="B894" s="1" t="s">
        <v>8872</v>
      </c>
      <c r="C894" s="1" t="s">
        <v>74</v>
      </c>
      <c r="D894" s="1" t="s">
        <v>74</v>
      </c>
      <c r="E894" s="1" t="s">
        <v>74</v>
      </c>
      <c r="F894" s="1" t="s">
        <v>8873</v>
      </c>
      <c r="G894" s="1" t="s">
        <v>74</v>
      </c>
      <c r="H894" s="1" t="s">
        <v>74</v>
      </c>
      <c r="I894" s="1" t="s">
        <v>8874</v>
      </c>
      <c r="J894" s="1" t="s">
        <v>8875</v>
      </c>
      <c r="K894" s="1" t="s">
        <v>74</v>
      </c>
      <c r="L894" s="1" t="s">
        <v>74</v>
      </c>
      <c r="M894" s="1" t="s">
        <v>74</v>
      </c>
      <c r="N894" s="1" t="s">
        <v>74</v>
      </c>
      <c r="O894" s="1" t="s">
        <v>74</v>
      </c>
      <c r="P894" s="1" t="s">
        <v>74</v>
      </c>
      <c r="Q894" s="1" t="s">
        <v>74</v>
      </c>
      <c r="R894" s="1" t="s">
        <v>74</v>
      </c>
      <c r="S894" s="1" t="s">
        <v>74</v>
      </c>
      <c r="T894" s="1" t="s">
        <v>74</v>
      </c>
      <c r="U894" s="1" t="s">
        <v>74</v>
      </c>
      <c r="V894" s="1" t="s">
        <v>8876</v>
      </c>
      <c r="W894" s="1" t="s">
        <v>74</v>
      </c>
      <c r="X894" s="1" t="s">
        <v>74</v>
      </c>
      <c r="Y894" s="1" t="s">
        <v>74</v>
      </c>
      <c r="Z894" s="1" t="s">
        <v>74</v>
      </c>
      <c r="AA894" s="1" t="s">
        <v>8877</v>
      </c>
      <c r="AB894" s="1" t="s">
        <v>7383</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8878</v>
      </c>
      <c r="AP894" s="1" t="s">
        <v>8879</v>
      </c>
      <c r="AQ894" s="1" t="s">
        <v>74</v>
      </c>
      <c r="AR894" s="1" t="s">
        <v>74</v>
      </c>
      <c r="AS894" s="1" t="s">
        <v>74</v>
      </c>
      <c r="AT894" s="1" t="s">
        <v>94</v>
      </c>
      <c r="AU894" s="1">
        <v>2024.0</v>
      </c>
      <c r="AV894" s="1">
        <v>230.0</v>
      </c>
      <c r="AW894" s="1" t="s">
        <v>74</v>
      </c>
      <c r="AX894" s="1" t="s">
        <v>74</v>
      </c>
      <c r="AY894" s="1" t="s">
        <v>74</v>
      </c>
      <c r="AZ894" s="1" t="s">
        <v>74</v>
      </c>
      <c r="BA894" s="1" t="s">
        <v>74</v>
      </c>
      <c r="BB894" s="1">
        <v>216.0</v>
      </c>
      <c r="BC894" s="1">
        <v>222.0</v>
      </c>
      <c r="BD894" s="1" t="s">
        <v>74</v>
      </c>
      <c r="BE894" s="1" t="s">
        <v>8880</v>
      </c>
      <c r="BF894" s="2" t="str">
        <f>HYPERLINK("http://dx.doi.org/10.1016/j.puhe.2024.02.029","http://dx.doi.org/10.1016/j.puhe.2024.02.029")</f>
        <v>http://dx.doi.org/10.1016/j.puhe.2024.02.029</v>
      </c>
      <c r="BG894" s="1" t="s">
        <v>74</v>
      </c>
      <c r="BH894" s="1" t="s">
        <v>3491</v>
      </c>
      <c r="BI894" s="1" t="s">
        <v>74</v>
      </c>
      <c r="BJ894" s="1" t="s">
        <v>74</v>
      </c>
      <c r="BK894" s="1" t="s">
        <v>74</v>
      </c>
      <c r="BL894" s="1" t="s">
        <v>74</v>
      </c>
      <c r="BM894" s="1" t="s">
        <v>74</v>
      </c>
      <c r="BN894" s="1">
        <v>3.8579649E7</v>
      </c>
      <c r="BO894" s="1" t="s">
        <v>74</v>
      </c>
      <c r="BP894" s="1" t="s">
        <v>74</v>
      </c>
      <c r="BQ894" s="1" t="s">
        <v>74</v>
      </c>
      <c r="BR894" s="1" t="s">
        <v>74</v>
      </c>
      <c r="BS894" s="1" t="s">
        <v>8881</v>
      </c>
      <c r="BT894" s="1" t="str">
        <f>HYPERLINK("https%3A%2F%2Fwww.webofscience.com%2Fwos%2Fwoscc%2Ffull-record%2FWOS:001221344200001","View Full Record in Web of Science")</f>
        <v>View Full Record in Web of Science</v>
      </c>
    </row>
    <row r="895" ht="12.75" customHeight="1">
      <c r="A895" s="1" t="s">
        <v>72</v>
      </c>
      <c r="B895" s="1" t="s">
        <v>8882</v>
      </c>
      <c r="C895" s="1" t="s">
        <v>74</v>
      </c>
      <c r="D895" s="1" t="s">
        <v>74</v>
      </c>
      <c r="E895" s="1" t="s">
        <v>74</v>
      </c>
      <c r="F895" s="1" t="s">
        <v>8883</v>
      </c>
      <c r="G895" s="1" t="s">
        <v>74</v>
      </c>
      <c r="H895" s="1" t="s">
        <v>74</v>
      </c>
      <c r="I895" s="1" t="s">
        <v>8884</v>
      </c>
      <c r="J895" s="1" t="s">
        <v>8885</v>
      </c>
      <c r="K895" s="1" t="s">
        <v>74</v>
      </c>
      <c r="L895" s="1" t="s">
        <v>74</v>
      </c>
      <c r="M895" s="1" t="s">
        <v>74</v>
      </c>
      <c r="N895" s="1" t="s">
        <v>74</v>
      </c>
      <c r="O895" s="1" t="s">
        <v>74</v>
      </c>
      <c r="P895" s="1" t="s">
        <v>74</v>
      </c>
      <c r="Q895" s="1" t="s">
        <v>74</v>
      </c>
      <c r="R895" s="1" t="s">
        <v>74</v>
      </c>
      <c r="S895" s="1" t="s">
        <v>74</v>
      </c>
      <c r="T895" s="1" t="s">
        <v>74</v>
      </c>
      <c r="U895" s="1" t="s">
        <v>74</v>
      </c>
      <c r="V895" s="1" t="s">
        <v>8886</v>
      </c>
      <c r="W895" s="1" t="s">
        <v>74</v>
      </c>
      <c r="X895" s="1" t="s">
        <v>74</v>
      </c>
      <c r="Y895" s="1" t="s">
        <v>74</v>
      </c>
      <c r="Z895" s="1" t="s">
        <v>74</v>
      </c>
      <c r="AA895" s="1" t="s">
        <v>8887</v>
      </c>
      <c r="AB895" s="1" t="s">
        <v>8888</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8889</v>
      </c>
      <c r="AP895" s="1" t="s">
        <v>74</v>
      </c>
      <c r="AQ895" s="1" t="s">
        <v>74</v>
      </c>
      <c r="AR895" s="1" t="s">
        <v>74</v>
      </c>
      <c r="AS895" s="1" t="s">
        <v>74</v>
      </c>
      <c r="AT895" s="1" t="s">
        <v>74</v>
      </c>
      <c r="AU895" s="1">
        <v>2024.0</v>
      </c>
      <c r="AV895" s="1">
        <v>9.0</v>
      </c>
      <c r="AW895" s="1" t="s">
        <v>74</v>
      </c>
      <c r="AX895" s="1" t="s">
        <v>74</v>
      </c>
      <c r="AY895" s="1" t="s">
        <v>74</v>
      </c>
      <c r="AZ895" s="1" t="s">
        <v>74</v>
      </c>
      <c r="BA895" s="1" t="s">
        <v>74</v>
      </c>
      <c r="BB895" s="1" t="s">
        <v>74</v>
      </c>
      <c r="BC895" s="1" t="s">
        <v>74</v>
      </c>
      <c r="BD895" s="1">
        <v>8593.0</v>
      </c>
      <c r="BE895" s="1" t="s">
        <v>8890</v>
      </c>
      <c r="BF895" s="2" t="str">
        <f>HYPERLINK("http://dx.doi.org/10.17645/up.8593","http://dx.doi.org/10.17645/up.8593")</f>
        <v>http://dx.doi.org/10.17645/up.8593</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8891</v>
      </c>
      <c r="BT895" s="1" t="str">
        <f>HYPERLINK("https%3A%2F%2Fwww.webofscience.com%2Fwos%2Fwoscc%2Ffull-record%2FWOS:001366009800011","View Full Record in Web of Science")</f>
        <v>View Full Record in Web of Science</v>
      </c>
    </row>
    <row r="896" ht="12.75" customHeight="1">
      <c r="A896" s="1" t="s">
        <v>72</v>
      </c>
      <c r="B896" s="1" t="s">
        <v>8892</v>
      </c>
      <c r="C896" s="1" t="s">
        <v>74</v>
      </c>
      <c r="D896" s="1" t="s">
        <v>74</v>
      </c>
      <c r="E896" s="1" t="s">
        <v>74</v>
      </c>
      <c r="F896" s="1" t="s">
        <v>8893</v>
      </c>
      <c r="G896" s="1" t="s">
        <v>74</v>
      </c>
      <c r="H896" s="1" t="s">
        <v>74</v>
      </c>
      <c r="I896" s="1" t="s">
        <v>8894</v>
      </c>
      <c r="J896" s="1" t="s">
        <v>8238</v>
      </c>
      <c r="K896" s="1" t="s">
        <v>74</v>
      </c>
      <c r="L896" s="1" t="s">
        <v>74</v>
      </c>
      <c r="M896" s="1" t="s">
        <v>74</v>
      </c>
      <c r="N896" s="1" t="s">
        <v>74</v>
      </c>
      <c r="O896" s="1" t="s">
        <v>74</v>
      </c>
      <c r="P896" s="1" t="s">
        <v>74</v>
      </c>
      <c r="Q896" s="1" t="s">
        <v>74</v>
      </c>
      <c r="R896" s="1" t="s">
        <v>74</v>
      </c>
      <c r="S896" s="1" t="s">
        <v>74</v>
      </c>
      <c r="T896" s="1" t="s">
        <v>74</v>
      </c>
      <c r="U896" s="1" t="s">
        <v>74</v>
      </c>
      <c r="V896" s="1" t="s">
        <v>8895</v>
      </c>
      <c r="W896" s="1" t="s">
        <v>74</v>
      </c>
      <c r="X896" s="1" t="s">
        <v>74</v>
      </c>
      <c r="Y896" s="1" t="s">
        <v>74</v>
      </c>
      <c r="Z896" s="1" t="s">
        <v>74</v>
      </c>
      <c r="AA896" s="1" t="s">
        <v>8896</v>
      </c>
      <c r="AB896" s="1" t="s">
        <v>8897</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8242</v>
      </c>
      <c r="AP896" s="1" t="s">
        <v>8243</v>
      </c>
      <c r="AQ896" s="1" t="s">
        <v>74</v>
      </c>
      <c r="AR896" s="1" t="s">
        <v>74</v>
      </c>
      <c r="AS896" s="1" t="s">
        <v>74</v>
      </c>
      <c r="AT896" s="1" t="s">
        <v>2091</v>
      </c>
      <c r="AU896" s="1">
        <v>2023.0</v>
      </c>
      <c r="AV896" s="1">
        <v>26.0</v>
      </c>
      <c r="AW896" s="1" t="s">
        <v>74</v>
      </c>
      <c r="AX896" s="1" t="s">
        <v>74</v>
      </c>
      <c r="AY896" s="1" t="s">
        <v>74</v>
      </c>
      <c r="AZ896" s="1" t="s">
        <v>74</v>
      </c>
      <c r="BA896" s="1" t="s">
        <v>74</v>
      </c>
      <c r="BB896" s="1">
        <v>4942.0</v>
      </c>
      <c r="BC896" s="1">
        <v>4956.0</v>
      </c>
      <c r="BD896" s="1" t="s">
        <v>74</v>
      </c>
      <c r="BE896" s="1" t="s">
        <v>8898</v>
      </c>
      <c r="BF896" s="2" t="str">
        <f>HYPERLINK("http://dx.doi.org/10.1016/j.jmrt.2023.08.192","http://dx.doi.org/10.1016/j.jmrt.2023.08.192")</f>
        <v>http://dx.doi.org/10.1016/j.jmrt.2023.08.192</v>
      </c>
      <c r="BG896" s="1" t="s">
        <v>74</v>
      </c>
      <c r="BH896" s="1" t="s">
        <v>8899</v>
      </c>
      <c r="BI896" s="1" t="s">
        <v>74</v>
      </c>
      <c r="BJ896" s="1" t="s">
        <v>74</v>
      </c>
      <c r="BK896" s="1" t="s">
        <v>74</v>
      </c>
      <c r="BL896" s="1" t="s">
        <v>74</v>
      </c>
      <c r="BM896" s="1" t="s">
        <v>74</v>
      </c>
      <c r="BN896" s="1" t="s">
        <v>74</v>
      </c>
      <c r="BO896" s="1" t="s">
        <v>74</v>
      </c>
      <c r="BP896" s="1" t="s">
        <v>74</v>
      </c>
      <c r="BQ896" s="1" t="s">
        <v>74</v>
      </c>
      <c r="BR896" s="1" t="s">
        <v>74</v>
      </c>
      <c r="BS896" s="1" t="s">
        <v>8900</v>
      </c>
      <c r="BT896" s="1" t="str">
        <f>HYPERLINK("https%3A%2F%2Fwww.webofscience.com%2Fwos%2Fwoscc%2Ffull-record%2FWOS:001074395600001","View Full Record in Web of Science")</f>
        <v>View Full Record in Web of Science</v>
      </c>
    </row>
    <row r="897" ht="12.75" customHeight="1">
      <c r="A897" s="1" t="s">
        <v>72</v>
      </c>
      <c r="B897" s="1" t="s">
        <v>8901</v>
      </c>
      <c r="C897" s="1" t="s">
        <v>74</v>
      </c>
      <c r="D897" s="1" t="s">
        <v>74</v>
      </c>
      <c r="E897" s="1" t="s">
        <v>74</v>
      </c>
      <c r="F897" s="1" t="s">
        <v>8902</v>
      </c>
      <c r="G897" s="1" t="s">
        <v>74</v>
      </c>
      <c r="H897" s="1" t="s">
        <v>74</v>
      </c>
      <c r="I897" s="1" t="s">
        <v>8903</v>
      </c>
      <c r="J897" s="1" t="s">
        <v>1590</v>
      </c>
      <c r="K897" s="1" t="s">
        <v>74</v>
      </c>
      <c r="L897" s="1" t="s">
        <v>74</v>
      </c>
      <c r="M897" s="1" t="s">
        <v>74</v>
      </c>
      <c r="N897" s="1" t="s">
        <v>74</v>
      </c>
      <c r="O897" s="1" t="s">
        <v>74</v>
      </c>
      <c r="P897" s="1" t="s">
        <v>74</v>
      </c>
      <c r="Q897" s="1" t="s">
        <v>74</v>
      </c>
      <c r="R897" s="1" t="s">
        <v>74</v>
      </c>
      <c r="S897" s="1" t="s">
        <v>74</v>
      </c>
      <c r="T897" s="1" t="s">
        <v>74</v>
      </c>
      <c r="U897" s="1" t="s">
        <v>74</v>
      </c>
      <c r="V897" s="1" t="s">
        <v>8904</v>
      </c>
      <c r="W897" s="1" t="s">
        <v>74</v>
      </c>
      <c r="X897" s="1" t="s">
        <v>74</v>
      </c>
      <c r="Y897" s="1" t="s">
        <v>74</v>
      </c>
      <c r="Z897" s="1" t="s">
        <v>74</v>
      </c>
      <c r="AA897" s="1" t="s">
        <v>8905</v>
      </c>
      <c r="AB897" s="1" t="s">
        <v>8906</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74</v>
      </c>
      <c r="AP897" s="1" t="s">
        <v>1594</v>
      </c>
      <c r="AQ897" s="1" t="s">
        <v>74</v>
      </c>
      <c r="AR897" s="1" t="s">
        <v>74</v>
      </c>
      <c r="AS897" s="1" t="s">
        <v>74</v>
      </c>
      <c r="AT897" s="1" t="s">
        <v>974</v>
      </c>
      <c r="AU897" s="1">
        <v>2023.0</v>
      </c>
      <c r="AV897" s="1">
        <v>13.0</v>
      </c>
      <c r="AW897" s="1">
        <v>13.0</v>
      </c>
      <c r="AX897" s="1" t="s">
        <v>74</v>
      </c>
      <c r="AY897" s="1" t="s">
        <v>74</v>
      </c>
      <c r="AZ897" s="1" t="s">
        <v>74</v>
      </c>
      <c r="BA897" s="1" t="s">
        <v>74</v>
      </c>
      <c r="BB897" s="1" t="s">
        <v>74</v>
      </c>
      <c r="BC897" s="1" t="s">
        <v>74</v>
      </c>
      <c r="BD897" s="1">
        <v>1971.0</v>
      </c>
      <c r="BE897" s="1" t="s">
        <v>8907</v>
      </c>
      <c r="BF897" s="2" t="str">
        <f>HYPERLINK("http://dx.doi.org/10.3390/nano13131971","http://dx.doi.org/10.3390/nano13131971")</f>
        <v>http://dx.doi.org/10.3390/nano13131971</v>
      </c>
      <c r="BG897" s="1" t="s">
        <v>74</v>
      </c>
      <c r="BH897" s="1" t="s">
        <v>74</v>
      </c>
      <c r="BI897" s="1" t="s">
        <v>74</v>
      </c>
      <c r="BJ897" s="1" t="s">
        <v>74</v>
      </c>
      <c r="BK897" s="1" t="s">
        <v>74</v>
      </c>
      <c r="BL897" s="1" t="s">
        <v>74</v>
      </c>
      <c r="BM897" s="1" t="s">
        <v>74</v>
      </c>
      <c r="BN897" s="1">
        <v>3.7446487E7</v>
      </c>
      <c r="BO897" s="1" t="s">
        <v>74</v>
      </c>
      <c r="BP897" s="1" t="s">
        <v>74</v>
      </c>
      <c r="BQ897" s="1" t="s">
        <v>74</v>
      </c>
      <c r="BR897" s="1" t="s">
        <v>74</v>
      </c>
      <c r="BS897" s="1" t="s">
        <v>8908</v>
      </c>
      <c r="BT897" s="1" t="str">
        <f>HYPERLINK("https%3A%2F%2Fwww.webofscience.com%2Fwos%2Fwoscc%2Ffull-record%2FWOS:001028408800001","View Full Record in Web of Science")</f>
        <v>View Full Record in Web of Science</v>
      </c>
    </row>
    <row r="898" ht="12.75" customHeight="1">
      <c r="A898" s="1" t="s">
        <v>72</v>
      </c>
      <c r="B898" s="1" t="s">
        <v>8909</v>
      </c>
      <c r="C898" s="1" t="s">
        <v>74</v>
      </c>
      <c r="D898" s="1" t="s">
        <v>74</v>
      </c>
      <c r="E898" s="1" t="s">
        <v>74</v>
      </c>
      <c r="F898" s="1" t="s">
        <v>8910</v>
      </c>
      <c r="G898" s="1" t="s">
        <v>74</v>
      </c>
      <c r="H898" s="1" t="s">
        <v>74</v>
      </c>
      <c r="I898" s="1" t="s">
        <v>8911</v>
      </c>
      <c r="J898" s="1" t="s">
        <v>8912</v>
      </c>
      <c r="K898" s="1" t="s">
        <v>74</v>
      </c>
      <c r="L898" s="1" t="s">
        <v>74</v>
      </c>
      <c r="M898" s="1" t="s">
        <v>74</v>
      </c>
      <c r="N898" s="1" t="s">
        <v>74</v>
      </c>
      <c r="O898" s="1" t="s">
        <v>74</v>
      </c>
      <c r="P898" s="1" t="s">
        <v>74</v>
      </c>
      <c r="Q898" s="1" t="s">
        <v>74</v>
      </c>
      <c r="R898" s="1" t="s">
        <v>74</v>
      </c>
      <c r="S898" s="1" t="s">
        <v>74</v>
      </c>
      <c r="T898" s="1" t="s">
        <v>74</v>
      </c>
      <c r="U898" s="1" t="s">
        <v>74</v>
      </c>
      <c r="V898" s="1" t="s">
        <v>8913</v>
      </c>
      <c r="W898" s="1" t="s">
        <v>74</v>
      </c>
      <c r="X898" s="1" t="s">
        <v>74</v>
      </c>
      <c r="Y898" s="1" t="s">
        <v>74</v>
      </c>
      <c r="Z898" s="1" t="s">
        <v>74</v>
      </c>
      <c r="AA898" s="1" t="s">
        <v>8914</v>
      </c>
      <c r="AB898" s="1" t="s">
        <v>8915</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74</v>
      </c>
      <c r="AP898" s="1" t="s">
        <v>8916</v>
      </c>
      <c r="AQ898" s="1" t="s">
        <v>74</v>
      </c>
      <c r="AR898" s="1" t="s">
        <v>74</v>
      </c>
      <c r="AS898" s="1" t="s">
        <v>74</v>
      </c>
      <c r="AT898" s="1" t="s">
        <v>600</v>
      </c>
      <c r="AU898" s="1">
        <v>2023.0</v>
      </c>
      <c r="AV898" s="1">
        <v>13.0</v>
      </c>
      <c r="AW898" s="1">
        <v>2.0</v>
      </c>
      <c r="AX898" s="1" t="s">
        <v>74</v>
      </c>
      <c r="AY898" s="1" t="s">
        <v>74</v>
      </c>
      <c r="AZ898" s="1" t="s">
        <v>74</v>
      </c>
      <c r="BA898" s="1" t="s">
        <v>74</v>
      </c>
      <c r="BB898" s="1" t="s">
        <v>74</v>
      </c>
      <c r="BC898" s="1" t="s">
        <v>74</v>
      </c>
      <c r="BD898" s="1">
        <v>357.0</v>
      </c>
      <c r="BE898" s="1" t="s">
        <v>8917</v>
      </c>
      <c r="BF898" s="2" t="str">
        <f>HYPERLINK("http://dx.doi.org/10.3390/cryst13020357","http://dx.doi.org/10.3390/cryst13020357")</f>
        <v>http://dx.doi.org/10.3390/cryst13020357</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8918</v>
      </c>
      <c r="BT898" s="1" t="str">
        <f>HYPERLINK("https%3A%2F%2Fwww.webofscience.com%2Fwos%2Fwoscc%2Ffull-record%2FWOS:000945258600001","View Full Record in Web of Science")</f>
        <v>View Full Record in Web of Science</v>
      </c>
    </row>
    <row r="899" ht="12.75" customHeight="1">
      <c r="A899" s="1" t="s">
        <v>72</v>
      </c>
      <c r="B899" s="1" t="s">
        <v>8919</v>
      </c>
      <c r="C899" s="1" t="s">
        <v>74</v>
      </c>
      <c r="D899" s="1" t="s">
        <v>74</v>
      </c>
      <c r="E899" s="1" t="s">
        <v>74</v>
      </c>
      <c r="F899" s="1" t="s">
        <v>8920</v>
      </c>
      <c r="G899" s="1" t="s">
        <v>74</v>
      </c>
      <c r="H899" s="1" t="s">
        <v>74</v>
      </c>
      <c r="I899" s="1" t="s">
        <v>8921</v>
      </c>
      <c r="J899" s="1" t="s">
        <v>759</v>
      </c>
      <c r="K899" s="1" t="s">
        <v>74</v>
      </c>
      <c r="L899" s="1" t="s">
        <v>74</v>
      </c>
      <c r="M899" s="1" t="s">
        <v>74</v>
      </c>
      <c r="N899" s="1" t="s">
        <v>74</v>
      </c>
      <c r="O899" s="1" t="s">
        <v>74</v>
      </c>
      <c r="P899" s="1" t="s">
        <v>74</v>
      </c>
      <c r="Q899" s="1" t="s">
        <v>74</v>
      </c>
      <c r="R899" s="1" t="s">
        <v>74</v>
      </c>
      <c r="S899" s="1" t="s">
        <v>74</v>
      </c>
      <c r="T899" s="1" t="s">
        <v>74</v>
      </c>
      <c r="U899" s="1" t="s">
        <v>74</v>
      </c>
      <c r="V899" s="1" t="s">
        <v>8922</v>
      </c>
      <c r="W899" s="1" t="s">
        <v>74</v>
      </c>
      <c r="X899" s="1" t="s">
        <v>74</v>
      </c>
      <c r="Y899" s="1" t="s">
        <v>74</v>
      </c>
      <c r="Z899" s="1" t="s">
        <v>74</v>
      </c>
      <c r="AA899" s="1" t="s">
        <v>8923</v>
      </c>
      <c r="AB899" s="1" t="s">
        <v>74</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762</v>
      </c>
      <c r="AP899" s="1" t="s">
        <v>763</v>
      </c>
      <c r="AQ899" s="1" t="s">
        <v>74</v>
      </c>
      <c r="AR899" s="1" t="s">
        <v>74</v>
      </c>
      <c r="AS899" s="1" t="s">
        <v>74</v>
      </c>
      <c r="AT899" s="1" t="s">
        <v>74</v>
      </c>
      <c r="AU899" s="1">
        <v>2023.0</v>
      </c>
      <c r="AV899" s="1" t="s">
        <v>74</v>
      </c>
      <c r="AW899" s="1">
        <v>47.0</v>
      </c>
      <c r="AX899" s="1" t="s">
        <v>74</v>
      </c>
      <c r="AY899" s="1" t="s">
        <v>74</v>
      </c>
      <c r="AZ899" s="1" t="s">
        <v>74</v>
      </c>
      <c r="BA899" s="1" t="s">
        <v>74</v>
      </c>
      <c r="BB899" s="1">
        <v>933.0</v>
      </c>
      <c r="BC899" s="1">
        <v>940.0</v>
      </c>
      <c r="BD899" s="1" t="s">
        <v>74</v>
      </c>
      <c r="BE899" s="1" t="s">
        <v>74</v>
      </c>
      <c r="BF899" s="1" t="s">
        <v>74</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8924</v>
      </c>
      <c r="BT899" s="1" t="str">
        <f>HYPERLINK("https%3A%2F%2Fwww.webofscience.com%2Fwos%2Fwoscc%2Ffull-record%2FWOS:000919391500001","View Full Record in Web of Science")</f>
        <v>View Full Record in Web of Science</v>
      </c>
    </row>
    <row r="900" ht="12.75" customHeight="1">
      <c r="A900" s="1" t="s">
        <v>72</v>
      </c>
      <c r="B900" s="1" t="s">
        <v>8925</v>
      </c>
      <c r="C900" s="1" t="s">
        <v>74</v>
      </c>
      <c r="D900" s="1" t="s">
        <v>74</v>
      </c>
      <c r="E900" s="1" t="s">
        <v>74</v>
      </c>
      <c r="F900" s="1" t="s">
        <v>8926</v>
      </c>
      <c r="G900" s="1" t="s">
        <v>74</v>
      </c>
      <c r="H900" s="1" t="s">
        <v>74</v>
      </c>
      <c r="I900" s="1" t="s">
        <v>8927</v>
      </c>
      <c r="J900" s="1" t="s">
        <v>1622</v>
      </c>
      <c r="K900" s="1" t="s">
        <v>74</v>
      </c>
      <c r="L900" s="1" t="s">
        <v>74</v>
      </c>
      <c r="M900" s="1" t="s">
        <v>74</v>
      </c>
      <c r="N900" s="1" t="s">
        <v>74</v>
      </c>
      <c r="O900" s="1" t="s">
        <v>74</v>
      </c>
      <c r="P900" s="1" t="s">
        <v>74</v>
      </c>
      <c r="Q900" s="1" t="s">
        <v>74</v>
      </c>
      <c r="R900" s="1" t="s">
        <v>74</v>
      </c>
      <c r="S900" s="1" t="s">
        <v>74</v>
      </c>
      <c r="T900" s="1" t="s">
        <v>74</v>
      </c>
      <c r="U900" s="1" t="s">
        <v>74</v>
      </c>
      <c r="V900" s="1" t="s">
        <v>8928</v>
      </c>
      <c r="W900" s="1" t="s">
        <v>74</v>
      </c>
      <c r="X900" s="1" t="s">
        <v>74</v>
      </c>
      <c r="Y900" s="1" t="s">
        <v>74</v>
      </c>
      <c r="Z900" s="1" t="s">
        <v>74</v>
      </c>
      <c r="AA900" s="1" t="s">
        <v>8929</v>
      </c>
      <c r="AB900" s="1" t="s">
        <v>8930</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1626</v>
      </c>
      <c r="AP900" s="1" t="s">
        <v>1627</v>
      </c>
      <c r="AQ900" s="1" t="s">
        <v>74</v>
      </c>
      <c r="AR900" s="1" t="s">
        <v>74</v>
      </c>
      <c r="AS900" s="1" t="s">
        <v>74</v>
      </c>
      <c r="AT900" s="1" t="s">
        <v>974</v>
      </c>
      <c r="AU900" s="1">
        <v>2022.0</v>
      </c>
      <c r="AV900" s="1">
        <v>23.0</v>
      </c>
      <c r="AW900" s="1">
        <v>14.0</v>
      </c>
      <c r="AX900" s="1" t="s">
        <v>74</v>
      </c>
      <c r="AY900" s="1" t="s">
        <v>74</v>
      </c>
      <c r="AZ900" s="1" t="s">
        <v>74</v>
      </c>
      <c r="BA900" s="1" t="s">
        <v>74</v>
      </c>
      <c r="BB900" s="1" t="s">
        <v>74</v>
      </c>
      <c r="BC900" s="1" t="s">
        <v>74</v>
      </c>
      <c r="BD900" s="1">
        <v>7570.0</v>
      </c>
      <c r="BE900" s="1" t="s">
        <v>8931</v>
      </c>
      <c r="BF900" s="2" t="str">
        <f>HYPERLINK("http://dx.doi.org/10.3390/ijms23147570","http://dx.doi.org/10.3390/ijms23147570")</f>
        <v>http://dx.doi.org/10.3390/ijms23147570</v>
      </c>
      <c r="BG900" s="1" t="s">
        <v>74</v>
      </c>
      <c r="BH900" s="1" t="s">
        <v>74</v>
      </c>
      <c r="BI900" s="1" t="s">
        <v>74</v>
      </c>
      <c r="BJ900" s="1" t="s">
        <v>74</v>
      </c>
      <c r="BK900" s="1" t="s">
        <v>74</v>
      </c>
      <c r="BL900" s="1" t="s">
        <v>74</v>
      </c>
      <c r="BM900" s="1" t="s">
        <v>74</v>
      </c>
      <c r="BN900" s="1">
        <v>3.5886916E7</v>
      </c>
      <c r="BO900" s="1" t="s">
        <v>74</v>
      </c>
      <c r="BP900" s="1" t="s">
        <v>74</v>
      </c>
      <c r="BQ900" s="1" t="s">
        <v>74</v>
      </c>
      <c r="BR900" s="1" t="s">
        <v>74</v>
      </c>
      <c r="BS900" s="1" t="s">
        <v>8932</v>
      </c>
      <c r="BT900" s="1" t="str">
        <f>HYPERLINK("https%3A%2F%2Fwww.webofscience.com%2Fwos%2Fwoscc%2Ffull-record%2FWOS:000831619500001","View Full Record in Web of Science")</f>
        <v>View Full Record in Web of Science</v>
      </c>
    </row>
    <row r="901" ht="12.75" customHeight="1">
      <c r="A901" s="1" t="s">
        <v>154</v>
      </c>
      <c r="B901" s="1" t="s">
        <v>8933</v>
      </c>
      <c r="C901" s="1" t="s">
        <v>74</v>
      </c>
      <c r="D901" s="1" t="s">
        <v>74</v>
      </c>
      <c r="E901" s="1" t="s">
        <v>323</v>
      </c>
      <c r="F901" s="1" t="s">
        <v>8934</v>
      </c>
      <c r="G901" s="1" t="s">
        <v>74</v>
      </c>
      <c r="H901" s="1" t="s">
        <v>74</v>
      </c>
      <c r="I901" s="1" t="s">
        <v>8935</v>
      </c>
      <c r="J901" s="1" t="s">
        <v>8936</v>
      </c>
      <c r="K901" s="1" t="s">
        <v>8937</v>
      </c>
      <c r="L901" s="1" t="s">
        <v>74</v>
      </c>
      <c r="M901" s="1" t="s">
        <v>74</v>
      </c>
      <c r="N901" s="1" t="s">
        <v>74</v>
      </c>
      <c r="O901" s="1" t="s">
        <v>8938</v>
      </c>
      <c r="P901" s="1" t="s">
        <v>8939</v>
      </c>
      <c r="Q901" s="1" t="s">
        <v>8940</v>
      </c>
      <c r="R901" s="1" t="s">
        <v>8941</v>
      </c>
      <c r="S901" s="1" t="s">
        <v>8942</v>
      </c>
      <c r="T901" s="1" t="s">
        <v>74</v>
      </c>
      <c r="U901" s="1" t="s">
        <v>74</v>
      </c>
      <c r="V901" s="1" t="s">
        <v>8943</v>
      </c>
      <c r="W901" s="1" t="s">
        <v>74</v>
      </c>
      <c r="X901" s="1" t="s">
        <v>74</v>
      </c>
      <c r="Y901" s="1" t="s">
        <v>74</v>
      </c>
      <c r="Z901" s="1" t="s">
        <v>74</v>
      </c>
      <c r="AA901" s="1" t="s">
        <v>8944</v>
      </c>
      <c r="AB901" s="1" t="s">
        <v>8945</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8946</v>
      </c>
      <c r="AP901" s="1" t="s">
        <v>74</v>
      </c>
      <c r="AQ901" s="1" t="s">
        <v>8947</v>
      </c>
      <c r="AR901" s="1" t="s">
        <v>74</v>
      </c>
      <c r="AS901" s="1" t="s">
        <v>74</v>
      </c>
      <c r="AT901" s="1" t="s">
        <v>74</v>
      </c>
      <c r="AU901" s="1">
        <v>2022.0</v>
      </c>
      <c r="AV901" s="1" t="s">
        <v>74</v>
      </c>
      <c r="AW901" s="1" t="s">
        <v>74</v>
      </c>
      <c r="AX901" s="1" t="s">
        <v>74</v>
      </c>
      <c r="AY901" s="1" t="s">
        <v>74</v>
      </c>
      <c r="AZ901" s="1" t="s">
        <v>74</v>
      </c>
      <c r="BA901" s="1" t="s">
        <v>74</v>
      </c>
      <c r="BB901" s="1">
        <v>233.0</v>
      </c>
      <c r="BC901" s="1">
        <v>238.0</v>
      </c>
      <c r="BD901" s="1" t="s">
        <v>74</v>
      </c>
      <c r="BE901" s="1" t="s">
        <v>8948</v>
      </c>
      <c r="BF901" s="2" t="str">
        <f>HYPERLINK("http://dx.doi.org/10.1109/ICSC57768.2022.9993906","http://dx.doi.org/10.1109/ICSC57768.2022.9993906")</f>
        <v>http://dx.doi.org/10.1109/ICSC57768.2022.9993906</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8949</v>
      </c>
      <c r="BT901" s="1" t="str">
        <f>HYPERLINK("https%3A%2F%2Fwww.webofscience.com%2Fwos%2Fwoscc%2Ffull-record%2FWOS:000927654200040","View Full Record in Web of Science")</f>
        <v>View Full Record in Web of Science</v>
      </c>
    </row>
    <row r="902" ht="12.75" customHeight="1">
      <c r="A902" s="1" t="s">
        <v>72</v>
      </c>
      <c r="B902" s="1" t="s">
        <v>8950</v>
      </c>
      <c r="C902" s="1" t="s">
        <v>74</v>
      </c>
      <c r="D902" s="1" t="s">
        <v>74</v>
      </c>
      <c r="E902" s="1" t="s">
        <v>74</v>
      </c>
      <c r="F902" s="1" t="s">
        <v>8951</v>
      </c>
      <c r="G902" s="1" t="s">
        <v>74</v>
      </c>
      <c r="H902" s="1" t="s">
        <v>74</v>
      </c>
      <c r="I902" s="1" t="s">
        <v>8952</v>
      </c>
      <c r="J902" s="1" t="s">
        <v>3059</v>
      </c>
      <c r="K902" s="1" t="s">
        <v>74</v>
      </c>
      <c r="L902" s="1" t="s">
        <v>74</v>
      </c>
      <c r="M902" s="1" t="s">
        <v>74</v>
      </c>
      <c r="N902" s="1" t="s">
        <v>74</v>
      </c>
      <c r="O902" s="1" t="s">
        <v>74</v>
      </c>
      <c r="P902" s="1" t="s">
        <v>74</v>
      </c>
      <c r="Q902" s="1" t="s">
        <v>74</v>
      </c>
      <c r="R902" s="1" t="s">
        <v>74</v>
      </c>
      <c r="S902" s="1" t="s">
        <v>74</v>
      </c>
      <c r="T902" s="1" t="s">
        <v>74</v>
      </c>
      <c r="U902" s="1" t="s">
        <v>74</v>
      </c>
      <c r="V902" s="1" t="s">
        <v>8953</v>
      </c>
      <c r="W902" s="1" t="s">
        <v>74</v>
      </c>
      <c r="X902" s="1" t="s">
        <v>74</v>
      </c>
      <c r="Y902" s="1" t="s">
        <v>74</v>
      </c>
      <c r="Z902" s="1" t="s">
        <v>74</v>
      </c>
      <c r="AA902" s="1" t="s">
        <v>8954</v>
      </c>
      <c r="AB902" s="1" t="s">
        <v>8955</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3063</v>
      </c>
      <c r="AP902" s="1" t="s">
        <v>3064</v>
      </c>
      <c r="AQ902" s="1" t="s">
        <v>74</v>
      </c>
      <c r="AR902" s="1" t="s">
        <v>74</v>
      </c>
      <c r="AS902" s="1" t="s">
        <v>74</v>
      </c>
      <c r="AT902" s="1" t="s">
        <v>7892</v>
      </c>
      <c r="AU902" s="1">
        <v>2021.0</v>
      </c>
      <c r="AV902" s="1">
        <v>129.0</v>
      </c>
      <c r="AW902" s="1">
        <v>18.0</v>
      </c>
      <c r="AX902" s="1" t="s">
        <v>74</v>
      </c>
      <c r="AY902" s="1" t="s">
        <v>74</v>
      </c>
      <c r="AZ902" s="1" t="s">
        <v>74</v>
      </c>
      <c r="BA902" s="1" t="s">
        <v>74</v>
      </c>
      <c r="BB902" s="1" t="s">
        <v>74</v>
      </c>
      <c r="BC902" s="1" t="s">
        <v>74</v>
      </c>
      <c r="BD902" s="1">
        <v>184503.0</v>
      </c>
      <c r="BE902" s="1" t="s">
        <v>8956</v>
      </c>
      <c r="BF902" s="2" t="str">
        <f>HYPERLINK("http://dx.doi.org/10.1063/5.0040733","http://dx.doi.org/10.1063/5.0040733")</f>
        <v>http://dx.doi.org/10.1063/5.0040733</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8957</v>
      </c>
      <c r="BT902" s="1" t="str">
        <f>HYPERLINK("https%3A%2F%2Fwww.webofscience.com%2Fwos%2Fwoscc%2Ffull-record%2FWOS:000649074000009","View Full Record in Web of Science")</f>
        <v>View Full Record in Web of Science</v>
      </c>
    </row>
    <row r="903" ht="12.75" customHeight="1">
      <c r="A903" s="1" t="s">
        <v>72</v>
      </c>
      <c r="B903" s="1" t="s">
        <v>8958</v>
      </c>
      <c r="C903" s="1" t="s">
        <v>74</v>
      </c>
      <c r="D903" s="1" t="s">
        <v>74</v>
      </c>
      <c r="E903" s="1" t="s">
        <v>74</v>
      </c>
      <c r="F903" s="1" t="s">
        <v>8959</v>
      </c>
      <c r="G903" s="1" t="s">
        <v>74</v>
      </c>
      <c r="H903" s="1" t="s">
        <v>74</v>
      </c>
      <c r="I903" s="1" t="s">
        <v>8960</v>
      </c>
      <c r="J903" s="1" t="s">
        <v>787</v>
      </c>
      <c r="K903" s="1" t="s">
        <v>74</v>
      </c>
      <c r="L903" s="1" t="s">
        <v>74</v>
      </c>
      <c r="M903" s="1" t="s">
        <v>74</v>
      </c>
      <c r="N903" s="1" t="s">
        <v>74</v>
      </c>
      <c r="O903" s="1" t="s">
        <v>74</v>
      </c>
      <c r="P903" s="1" t="s">
        <v>74</v>
      </c>
      <c r="Q903" s="1" t="s">
        <v>74</v>
      </c>
      <c r="R903" s="1" t="s">
        <v>74</v>
      </c>
      <c r="S903" s="1" t="s">
        <v>74</v>
      </c>
      <c r="T903" s="1" t="s">
        <v>74</v>
      </c>
      <c r="U903" s="1" t="s">
        <v>74</v>
      </c>
      <c r="V903" s="1" t="s">
        <v>8961</v>
      </c>
      <c r="W903" s="1" t="s">
        <v>74</v>
      </c>
      <c r="X903" s="1" t="s">
        <v>74</v>
      </c>
      <c r="Y903" s="1" t="s">
        <v>74</v>
      </c>
      <c r="Z903" s="1" t="s">
        <v>74</v>
      </c>
      <c r="AA903" s="1" t="s">
        <v>8962</v>
      </c>
      <c r="AB903" s="1" t="s">
        <v>8963</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791</v>
      </c>
      <c r="AP903" s="1" t="s">
        <v>792</v>
      </c>
      <c r="AQ903" s="1" t="s">
        <v>74</v>
      </c>
      <c r="AR903" s="1" t="s">
        <v>74</v>
      </c>
      <c r="AS903" s="1" t="s">
        <v>74</v>
      </c>
      <c r="AT903" s="1" t="s">
        <v>6684</v>
      </c>
      <c r="AU903" s="1">
        <v>2020.0</v>
      </c>
      <c r="AV903" s="1">
        <v>310.0</v>
      </c>
      <c r="AW903" s="1" t="s">
        <v>74</v>
      </c>
      <c r="AX903" s="1" t="s">
        <v>74</v>
      </c>
      <c r="AY903" s="1" t="s">
        <v>74</v>
      </c>
      <c r="AZ903" s="1" t="s">
        <v>74</v>
      </c>
      <c r="BA903" s="1" t="s">
        <v>74</v>
      </c>
      <c r="BB903" s="1" t="s">
        <v>74</v>
      </c>
      <c r="BC903" s="1" t="s">
        <v>74</v>
      </c>
      <c r="BD903" s="1">
        <v>125976.0</v>
      </c>
      <c r="BE903" s="1" t="s">
        <v>8964</v>
      </c>
      <c r="BF903" s="2" t="str">
        <f>HYPERLINK("http://dx.doi.org/10.1016/j.foodchem.2019.125976","http://dx.doi.org/10.1016/j.foodchem.2019.125976")</f>
        <v>http://dx.doi.org/10.1016/j.foodchem.2019.125976</v>
      </c>
      <c r="BG903" s="1" t="s">
        <v>74</v>
      </c>
      <c r="BH903" s="1" t="s">
        <v>74</v>
      </c>
      <c r="BI903" s="1" t="s">
        <v>74</v>
      </c>
      <c r="BJ903" s="1" t="s">
        <v>74</v>
      </c>
      <c r="BK903" s="1" t="s">
        <v>74</v>
      </c>
      <c r="BL903" s="1" t="s">
        <v>74</v>
      </c>
      <c r="BM903" s="1" t="s">
        <v>74</v>
      </c>
      <c r="BN903" s="1">
        <v>3.183523E7</v>
      </c>
      <c r="BO903" s="1" t="s">
        <v>74</v>
      </c>
      <c r="BP903" s="1" t="s">
        <v>74</v>
      </c>
      <c r="BQ903" s="1" t="s">
        <v>74</v>
      </c>
      <c r="BR903" s="1" t="s">
        <v>74</v>
      </c>
      <c r="BS903" s="1" t="s">
        <v>8965</v>
      </c>
      <c r="BT903" s="1" t="str">
        <f>HYPERLINK("https%3A%2F%2Fwww.webofscience.com%2Fwos%2Fwoscc%2Ffull-record%2FWOS:000505957800097","View Full Record in Web of Science")</f>
        <v>View Full Record in Web of Science</v>
      </c>
    </row>
    <row r="904" ht="12.75" customHeight="1">
      <c r="A904" s="1" t="s">
        <v>72</v>
      </c>
      <c r="B904" s="1" t="s">
        <v>8966</v>
      </c>
      <c r="C904" s="1" t="s">
        <v>74</v>
      </c>
      <c r="D904" s="1" t="s">
        <v>74</v>
      </c>
      <c r="E904" s="1" t="s">
        <v>74</v>
      </c>
      <c r="F904" s="1" t="s">
        <v>8967</v>
      </c>
      <c r="G904" s="1" t="s">
        <v>74</v>
      </c>
      <c r="H904" s="1" t="s">
        <v>74</v>
      </c>
      <c r="I904" s="1" t="s">
        <v>8968</v>
      </c>
      <c r="J904" s="1" t="s">
        <v>1108</v>
      </c>
      <c r="K904" s="1" t="s">
        <v>74</v>
      </c>
      <c r="L904" s="1" t="s">
        <v>74</v>
      </c>
      <c r="M904" s="1" t="s">
        <v>74</v>
      </c>
      <c r="N904" s="1" t="s">
        <v>74</v>
      </c>
      <c r="O904" s="1" t="s">
        <v>74</v>
      </c>
      <c r="P904" s="1" t="s">
        <v>74</v>
      </c>
      <c r="Q904" s="1" t="s">
        <v>74</v>
      </c>
      <c r="R904" s="1" t="s">
        <v>74</v>
      </c>
      <c r="S904" s="1" t="s">
        <v>74</v>
      </c>
      <c r="T904" s="1" t="s">
        <v>74</v>
      </c>
      <c r="U904" s="1" t="s">
        <v>74</v>
      </c>
      <c r="V904" s="1" t="s">
        <v>8969</v>
      </c>
      <c r="W904" s="1" t="s">
        <v>74</v>
      </c>
      <c r="X904" s="1" t="s">
        <v>74</v>
      </c>
      <c r="Y904" s="1" t="s">
        <v>74</v>
      </c>
      <c r="Z904" s="1" t="s">
        <v>74</v>
      </c>
      <c r="AA904" s="1" t="s">
        <v>8970</v>
      </c>
      <c r="AB904" s="1" t="s">
        <v>8971</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1112</v>
      </c>
      <c r="AP904" s="1" t="s">
        <v>74</v>
      </c>
      <c r="AQ904" s="1" t="s">
        <v>74</v>
      </c>
      <c r="AR904" s="1" t="s">
        <v>74</v>
      </c>
      <c r="AS904" s="1" t="s">
        <v>74</v>
      </c>
      <c r="AT904" s="1" t="s">
        <v>83</v>
      </c>
      <c r="AU904" s="1">
        <v>2016.0</v>
      </c>
      <c r="AV904" s="1">
        <v>6.0</v>
      </c>
      <c r="AW904" s="1">
        <v>12.0</v>
      </c>
      <c r="AX904" s="1" t="s">
        <v>74</v>
      </c>
      <c r="AY904" s="1" t="s">
        <v>74</v>
      </c>
      <c r="AZ904" s="1" t="s">
        <v>74</v>
      </c>
      <c r="BA904" s="1" t="s">
        <v>74</v>
      </c>
      <c r="BB904" s="1" t="s">
        <v>74</v>
      </c>
      <c r="BC904" s="1" t="s">
        <v>74</v>
      </c>
      <c r="BD904" s="1">
        <v>321.0</v>
      </c>
      <c r="BE904" s="1" t="s">
        <v>8972</v>
      </c>
      <c r="BF904" s="2" t="str">
        <f>HYPERLINK("http://dx.doi.org/10.3390/met6120321","http://dx.doi.org/10.3390/met6120321")</f>
        <v>http://dx.doi.org/10.3390/met6120321</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8973</v>
      </c>
      <c r="BT904" s="1" t="str">
        <f>HYPERLINK("https%3A%2F%2Fwww.webofscience.com%2Fwos%2Fwoscc%2Ffull-record%2FWOS:000393041700005","View Full Record in Web of Science")</f>
        <v>View Full Record in Web of Science</v>
      </c>
    </row>
    <row r="905" ht="12.75" customHeight="1">
      <c r="A905" s="1" t="s">
        <v>72</v>
      </c>
      <c r="B905" s="1" t="s">
        <v>8974</v>
      </c>
      <c r="C905" s="1" t="s">
        <v>74</v>
      </c>
      <c r="D905" s="1" t="s">
        <v>74</v>
      </c>
      <c r="E905" s="1" t="s">
        <v>74</v>
      </c>
      <c r="F905" s="1" t="s">
        <v>8975</v>
      </c>
      <c r="G905" s="1" t="s">
        <v>74</v>
      </c>
      <c r="H905" s="1" t="s">
        <v>74</v>
      </c>
      <c r="I905" s="1" t="s">
        <v>8976</v>
      </c>
      <c r="J905" s="1" t="s">
        <v>8977</v>
      </c>
      <c r="K905" s="1" t="s">
        <v>74</v>
      </c>
      <c r="L905" s="1" t="s">
        <v>74</v>
      </c>
      <c r="M905" s="1" t="s">
        <v>74</v>
      </c>
      <c r="N905" s="1" t="s">
        <v>74</v>
      </c>
      <c r="O905" s="1" t="s">
        <v>74</v>
      </c>
      <c r="P905" s="1" t="s">
        <v>74</v>
      </c>
      <c r="Q905" s="1" t="s">
        <v>74</v>
      </c>
      <c r="R905" s="1" t="s">
        <v>74</v>
      </c>
      <c r="S905" s="1" t="s">
        <v>74</v>
      </c>
      <c r="T905" s="1" t="s">
        <v>74</v>
      </c>
      <c r="U905" s="1" t="s">
        <v>74</v>
      </c>
      <c r="V905" s="1" t="s">
        <v>8978</v>
      </c>
      <c r="W905" s="1" t="s">
        <v>74</v>
      </c>
      <c r="X905" s="1" t="s">
        <v>74</v>
      </c>
      <c r="Y905" s="1" t="s">
        <v>74</v>
      </c>
      <c r="Z905" s="1" t="s">
        <v>74</v>
      </c>
      <c r="AA905" s="1" t="s">
        <v>8979</v>
      </c>
      <c r="AB905" s="1" t="s">
        <v>8980</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8981</v>
      </c>
      <c r="AP905" s="1" t="s">
        <v>8982</v>
      </c>
      <c r="AQ905" s="1" t="s">
        <v>74</v>
      </c>
      <c r="AR905" s="1" t="s">
        <v>74</v>
      </c>
      <c r="AS905" s="1" t="s">
        <v>74</v>
      </c>
      <c r="AT905" s="1" t="s">
        <v>1082</v>
      </c>
      <c r="AU905" s="1">
        <v>2016.0</v>
      </c>
      <c r="AV905" s="1">
        <v>67.0</v>
      </c>
      <c r="AW905" s="1">
        <v>11.0</v>
      </c>
      <c r="AX905" s="1" t="s">
        <v>74</v>
      </c>
      <c r="AY905" s="1" t="s">
        <v>74</v>
      </c>
      <c r="AZ905" s="1" t="s">
        <v>74</v>
      </c>
      <c r="BA905" s="1" t="s">
        <v>74</v>
      </c>
      <c r="BB905" s="1">
        <v>2725.0</v>
      </c>
      <c r="BC905" s="1">
        <v>2737.0</v>
      </c>
      <c r="BD905" s="1" t="s">
        <v>74</v>
      </c>
      <c r="BE905" s="1" t="s">
        <v>8983</v>
      </c>
      <c r="BF905" s="2" t="str">
        <f>HYPERLINK("http://dx.doi.org/10.1002/asi.23624","http://dx.doi.org/10.1002/asi.23624")</f>
        <v>http://dx.doi.org/10.1002/asi.23624</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8984</v>
      </c>
      <c r="BT905" s="1" t="str">
        <f>HYPERLINK("https%3A%2F%2Fwww.webofscience.com%2Fwos%2Fwoscc%2Ffull-record%2FWOS:000385777500011","View Full Record in Web of Science")</f>
        <v>View Full Record in Web of Science</v>
      </c>
    </row>
    <row r="906" ht="12.75" customHeight="1">
      <c r="A906" s="1" t="s">
        <v>72</v>
      </c>
      <c r="B906" s="1" t="s">
        <v>8985</v>
      </c>
      <c r="C906" s="1" t="s">
        <v>74</v>
      </c>
      <c r="D906" s="1" t="s">
        <v>74</v>
      </c>
      <c r="E906" s="1" t="s">
        <v>74</v>
      </c>
      <c r="F906" s="1" t="s">
        <v>8986</v>
      </c>
      <c r="G906" s="1" t="s">
        <v>74</v>
      </c>
      <c r="H906" s="1" t="s">
        <v>74</v>
      </c>
      <c r="I906" s="1" t="s">
        <v>8987</v>
      </c>
      <c r="J906" s="1" t="s">
        <v>3593</v>
      </c>
      <c r="K906" s="1" t="s">
        <v>74</v>
      </c>
      <c r="L906" s="1" t="s">
        <v>74</v>
      </c>
      <c r="M906" s="1" t="s">
        <v>74</v>
      </c>
      <c r="N906" s="1" t="s">
        <v>74</v>
      </c>
      <c r="O906" s="1" t="s">
        <v>74</v>
      </c>
      <c r="P906" s="1" t="s">
        <v>74</v>
      </c>
      <c r="Q906" s="1" t="s">
        <v>74</v>
      </c>
      <c r="R906" s="1" t="s">
        <v>74</v>
      </c>
      <c r="S906" s="1" t="s">
        <v>74</v>
      </c>
      <c r="T906" s="1" t="s">
        <v>74</v>
      </c>
      <c r="U906" s="1" t="s">
        <v>74</v>
      </c>
      <c r="V906" s="1" t="s">
        <v>8988</v>
      </c>
      <c r="W906" s="1" t="s">
        <v>74</v>
      </c>
      <c r="X906" s="1" t="s">
        <v>74</v>
      </c>
      <c r="Y906" s="1" t="s">
        <v>74</v>
      </c>
      <c r="Z906" s="1" t="s">
        <v>74</v>
      </c>
      <c r="AA906" s="1" t="s">
        <v>8989</v>
      </c>
      <c r="AB906" s="1" t="s">
        <v>8990</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3597</v>
      </c>
      <c r="AP906" s="1" t="s">
        <v>3598</v>
      </c>
      <c r="AQ906" s="1" t="s">
        <v>74</v>
      </c>
      <c r="AR906" s="1" t="s">
        <v>74</v>
      </c>
      <c r="AS906" s="1" t="s">
        <v>74</v>
      </c>
      <c r="AT906" s="1" t="s">
        <v>5449</v>
      </c>
      <c r="AU906" s="1">
        <v>2016.0</v>
      </c>
      <c r="AV906" s="1">
        <v>116.0</v>
      </c>
      <c r="AW906" s="1">
        <v>16.0</v>
      </c>
      <c r="AX906" s="1" t="s">
        <v>74</v>
      </c>
      <c r="AY906" s="1" t="s">
        <v>74</v>
      </c>
      <c r="AZ906" s="1" t="s">
        <v>74</v>
      </c>
      <c r="BA906" s="1" t="s">
        <v>74</v>
      </c>
      <c r="BB906" s="1" t="s">
        <v>74</v>
      </c>
      <c r="BC906" s="1" t="s">
        <v>74</v>
      </c>
      <c r="BD906" s="1">
        <v>165501.0</v>
      </c>
      <c r="BE906" s="1" t="s">
        <v>8991</v>
      </c>
      <c r="BF906" s="2" t="str">
        <f>HYPERLINK("http://dx.doi.org/10.1103/PhysRevLett.116.165501","http://dx.doi.org/10.1103/PhysRevLett.116.165501")</f>
        <v>http://dx.doi.org/10.1103/PhysRevLett.116.165501</v>
      </c>
      <c r="BG906" s="1" t="s">
        <v>74</v>
      </c>
      <c r="BH906" s="1" t="s">
        <v>74</v>
      </c>
      <c r="BI906" s="1" t="s">
        <v>74</v>
      </c>
      <c r="BJ906" s="1" t="s">
        <v>74</v>
      </c>
      <c r="BK906" s="1" t="s">
        <v>74</v>
      </c>
      <c r="BL906" s="1" t="s">
        <v>74</v>
      </c>
      <c r="BM906" s="1" t="s">
        <v>74</v>
      </c>
      <c r="BN906" s="1">
        <v>2.7152809E7</v>
      </c>
      <c r="BO906" s="1" t="s">
        <v>74</v>
      </c>
      <c r="BP906" s="1" t="s">
        <v>74</v>
      </c>
      <c r="BQ906" s="1" t="s">
        <v>74</v>
      </c>
      <c r="BR906" s="1" t="s">
        <v>74</v>
      </c>
      <c r="BS906" s="1" t="s">
        <v>8992</v>
      </c>
      <c r="BT906" s="1" t="str">
        <f>HYPERLINK("https%3A%2F%2Fwww.webofscience.com%2Fwos%2Fwoscc%2Ffull-record%2FWOS:000374559300011","View Full Record in Web of Science")</f>
        <v>View Full Record in Web of Science</v>
      </c>
    </row>
    <row r="907" ht="12.75" customHeight="1">
      <c r="A907" s="1" t="s">
        <v>72</v>
      </c>
      <c r="B907" s="1" t="s">
        <v>8993</v>
      </c>
      <c r="C907" s="1" t="s">
        <v>74</v>
      </c>
      <c r="D907" s="1" t="s">
        <v>74</v>
      </c>
      <c r="E907" s="1" t="s">
        <v>74</v>
      </c>
      <c r="F907" s="1" t="s">
        <v>8994</v>
      </c>
      <c r="G907" s="1" t="s">
        <v>74</v>
      </c>
      <c r="H907" s="1" t="s">
        <v>74</v>
      </c>
      <c r="I907" s="1" t="s">
        <v>8995</v>
      </c>
      <c r="J907" s="1" t="s">
        <v>8996</v>
      </c>
      <c r="K907" s="1" t="s">
        <v>74</v>
      </c>
      <c r="L907" s="1" t="s">
        <v>74</v>
      </c>
      <c r="M907" s="1" t="s">
        <v>74</v>
      </c>
      <c r="N907" s="1" t="s">
        <v>74</v>
      </c>
      <c r="O907" s="1" t="s">
        <v>74</v>
      </c>
      <c r="P907" s="1" t="s">
        <v>74</v>
      </c>
      <c r="Q907" s="1" t="s">
        <v>74</v>
      </c>
      <c r="R907" s="1" t="s">
        <v>74</v>
      </c>
      <c r="S907" s="1" t="s">
        <v>74</v>
      </c>
      <c r="T907" s="1" t="s">
        <v>74</v>
      </c>
      <c r="U907" s="1" t="s">
        <v>74</v>
      </c>
      <c r="V907" s="1" t="s">
        <v>8997</v>
      </c>
      <c r="W907" s="1" t="s">
        <v>74</v>
      </c>
      <c r="X907" s="1" t="s">
        <v>74</v>
      </c>
      <c r="Y907" s="1" t="s">
        <v>74</v>
      </c>
      <c r="Z907" s="1" t="s">
        <v>74</v>
      </c>
      <c r="AA907" s="1" t="s">
        <v>3331</v>
      </c>
      <c r="AB907" s="1" t="s">
        <v>3332</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8998</v>
      </c>
      <c r="AP907" s="1" t="s">
        <v>8999</v>
      </c>
      <c r="AQ907" s="1" t="s">
        <v>74</v>
      </c>
      <c r="AR907" s="1" t="s">
        <v>74</v>
      </c>
      <c r="AS907" s="1" t="s">
        <v>74</v>
      </c>
      <c r="AT907" s="1" t="s">
        <v>176</v>
      </c>
      <c r="AU907" s="1">
        <v>2016.0</v>
      </c>
      <c r="AV907" s="1">
        <v>24.0</v>
      </c>
      <c r="AW907" s="1">
        <v>1.0</v>
      </c>
      <c r="AX907" s="1" t="s">
        <v>74</v>
      </c>
      <c r="AY907" s="1" t="s">
        <v>74</v>
      </c>
      <c r="AZ907" s="1" t="s">
        <v>74</v>
      </c>
      <c r="BA907" s="1" t="s">
        <v>74</v>
      </c>
      <c r="BB907" s="1">
        <v>84.0</v>
      </c>
      <c r="BC907" s="1">
        <v>100.0</v>
      </c>
      <c r="BD907" s="1" t="s">
        <v>74</v>
      </c>
      <c r="BE907" s="1" t="s">
        <v>9000</v>
      </c>
      <c r="BF907" s="2" t="str">
        <f>HYPERLINK("http://dx.doi.org/10.1139/er-2015-0046","http://dx.doi.org/10.1139/er-2015-0046")</f>
        <v>http://dx.doi.org/10.1139/er-2015-0046</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9001</v>
      </c>
      <c r="BT907" s="1" t="str">
        <f>HYPERLINK("https%3A%2F%2Fwww.webofscience.com%2Fwos%2Fwoscc%2Ffull-record%2FWOS:000374245500007","View Full Record in Web of Science")</f>
        <v>View Full Record in Web of Science</v>
      </c>
    </row>
    <row r="908" ht="12.75" customHeight="1">
      <c r="A908" s="1" t="s">
        <v>72</v>
      </c>
      <c r="B908" s="1" t="s">
        <v>9002</v>
      </c>
      <c r="C908" s="1" t="s">
        <v>74</v>
      </c>
      <c r="D908" s="1" t="s">
        <v>74</v>
      </c>
      <c r="E908" s="1" t="s">
        <v>74</v>
      </c>
      <c r="F908" s="1" t="s">
        <v>9003</v>
      </c>
      <c r="G908" s="1" t="s">
        <v>74</v>
      </c>
      <c r="H908" s="1" t="s">
        <v>74</v>
      </c>
      <c r="I908" s="1" t="s">
        <v>9004</v>
      </c>
      <c r="J908" s="1" t="s">
        <v>9005</v>
      </c>
      <c r="K908" s="1" t="s">
        <v>74</v>
      </c>
      <c r="L908" s="1" t="s">
        <v>74</v>
      </c>
      <c r="M908" s="1" t="s">
        <v>74</v>
      </c>
      <c r="N908" s="1" t="s">
        <v>74</v>
      </c>
      <c r="O908" s="1" t="s">
        <v>74</v>
      </c>
      <c r="P908" s="1" t="s">
        <v>74</v>
      </c>
      <c r="Q908" s="1" t="s">
        <v>74</v>
      </c>
      <c r="R908" s="1" t="s">
        <v>74</v>
      </c>
      <c r="S908" s="1" t="s">
        <v>74</v>
      </c>
      <c r="T908" s="1" t="s">
        <v>74</v>
      </c>
      <c r="U908" s="1" t="s">
        <v>74</v>
      </c>
      <c r="V908" s="1" t="s">
        <v>9006</v>
      </c>
      <c r="W908" s="1" t="s">
        <v>74</v>
      </c>
      <c r="X908" s="1" t="s">
        <v>74</v>
      </c>
      <c r="Y908" s="1" t="s">
        <v>74</v>
      </c>
      <c r="Z908" s="1" t="s">
        <v>74</v>
      </c>
      <c r="AA908" s="1" t="s">
        <v>9007</v>
      </c>
      <c r="AB908" s="1" t="s">
        <v>9008</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9009</v>
      </c>
      <c r="AP908" s="1" t="s">
        <v>9010</v>
      </c>
      <c r="AQ908" s="1" t="s">
        <v>74</v>
      </c>
      <c r="AR908" s="1" t="s">
        <v>74</v>
      </c>
      <c r="AS908" s="1" t="s">
        <v>74</v>
      </c>
      <c r="AT908" s="1" t="s">
        <v>2091</v>
      </c>
      <c r="AU908" s="1">
        <v>2015.0</v>
      </c>
      <c r="AV908" s="1">
        <v>14.0</v>
      </c>
      <c r="AW908" s="1">
        <v>5.0</v>
      </c>
      <c r="AX908" s="1" t="s">
        <v>74</v>
      </c>
      <c r="AY908" s="1" t="s">
        <v>74</v>
      </c>
      <c r="AZ908" s="1" t="s">
        <v>74</v>
      </c>
      <c r="BA908" s="1" t="s">
        <v>74</v>
      </c>
      <c r="BB908" s="1">
        <v>400.0</v>
      </c>
      <c r="BC908" s="1">
        <v>408.0</v>
      </c>
      <c r="BD908" s="1" t="s">
        <v>74</v>
      </c>
      <c r="BE908" s="1" t="s">
        <v>9011</v>
      </c>
      <c r="BF908" s="2" t="str">
        <f>HYPERLINK("http://dx.doi.org/10.1002/pst.1699","http://dx.doi.org/10.1002/pst.1699")</f>
        <v>http://dx.doi.org/10.1002/pst.1699</v>
      </c>
      <c r="BG908" s="1" t="s">
        <v>74</v>
      </c>
      <c r="BH908" s="1" t="s">
        <v>74</v>
      </c>
      <c r="BI908" s="1" t="s">
        <v>74</v>
      </c>
      <c r="BJ908" s="1" t="s">
        <v>74</v>
      </c>
      <c r="BK908" s="1" t="s">
        <v>74</v>
      </c>
      <c r="BL908" s="1" t="s">
        <v>74</v>
      </c>
      <c r="BM908" s="1" t="s">
        <v>74</v>
      </c>
      <c r="BN908" s="1">
        <v>2.6175204E7</v>
      </c>
      <c r="BO908" s="1" t="s">
        <v>74</v>
      </c>
      <c r="BP908" s="1" t="s">
        <v>74</v>
      </c>
      <c r="BQ908" s="1" t="s">
        <v>74</v>
      </c>
      <c r="BR908" s="1" t="s">
        <v>74</v>
      </c>
      <c r="BS908" s="1" t="s">
        <v>9012</v>
      </c>
      <c r="BT908" s="1" t="str">
        <f>HYPERLINK("https%3A%2F%2Fwww.webofscience.com%2Fwos%2Fwoscc%2Ffull-record%2FWOS:000364239300005","View Full Record in Web of Science")</f>
        <v>View Full Record in Web of Science</v>
      </c>
    </row>
    <row r="909" ht="12.75" customHeight="1">
      <c r="A909" s="1" t="s">
        <v>72</v>
      </c>
      <c r="B909" s="1" t="s">
        <v>9013</v>
      </c>
      <c r="C909" s="1" t="s">
        <v>74</v>
      </c>
      <c r="D909" s="1" t="s">
        <v>74</v>
      </c>
      <c r="E909" s="1" t="s">
        <v>74</v>
      </c>
      <c r="F909" s="1" t="s">
        <v>9014</v>
      </c>
      <c r="G909" s="1" t="s">
        <v>74</v>
      </c>
      <c r="H909" s="1" t="s">
        <v>74</v>
      </c>
      <c r="I909" s="1" t="s">
        <v>9015</v>
      </c>
      <c r="J909" s="1" t="s">
        <v>9016</v>
      </c>
      <c r="K909" s="1" t="s">
        <v>74</v>
      </c>
      <c r="L909" s="1" t="s">
        <v>74</v>
      </c>
      <c r="M909" s="1" t="s">
        <v>74</v>
      </c>
      <c r="N909" s="1" t="s">
        <v>74</v>
      </c>
      <c r="O909" s="1" t="s">
        <v>74</v>
      </c>
      <c r="P909" s="1" t="s">
        <v>74</v>
      </c>
      <c r="Q909" s="1" t="s">
        <v>74</v>
      </c>
      <c r="R909" s="1" t="s">
        <v>74</v>
      </c>
      <c r="S909" s="1" t="s">
        <v>74</v>
      </c>
      <c r="T909" s="1" t="s">
        <v>74</v>
      </c>
      <c r="U909" s="1" t="s">
        <v>74</v>
      </c>
      <c r="V909" s="1" t="s">
        <v>74</v>
      </c>
      <c r="W909" s="1" t="s">
        <v>74</v>
      </c>
      <c r="X909" s="1" t="s">
        <v>74</v>
      </c>
      <c r="Y909" s="1" t="s">
        <v>74</v>
      </c>
      <c r="Z909" s="1" t="s">
        <v>74</v>
      </c>
      <c r="AA909" s="1" t="s">
        <v>9017</v>
      </c>
      <c r="AB909" s="1" t="s">
        <v>9018</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9019</v>
      </c>
      <c r="AP909" s="1" t="s">
        <v>9020</v>
      </c>
      <c r="AQ909" s="1" t="s">
        <v>74</v>
      </c>
      <c r="AR909" s="1" t="s">
        <v>74</v>
      </c>
      <c r="AS909" s="1" t="s">
        <v>74</v>
      </c>
      <c r="AT909" s="1" t="s">
        <v>1082</v>
      </c>
      <c r="AU909" s="1">
        <v>2013.0</v>
      </c>
      <c r="AV909" s="1">
        <v>89.0</v>
      </c>
      <c r="AW909" s="1">
        <v>6.0</v>
      </c>
      <c r="AX909" s="1" t="s">
        <v>74</v>
      </c>
      <c r="AY909" s="1" t="s">
        <v>74</v>
      </c>
      <c r="AZ909" s="1" t="s">
        <v>74</v>
      </c>
      <c r="BA909" s="1" t="s">
        <v>74</v>
      </c>
      <c r="BB909" s="1">
        <v>1270.0</v>
      </c>
      <c r="BC909" s="1">
        <v>1272.0</v>
      </c>
      <c r="BD909" s="1" t="s">
        <v>74</v>
      </c>
      <c r="BE909" s="1" t="s">
        <v>9021</v>
      </c>
      <c r="BF909" s="2" t="str">
        <f>HYPERLINK("http://dx.doi.org/10.1111/php.12115","http://dx.doi.org/10.1111/php.12115")</f>
        <v>http://dx.doi.org/10.1111/php.12115</v>
      </c>
      <c r="BG909" s="1" t="s">
        <v>74</v>
      </c>
      <c r="BH909" s="1" t="s">
        <v>74</v>
      </c>
      <c r="BI909" s="1" t="s">
        <v>74</v>
      </c>
      <c r="BJ909" s="1" t="s">
        <v>74</v>
      </c>
      <c r="BK909" s="1" t="s">
        <v>74</v>
      </c>
      <c r="BL909" s="1" t="s">
        <v>74</v>
      </c>
      <c r="BM909" s="1" t="s">
        <v>74</v>
      </c>
      <c r="BN909" s="1">
        <v>2.4580136E7</v>
      </c>
      <c r="BO909" s="1" t="s">
        <v>74</v>
      </c>
      <c r="BP909" s="1" t="s">
        <v>74</v>
      </c>
      <c r="BQ909" s="1" t="s">
        <v>74</v>
      </c>
      <c r="BR909" s="1" t="s">
        <v>74</v>
      </c>
      <c r="BS909" s="1" t="s">
        <v>9022</v>
      </c>
      <c r="BT909" s="1" t="str">
        <f>HYPERLINK("https%3A%2F%2Fwww.webofscience.com%2Fwos%2Fwoscc%2Ffull-record%2FWOS:000326507100003","View Full Record in Web of Science")</f>
        <v>View Full Record in Web of Science</v>
      </c>
    </row>
    <row r="910" ht="12.75" customHeight="1">
      <c r="A910" s="1" t="s">
        <v>72</v>
      </c>
      <c r="B910" s="1" t="s">
        <v>9023</v>
      </c>
      <c r="C910" s="1" t="s">
        <v>74</v>
      </c>
      <c r="D910" s="1" t="s">
        <v>74</v>
      </c>
      <c r="E910" s="1" t="s">
        <v>74</v>
      </c>
      <c r="F910" s="1" t="s">
        <v>9024</v>
      </c>
      <c r="G910" s="1" t="s">
        <v>74</v>
      </c>
      <c r="H910" s="1" t="s">
        <v>74</v>
      </c>
      <c r="I910" s="1" t="s">
        <v>9025</v>
      </c>
      <c r="J910" s="1" t="s">
        <v>9026</v>
      </c>
      <c r="K910" s="1" t="s">
        <v>74</v>
      </c>
      <c r="L910" s="1" t="s">
        <v>74</v>
      </c>
      <c r="M910" s="1" t="s">
        <v>74</v>
      </c>
      <c r="N910" s="1" t="s">
        <v>74</v>
      </c>
      <c r="O910" s="1" t="s">
        <v>74</v>
      </c>
      <c r="P910" s="1" t="s">
        <v>74</v>
      </c>
      <c r="Q910" s="1" t="s">
        <v>74</v>
      </c>
      <c r="R910" s="1" t="s">
        <v>74</v>
      </c>
      <c r="S910" s="1" t="s">
        <v>74</v>
      </c>
      <c r="T910" s="1" t="s">
        <v>74</v>
      </c>
      <c r="U910" s="1" t="s">
        <v>74</v>
      </c>
      <c r="V910" s="1" t="s">
        <v>9027</v>
      </c>
      <c r="W910" s="1" t="s">
        <v>74</v>
      </c>
      <c r="X910" s="1" t="s">
        <v>74</v>
      </c>
      <c r="Y910" s="1" t="s">
        <v>74</v>
      </c>
      <c r="Z910" s="1" t="s">
        <v>74</v>
      </c>
      <c r="AA910" s="1" t="s">
        <v>9028</v>
      </c>
      <c r="AB910" s="1" t="s">
        <v>9029</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9030</v>
      </c>
      <c r="AP910" s="1" t="s">
        <v>74</v>
      </c>
      <c r="AQ910" s="1" t="s">
        <v>74</v>
      </c>
      <c r="AR910" s="1" t="s">
        <v>74</v>
      </c>
      <c r="AS910" s="1" t="s">
        <v>74</v>
      </c>
      <c r="AT910" s="1" t="s">
        <v>9031</v>
      </c>
      <c r="AU910" s="1">
        <v>2012.0</v>
      </c>
      <c r="AV910" s="1">
        <v>39.0</v>
      </c>
      <c r="AW910" s="1">
        <v>1.0</v>
      </c>
      <c r="AX910" s="1" t="s">
        <v>74</v>
      </c>
      <c r="AY910" s="1" t="s">
        <v>74</v>
      </c>
      <c r="AZ910" s="1" t="s">
        <v>74</v>
      </c>
      <c r="BA910" s="1" t="s">
        <v>74</v>
      </c>
      <c r="BB910" s="1">
        <v>91.0</v>
      </c>
      <c r="BC910" s="1">
        <v>104.0</v>
      </c>
      <c r="BD910" s="1" t="s">
        <v>74</v>
      </c>
      <c r="BE910" s="1" t="s">
        <v>9032</v>
      </c>
      <c r="BF910" s="2" t="str">
        <f>HYPERLINK("http://dx.doi.org/10.4067/S0718-16202012000100007","http://dx.doi.org/10.4067/S0718-16202012000100007")</f>
        <v>http://dx.doi.org/10.4067/S0718-16202012000100007</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9033</v>
      </c>
      <c r="BT910" s="1" t="str">
        <f>HYPERLINK("https%3A%2F%2Fwww.webofscience.com%2Fwos%2Fwoscc%2Ffull-record%2FWOS:000303078600007","View Full Record in Web of Science")</f>
        <v>View Full Record in Web of Science</v>
      </c>
    </row>
    <row r="911" ht="12.75" customHeight="1">
      <c r="A911" s="1" t="s">
        <v>72</v>
      </c>
      <c r="B911" s="1" t="s">
        <v>9034</v>
      </c>
      <c r="C911" s="1" t="s">
        <v>74</v>
      </c>
      <c r="D911" s="1" t="s">
        <v>74</v>
      </c>
      <c r="E911" s="1" t="s">
        <v>74</v>
      </c>
      <c r="F911" s="1" t="s">
        <v>9035</v>
      </c>
      <c r="G911" s="1" t="s">
        <v>74</v>
      </c>
      <c r="H911" s="1" t="s">
        <v>74</v>
      </c>
      <c r="I911" s="1" t="s">
        <v>9036</v>
      </c>
      <c r="J911" s="1" t="s">
        <v>1610</v>
      </c>
      <c r="K911" s="1" t="s">
        <v>74</v>
      </c>
      <c r="L911" s="1" t="s">
        <v>74</v>
      </c>
      <c r="M911" s="1" t="s">
        <v>74</v>
      </c>
      <c r="N911" s="1" t="s">
        <v>74</v>
      </c>
      <c r="O911" s="1" t="s">
        <v>74</v>
      </c>
      <c r="P911" s="1" t="s">
        <v>74</v>
      </c>
      <c r="Q911" s="1" t="s">
        <v>74</v>
      </c>
      <c r="R911" s="1" t="s">
        <v>74</v>
      </c>
      <c r="S911" s="1" t="s">
        <v>74</v>
      </c>
      <c r="T911" s="1" t="s">
        <v>74</v>
      </c>
      <c r="U911" s="1" t="s">
        <v>74</v>
      </c>
      <c r="V911" s="1" t="s">
        <v>9037</v>
      </c>
      <c r="W911" s="1" t="s">
        <v>74</v>
      </c>
      <c r="X911" s="1" t="s">
        <v>74</v>
      </c>
      <c r="Y911" s="1" t="s">
        <v>74</v>
      </c>
      <c r="Z911" s="1" t="s">
        <v>74</v>
      </c>
      <c r="AA911" s="1" t="s">
        <v>9038</v>
      </c>
      <c r="AB911" s="1" t="s">
        <v>9039</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1614</v>
      </c>
      <c r="AP911" s="1" t="s">
        <v>1615</v>
      </c>
      <c r="AQ911" s="1" t="s">
        <v>74</v>
      </c>
      <c r="AR911" s="1" t="s">
        <v>74</v>
      </c>
      <c r="AS911" s="1" t="s">
        <v>74</v>
      </c>
      <c r="AT911" s="1" t="s">
        <v>974</v>
      </c>
      <c r="AU911" s="1">
        <v>2011.0</v>
      </c>
      <c r="AV911" s="1">
        <v>73.0</v>
      </c>
      <c r="AW911" s="1" t="s">
        <v>9040</v>
      </c>
      <c r="AX911" s="1" t="s">
        <v>74</v>
      </c>
      <c r="AY911" s="1" t="s">
        <v>74</v>
      </c>
      <c r="AZ911" s="1" t="s">
        <v>1350</v>
      </c>
      <c r="BA911" s="1" t="s">
        <v>74</v>
      </c>
      <c r="BB911" s="1">
        <v>1465.0</v>
      </c>
      <c r="BC911" s="1">
        <v>1471.0</v>
      </c>
      <c r="BD911" s="1" t="s">
        <v>74</v>
      </c>
      <c r="BE911" s="1" t="s">
        <v>9041</v>
      </c>
      <c r="BF911" s="2" t="str">
        <f>HYPERLINK("http://dx.doi.org/10.1016/j.jastp.2010.11.020","http://dx.doi.org/10.1016/j.jastp.2010.11.020")</f>
        <v>http://dx.doi.org/10.1016/j.jastp.2010.11.020</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9042</v>
      </c>
      <c r="BT911" s="1" t="str">
        <f>HYPERLINK("https%3A%2F%2Fwww.webofscience.com%2Fwos%2Fwoscc%2Ffull-record%2FWOS:000294093500024","View Full Record in Web of Science")</f>
        <v>View Full Record in Web of Science</v>
      </c>
    </row>
    <row r="912" ht="12.75" customHeight="1">
      <c r="A912" s="1" t="s">
        <v>72</v>
      </c>
      <c r="B912" s="1" t="s">
        <v>9043</v>
      </c>
      <c r="C912" s="1" t="s">
        <v>74</v>
      </c>
      <c r="D912" s="1" t="s">
        <v>74</v>
      </c>
      <c r="E912" s="1" t="s">
        <v>74</v>
      </c>
      <c r="F912" s="1" t="s">
        <v>9044</v>
      </c>
      <c r="G912" s="1" t="s">
        <v>74</v>
      </c>
      <c r="H912" s="1" t="s">
        <v>74</v>
      </c>
      <c r="I912" s="1" t="s">
        <v>9045</v>
      </c>
      <c r="J912" s="1" t="s">
        <v>9046</v>
      </c>
      <c r="K912" s="1" t="s">
        <v>74</v>
      </c>
      <c r="L912" s="1" t="s">
        <v>74</v>
      </c>
      <c r="M912" s="1" t="s">
        <v>74</v>
      </c>
      <c r="N912" s="1" t="s">
        <v>74</v>
      </c>
      <c r="O912" s="1" t="s">
        <v>74</v>
      </c>
      <c r="P912" s="1" t="s">
        <v>74</v>
      </c>
      <c r="Q912" s="1" t="s">
        <v>74</v>
      </c>
      <c r="R912" s="1" t="s">
        <v>74</v>
      </c>
      <c r="S912" s="1" t="s">
        <v>74</v>
      </c>
      <c r="T912" s="1" t="s">
        <v>74</v>
      </c>
      <c r="U912" s="1" t="s">
        <v>74</v>
      </c>
      <c r="V912" s="1" t="s">
        <v>9047</v>
      </c>
      <c r="W912" s="1" t="s">
        <v>74</v>
      </c>
      <c r="X912" s="1" t="s">
        <v>74</v>
      </c>
      <c r="Y912" s="1" t="s">
        <v>74</v>
      </c>
      <c r="Z912" s="1" t="s">
        <v>74</v>
      </c>
      <c r="AA912" s="1" t="s">
        <v>9048</v>
      </c>
      <c r="AB912" s="1" t="s">
        <v>9049</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9050</v>
      </c>
      <c r="AP912" s="1" t="s">
        <v>9051</v>
      </c>
      <c r="AQ912" s="1" t="s">
        <v>74</v>
      </c>
      <c r="AR912" s="1" t="s">
        <v>74</v>
      </c>
      <c r="AS912" s="1" t="s">
        <v>74</v>
      </c>
      <c r="AT912" s="1" t="s">
        <v>94</v>
      </c>
      <c r="AU912" s="1">
        <v>2011.0</v>
      </c>
      <c r="AV912" s="1">
        <v>184.0</v>
      </c>
      <c r="AW912" s="1">
        <v>5.0</v>
      </c>
      <c r="AX912" s="1" t="s">
        <v>74</v>
      </c>
      <c r="AY912" s="1" t="s">
        <v>74</v>
      </c>
      <c r="AZ912" s="1" t="s">
        <v>74</v>
      </c>
      <c r="BA912" s="1" t="s">
        <v>74</v>
      </c>
      <c r="BB912" s="1">
        <v>1129.0</v>
      </c>
      <c r="BC912" s="1">
        <v>1134.0</v>
      </c>
      <c r="BD912" s="1" t="s">
        <v>74</v>
      </c>
      <c r="BE912" s="1" t="s">
        <v>9052</v>
      </c>
      <c r="BF912" s="2" t="str">
        <f>HYPERLINK("http://dx.doi.org/10.1016/j.jssc.2011.03.009","http://dx.doi.org/10.1016/j.jssc.2011.03.009")</f>
        <v>http://dx.doi.org/10.1016/j.jssc.2011.03.009</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9053</v>
      </c>
      <c r="BT912" s="1" t="str">
        <f>HYPERLINK("https%3A%2F%2Fwww.webofscience.com%2Fwos%2Fwoscc%2Ffull-record%2FWOS:000290549900023","View Full Record in Web of Science")</f>
        <v>View Full Record in Web of Science</v>
      </c>
    </row>
    <row r="913" ht="12.75" customHeight="1">
      <c r="A913" s="1" t="s">
        <v>72</v>
      </c>
      <c r="B913" s="1" t="s">
        <v>9054</v>
      </c>
      <c r="C913" s="1" t="s">
        <v>74</v>
      </c>
      <c r="D913" s="1" t="s">
        <v>74</v>
      </c>
      <c r="E913" s="1" t="s">
        <v>74</v>
      </c>
      <c r="F913" s="1" t="s">
        <v>9055</v>
      </c>
      <c r="G913" s="1" t="s">
        <v>74</v>
      </c>
      <c r="H913" s="1" t="s">
        <v>74</v>
      </c>
      <c r="I913" s="1" t="s">
        <v>9056</v>
      </c>
      <c r="J913" s="1" t="s">
        <v>958</v>
      </c>
      <c r="K913" s="1" t="s">
        <v>74</v>
      </c>
      <c r="L913" s="1" t="s">
        <v>74</v>
      </c>
      <c r="M913" s="1" t="s">
        <v>74</v>
      </c>
      <c r="N913" s="1" t="s">
        <v>74</v>
      </c>
      <c r="O913" s="1" t="s">
        <v>74</v>
      </c>
      <c r="P913" s="1" t="s">
        <v>74</v>
      </c>
      <c r="Q913" s="1" t="s">
        <v>74</v>
      </c>
      <c r="R913" s="1" t="s">
        <v>74</v>
      </c>
      <c r="S913" s="1" t="s">
        <v>74</v>
      </c>
      <c r="T913" s="1" t="s">
        <v>74</v>
      </c>
      <c r="U913" s="1" t="s">
        <v>74</v>
      </c>
      <c r="V913" s="1" t="s">
        <v>9057</v>
      </c>
      <c r="W913" s="1" t="s">
        <v>74</v>
      </c>
      <c r="X913" s="1" t="s">
        <v>74</v>
      </c>
      <c r="Y913" s="1" t="s">
        <v>74</v>
      </c>
      <c r="Z913" s="1" t="s">
        <v>74</v>
      </c>
      <c r="AA913" s="1" t="s">
        <v>9058</v>
      </c>
      <c r="AB913" s="1" t="s">
        <v>9059</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962</v>
      </c>
      <c r="AP913" s="1" t="s">
        <v>5042</v>
      </c>
      <c r="AQ913" s="1" t="s">
        <v>74</v>
      </c>
      <c r="AR913" s="1" t="s">
        <v>74</v>
      </c>
      <c r="AS913" s="1" t="s">
        <v>74</v>
      </c>
      <c r="AT913" s="1" t="s">
        <v>74</v>
      </c>
      <c r="AU913" s="1">
        <v>2011.0</v>
      </c>
      <c r="AV913" s="1">
        <v>46.0</v>
      </c>
      <c r="AW913" s="1">
        <v>12.0</v>
      </c>
      <c r="AX913" s="1" t="s">
        <v>74</v>
      </c>
      <c r="AY913" s="1" t="s">
        <v>74</v>
      </c>
      <c r="AZ913" s="1" t="s">
        <v>74</v>
      </c>
      <c r="BA913" s="1" t="s">
        <v>74</v>
      </c>
      <c r="BB913" s="1">
        <v>1385.0</v>
      </c>
      <c r="BC913" s="1">
        <v>1391.0</v>
      </c>
      <c r="BD913" s="1" t="s">
        <v>74</v>
      </c>
      <c r="BE913" s="1" t="s">
        <v>9060</v>
      </c>
      <c r="BF913" s="2" t="str">
        <f>HYPERLINK("http://dx.doi.org/10.1080/10934529.2011.606709","http://dx.doi.org/10.1080/10934529.2011.606709")</f>
        <v>http://dx.doi.org/10.1080/10934529.2011.606709</v>
      </c>
      <c r="BG913" s="1" t="s">
        <v>74</v>
      </c>
      <c r="BH913" s="1" t="s">
        <v>74</v>
      </c>
      <c r="BI913" s="1" t="s">
        <v>74</v>
      </c>
      <c r="BJ913" s="1" t="s">
        <v>74</v>
      </c>
      <c r="BK913" s="1" t="s">
        <v>74</v>
      </c>
      <c r="BL913" s="1" t="s">
        <v>74</v>
      </c>
      <c r="BM913" s="1" t="s">
        <v>74</v>
      </c>
      <c r="BN913" s="1">
        <v>2.1942391E7</v>
      </c>
      <c r="BO913" s="1" t="s">
        <v>74</v>
      </c>
      <c r="BP913" s="1" t="s">
        <v>74</v>
      </c>
      <c r="BQ913" s="1" t="s">
        <v>74</v>
      </c>
      <c r="BR913" s="1" t="s">
        <v>74</v>
      </c>
      <c r="BS913" s="1" t="s">
        <v>9061</v>
      </c>
      <c r="BT913" s="1" t="str">
        <f>HYPERLINK("https%3A%2F%2Fwww.webofscience.com%2Fwos%2Fwoscc%2Ffull-record%2FWOS:000297550900009","View Full Record in Web of Science")</f>
        <v>View Full Record in Web of Science</v>
      </c>
    </row>
    <row r="914" ht="12.75" customHeight="1">
      <c r="A914" s="1" t="s">
        <v>72</v>
      </c>
      <c r="B914" s="1" t="s">
        <v>9062</v>
      </c>
      <c r="C914" s="1" t="s">
        <v>74</v>
      </c>
      <c r="D914" s="1" t="s">
        <v>74</v>
      </c>
      <c r="E914" s="1" t="s">
        <v>74</v>
      </c>
      <c r="F914" s="1" t="s">
        <v>9063</v>
      </c>
      <c r="G914" s="1" t="s">
        <v>74</v>
      </c>
      <c r="H914" s="1" t="s">
        <v>74</v>
      </c>
      <c r="I914" s="1" t="s">
        <v>9064</v>
      </c>
      <c r="J914" s="1" t="s">
        <v>236</v>
      </c>
      <c r="K914" s="1" t="s">
        <v>74</v>
      </c>
      <c r="L914" s="1" t="s">
        <v>74</v>
      </c>
      <c r="M914" s="1" t="s">
        <v>74</v>
      </c>
      <c r="N914" s="1" t="s">
        <v>74</v>
      </c>
      <c r="O914" s="1" t="s">
        <v>74</v>
      </c>
      <c r="P914" s="1" t="s">
        <v>74</v>
      </c>
      <c r="Q914" s="1" t="s">
        <v>74</v>
      </c>
      <c r="R914" s="1" t="s">
        <v>74</v>
      </c>
      <c r="S914" s="1" t="s">
        <v>74</v>
      </c>
      <c r="T914" s="1" t="s">
        <v>74</v>
      </c>
      <c r="U914" s="1" t="s">
        <v>74</v>
      </c>
      <c r="V914" s="1" t="s">
        <v>9065</v>
      </c>
      <c r="W914" s="1" t="s">
        <v>74</v>
      </c>
      <c r="X914" s="1" t="s">
        <v>74</v>
      </c>
      <c r="Y914" s="1" t="s">
        <v>74</v>
      </c>
      <c r="Z914" s="1" t="s">
        <v>74</v>
      </c>
      <c r="AA914" s="1" t="s">
        <v>9066</v>
      </c>
      <c r="AB914" s="1" t="s">
        <v>9067</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240</v>
      </c>
      <c r="AP914" s="1" t="s">
        <v>9068</v>
      </c>
      <c r="AQ914" s="1" t="s">
        <v>74</v>
      </c>
      <c r="AR914" s="1" t="s">
        <v>74</v>
      </c>
      <c r="AS914" s="1" t="s">
        <v>74</v>
      </c>
      <c r="AT914" s="1" t="s">
        <v>83</v>
      </c>
      <c r="AU914" s="1">
        <v>2008.0</v>
      </c>
      <c r="AV914" s="1">
        <v>130.0</v>
      </c>
      <c r="AW914" s="1" t="s">
        <v>74</v>
      </c>
      <c r="AX914" s="1">
        <v>4.0</v>
      </c>
      <c r="AY914" s="1" t="s">
        <v>74</v>
      </c>
      <c r="AZ914" s="1" t="s">
        <v>74</v>
      </c>
      <c r="BA914" s="1" t="s">
        <v>74</v>
      </c>
      <c r="BB914" s="1">
        <v>177.0</v>
      </c>
      <c r="BC914" s="1">
        <v>188.0</v>
      </c>
      <c r="BD914" s="1" t="s">
        <v>74</v>
      </c>
      <c r="BE914" s="1" t="s">
        <v>74</v>
      </c>
      <c r="BF914" s="1" t="s">
        <v>74</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9069</v>
      </c>
      <c r="BT914" s="1" t="str">
        <f>HYPERLINK("https%3A%2F%2Fwww.webofscience.com%2Fwos%2Fwoscc%2Ffull-record%2FWOS:000265297200001","View Full Record in Web of Science")</f>
        <v>View Full Record in Web of Science</v>
      </c>
    </row>
    <row r="915" ht="12.75" customHeight="1">
      <c r="A915" s="1" t="s">
        <v>72</v>
      </c>
      <c r="B915" s="1" t="s">
        <v>9070</v>
      </c>
      <c r="C915" s="1" t="s">
        <v>74</v>
      </c>
      <c r="D915" s="1" t="s">
        <v>74</v>
      </c>
      <c r="E915" s="1" t="s">
        <v>74</v>
      </c>
      <c r="F915" s="1" t="s">
        <v>9071</v>
      </c>
      <c r="G915" s="1" t="s">
        <v>74</v>
      </c>
      <c r="H915" s="1" t="s">
        <v>74</v>
      </c>
      <c r="I915" s="1" t="s">
        <v>9072</v>
      </c>
      <c r="J915" s="1" t="s">
        <v>9073</v>
      </c>
      <c r="K915" s="1" t="s">
        <v>74</v>
      </c>
      <c r="L915" s="1" t="s">
        <v>74</v>
      </c>
      <c r="M915" s="1" t="s">
        <v>74</v>
      </c>
      <c r="N915" s="1" t="s">
        <v>74</v>
      </c>
      <c r="O915" s="1" t="s">
        <v>74</v>
      </c>
      <c r="P915" s="1" t="s">
        <v>74</v>
      </c>
      <c r="Q915" s="1" t="s">
        <v>74</v>
      </c>
      <c r="R915" s="1" t="s">
        <v>74</v>
      </c>
      <c r="S915" s="1" t="s">
        <v>74</v>
      </c>
      <c r="T915" s="1" t="s">
        <v>74</v>
      </c>
      <c r="U915" s="1" t="s">
        <v>74</v>
      </c>
      <c r="V915" s="1" t="s">
        <v>9074</v>
      </c>
      <c r="W915" s="1" t="s">
        <v>74</v>
      </c>
      <c r="X915" s="1" t="s">
        <v>74</v>
      </c>
      <c r="Y915" s="1" t="s">
        <v>74</v>
      </c>
      <c r="Z915" s="1" t="s">
        <v>74</v>
      </c>
      <c r="AA915" s="1" t="s">
        <v>9075</v>
      </c>
      <c r="AB915" s="1" t="s">
        <v>9076</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9077</v>
      </c>
      <c r="AP915" s="1" t="s">
        <v>74</v>
      </c>
      <c r="AQ915" s="1" t="s">
        <v>74</v>
      </c>
      <c r="AR915" s="1" t="s">
        <v>74</v>
      </c>
      <c r="AS915" s="1" t="s">
        <v>74</v>
      </c>
      <c r="AT915" s="1" t="s">
        <v>974</v>
      </c>
      <c r="AU915" s="1">
        <v>2007.0</v>
      </c>
      <c r="AV915" s="1">
        <v>9.0</v>
      </c>
      <c r="AW915" s="1">
        <v>7.0</v>
      </c>
      <c r="AX915" s="1" t="s">
        <v>74</v>
      </c>
      <c r="AY915" s="1" t="s">
        <v>74</v>
      </c>
      <c r="AZ915" s="1" t="s">
        <v>74</v>
      </c>
      <c r="BA915" s="1" t="s">
        <v>74</v>
      </c>
      <c r="BB915" s="1">
        <v>1629.0</v>
      </c>
      <c r="BC915" s="1">
        <v>1634.0</v>
      </c>
      <c r="BD915" s="1" t="s">
        <v>74</v>
      </c>
      <c r="BE915" s="1" t="s">
        <v>9078</v>
      </c>
      <c r="BF915" s="2" t="str">
        <f>HYPERLINK("http://dx.doi.org/10.1016/j.elecom.2007.03.008","http://dx.doi.org/10.1016/j.elecom.2007.03.008")</f>
        <v>http://dx.doi.org/10.1016/j.elecom.2007.03.008</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9079</v>
      </c>
      <c r="BT915" s="1" t="str">
        <f>HYPERLINK("https%3A%2F%2Fwww.webofscience.com%2Fwos%2Fwoscc%2Ffull-record%2FWOS:000248089400039","View Full Record in Web of Science")</f>
        <v>View Full Record in Web of Science</v>
      </c>
    </row>
    <row r="916" ht="12.75" customHeight="1">
      <c r="A916" s="1" t="s">
        <v>72</v>
      </c>
      <c r="B916" s="1" t="s">
        <v>9080</v>
      </c>
      <c r="C916" s="1" t="s">
        <v>74</v>
      </c>
      <c r="D916" s="1" t="s">
        <v>74</v>
      </c>
      <c r="E916" s="1" t="s">
        <v>74</v>
      </c>
      <c r="F916" s="1" t="s">
        <v>9080</v>
      </c>
      <c r="G916" s="1" t="s">
        <v>74</v>
      </c>
      <c r="H916" s="1" t="s">
        <v>74</v>
      </c>
      <c r="I916" s="1" t="s">
        <v>9081</v>
      </c>
      <c r="J916" s="1" t="s">
        <v>9082</v>
      </c>
      <c r="K916" s="1" t="s">
        <v>74</v>
      </c>
      <c r="L916" s="1" t="s">
        <v>74</v>
      </c>
      <c r="M916" s="1" t="s">
        <v>74</v>
      </c>
      <c r="N916" s="1" t="s">
        <v>74</v>
      </c>
      <c r="O916" s="1" t="s">
        <v>9083</v>
      </c>
      <c r="P916" s="1" t="s">
        <v>9084</v>
      </c>
      <c r="Q916" s="1" t="s">
        <v>9085</v>
      </c>
      <c r="R916" s="1" t="s">
        <v>9086</v>
      </c>
      <c r="S916" s="1" t="s">
        <v>74</v>
      </c>
      <c r="T916" s="1" t="s">
        <v>74</v>
      </c>
      <c r="U916" s="1" t="s">
        <v>74</v>
      </c>
      <c r="V916" s="1" t="s">
        <v>74</v>
      </c>
      <c r="W916" s="1" t="s">
        <v>74</v>
      </c>
      <c r="X916" s="1" t="s">
        <v>74</v>
      </c>
      <c r="Y916" s="1" t="s">
        <v>74</v>
      </c>
      <c r="Z916" s="1" t="s">
        <v>74</v>
      </c>
      <c r="AA916" s="1" t="s">
        <v>74</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9087</v>
      </c>
      <c r="AP916" s="1" t="s">
        <v>74</v>
      </c>
      <c r="AQ916" s="1" t="s">
        <v>74</v>
      </c>
      <c r="AR916" s="1" t="s">
        <v>74</v>
      </c>
      <c r="AS916" s="1" t="s">
        <v>74</v>
      </c>
      <c r="AT916" s="1" t="s">
        <v>822</v>
      </c>
      <c r="AU916" s="1">
        <v>2006.0</v>
      </c>
      <c r="AV916" s="1">
        <v>27.0</v>
      </c>
      <c r="AW916" s="1">
        <v>1.0</v>
      </c>
      <c r="AX916" s="1" t="s">
        <v>74</v>
      </c>
      <c r="AY916" s="1" t="s">
        <v>74</v>
      </c>
      <c r="AZ916" s="1" t="s">
        <v>74</v>
      </c>
      <c r="BA916" s="1" t="s">
        <v>74</v>
      </c>
      <c r="BB916" s="1" t="s">
        <v>9088</v>
      </c>
      <c r="BC916" s="1" t="s">
        <v>9088</v>
      </c>
      <c r="BD916" s="1" t="s">
        <v>74</v>
      </c>
      <c r="BE916" s="1" t="s">
        <v>74</v>
      </c>
      <c r="BF916" s="1" t="s">
        <v>74</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9089</v>
      </c>
      <c r="BT916" s="1" t="str">
        <f>HYPERLINK("https%3A%2F%2Fwww.webofscience.com%2Fwos%2Fwoscc%2Ffull-record%2FWOS:000233996200221","View Full Record in Web of Science")</f>
        <v>View Full Record in Web of Science</v>
      </c>
    </row>
    <row r="917" ht="12.75" customHeight="1">
      <c r="A917" s="1" t="s">
        <v>72</v>
      </c>
      <c r="B917" s="1" t="s">
        <v>9090</v>
      </c>
      <c r="C917" s="1" t="s">
        <v>74</v>
      </c>
      <c r="D917" s="1" t="s">
        <v>74</v>
      </c>
      <c r="E917" s="1" t="s">
        <v>74</v>
      </c>
      <c r="F917" s="1" t="s">
        <v>9090</v>
      </c>
      <c r="G917" s="1" t="s">
        <v>74</v>
      </c>
      <c r="H917" s="1" t="s">
        <v>74</v>
      </c>
      <c r="I917" s="1" t="s">
        <v>9091</v>
      </c>
      <c r="J917" s="1" t="s">
        <v>9092</v>
      </c>
      <c r="K917" s="1" t="s">
        <v>74</v>
      </c>
      <c r="L917" s="1" t="s">
        <v>74</v>
      </c>
      <c r="M917" s="1" t="s">
        <v>74</v>
      </c>
      <c r="N917" s="1" t="s">
        <v>74</v>
      </c>
      <c r="O917" s="1" t="s">
        <v>74</v>
      </c>
      <c r="P917" s="1" t="s">
        <v>74</v>
      </c>
      <c r="Q917" s="1" t="s">
        <v>74</v>
      </c>
      <c r="R917" s="1" t="s">
        <v>74</v>
      </c>
      <c r="S917" s="1" t="s">
        <v>74</v>
      </c>
      <c r="T917" s="1" t="s">
        <v>74</v>
      </c>
      <c r="U917" s="1" t="s">
        <v>74</v>
      </c>
      <c r="V917" s="1" t="s">
        <v>9093</v>
      </c>
      <c r="W917" s="1" t="s">
        <v>74</v>
      </c>
      <c r="X917" s="1" t="s">
        <v>74</v>
      </c>
      <c r="Y917" s="1" t="s">
        <v>74</v>
      </c>
      <c r="Z917" s="1" t="s">
        <v>74</v>
      </c>
      <c r="AA917" s="1" t="s">
        <v>5842</v>
      </c>
      <c r="AB917" s="1" t="s">
        <v>5843</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9094</v>
      </c>
      <c r="AP917" s="1" t="s">
        <v>74</v>
      </c>
      <c r="AQ917" s="1" t="s">
        <v>74</v>
      </c>
      <c r="AR917" s="1" t="s">
        <v>74</v>
      </c>
      <c r="AS917" s="1" t="s">
        <v>74</v>
      </c>
      <c r="AT917" s="1" t="s">
        <v>74</v>
      </c>
      <c r="AU917" s="1">
        <v>2005.0</v>
      </c>
      <c r="AV917" s="1">
        <v>31.0</v>
      </c>
      <c r="AW917" s="1">
        <v>1.0</v>
      </c>
      <c r="AX917" s="1" t="s">
        <v>74</v>
      </c>
      <c r="AY917" s="1" t="s">
        <v>74</v>
      </c>
      <c r="AZ917" s="1" t="s">
        <v>74</v>
      </c>
      <c r="BA917" s="1" t="s">
        <v>74</v>
      </c>
      <c r="BB917" s="1">
        <v>87.0</v>
      </c>
      <c r="BC917" s="1">
        <v>120.0</v>
      </c>
      <c r="BD917" s="1" t="s">
        <v>74</v>
      </c>
      <c r="BE917" s="1" t="s">
        <v>9095</v>
      </c>
      <c r="BF917" s="2" t="str">
        <f>HYPERLINK("http://dx.doi.org/10.1007/s10867-005-1637-y","http://dx.doi.org/10.1007/s10867-005-1637-y")</f>
        <v>http://dx.doi.org/10.1007/s10867-005-1637-y</v>
      </c>
      <c r="BG917" s="1" t="s">
        <v>74</v>
      </c>
      <c r="BH917" s="1" t="s">
        <v>74</v>
      </c>
      <c r="BI917" s="1" t="s">
        <v>74</v>
      </c>
      <c r="BJ917" s="1" t="s">
        <v>74</v>
      </c>
      <c r="BK917" s="1" t="s">
        <v>74</v>
      </c>
      <c r="BL917" s="1" t="s">
        <v>74</v>
      </c>
      <c r="BM917" s="1" t="s">
        <v>74</v>
      </c>
      <c r="BN917" s="1">
        <v>2.3345886E7</v>
      </c>
      <c r="BO917" s="1" t="s">
        <v>74</v>
      </c>
      <c r="BP917" s="1" t="s">
        <v>74</v>
      </c>
      <c r="BQ917" s="1" t="s">
        <v>74</v>
      </c>
      <c r="BR917" s="1" t="s">
        <v>74</v>
      </c>
      <c r="BS917" s="1" t="s">
        <v>9096</v>
      </c>
      <c r="BT917" s="1" t="str">
        <f>HYPERLINK("https%3A%2F%2Fwww.webofscience.com%2Fwos%2Fwoscc%2Ffull-record%2FWOS:000229970700006","View Full Record in Web of Science")</f>
        <v>View Full Record in Web of Science</v>
      </c>
    </row>
    <row r="918" ht="12.75" customHeight="1">
      <c r="A918" s="1" t="s">
        <v>72</v>
      </c>
      <c r="B918" s="1" t="s">
        <v>6085</v>
      </c>
      <c r="C918" s="1" t="s">
        <v>74</v>
      </c>
      <c r="D918" s="1" t="s">
        <v>74</v>
      </c>
      <c r="E918" s="1" t="s">
        <v>74</v>
      </c>
      <c r="F918" s="1" t="s">
        <v>6085</v>
      </c>
      <c r="G918" s="1" t="s">
        <v>74</v>
      </c>
      <c r="H918" s="1" t="s">
        <v>74</v>
      </c>
      <c r="I918" s="1" t="s">
        <v>9097</v>
      </c>
      <c r="J918" s="1" t="s">
        <v>1897</v>
      </c>
      <c r="K918" s="1" t="s">
        <v>74</v>
      </c>
      <c r="L918" s="1" t="s">
        <v>74</v>
      </c>
      <c r="M918" s="1" t="s">
        <v>74</v>
      </c>
      <c r="N918" s="1" t="s">
        <v>74</v>
      </c>
      <c r="O918" s="1" t="s">
        <v>74</v>
      </c>
      <c r="P918" s="1" t="s">
        <v>74</v>
      </c>
      <c r="Q918" s="1" t="s">
        <v>74</v>
      </c>
      <c r="R918" s="1" t="s">
        <v>74</v>
      </c>
      <c r="S918" s="1" t="s">
        <v>74</v>
      </c>
      <c r="T918" s="1" t="s">
        <v>74</v>
      </c>
      <c r="U918" s="1" t="s">
        <v>74</v>
      </c>
      <c r="V918" s="1" t="s">
        <v>74</v>
      </c>
      <c r="W918" s="1" t="s">
        <v>74</v>
      </c>
      <c r="X918" s="1" t="s">
        <v>74</v>
      </c>
      <c r="Y918" s="1" t="s">
        <v>74</v>
      </c>
      <c r="Z918" s="1" t="s">
        <v>74</v>
      </c>
      <c r="AA918" s="1" t="s">
        <v>74</v>
      </c>
      <c r="AB918" s="1" t="s">
        <v>74</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1901</v>
      </c>
      <c r="AP918" s="1" t="s">
        <v>74</v>
      </c>
      <c r="AQ918" s="1" t="s">
        <v>74</v>
      </c>
      <c r="AR918" s="1" t="s">
        <v>74</v>
      </c>
      <c r="AS918" s="1" t="s">
        <v>74</v>
      </c>
      <c r="AT918" s="1" t="s">
        <v>151</v>
      </c>
      <c r="AU918" s="1">
        <v>1996.0</v>
      </c>
      <c r="AV918" s="1">
        <v>119.0</v>
      </c>
      <c r="AW918" s="1" t="s">
        <v>74</v>
      </c>
      <c r="AX918" s="1" t="s">
        <v>74</v>
      </c>
      <c r="AY918" s="1" t="s">
        <v>320</v>
      </c>
      <c r="AZ918" s="1" t="s">
        <v>74</v>
      </c>
      <c r="BA918" s="1" t="s">
        <v>74</v>
      </c>
      <c r="BB918" s="1" t="s">
        <v>9098</v>
      </c>
      <c r="BC918" s="1" t="s">
        <v>9098</v>
      </c>
      <c r="BD918" s="1" t="s">
        <v>74</v>
      </c>
      <c r="BE918" s="1" t="s">
        <v>74</v>
      </c>
      <c r="BF918" s="1" t="s">
        <v>74</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9099</v>
      </c>
      <c r="BT918" s="1" t="str">
        <f>HYPERLINK("https%3A%2F%2Fwww.webofscience.com%2Fwos%2Fwoscc%2Ffull-record%2FWOS:A1996VK18800261","View Full Record in Web of Science")</f>
        <v>View Full Record in Web of Science</v>
      </c>
    </row>
    <row r="919" ht="12.75" customHeight="1">
      <c r="A919" s="1" t="s">
        <v>72</v>
      </c>
      <c r="B919" s="1" t="s">
        <v>9100</v>
      </c>
      <c r="C919" s="1" t="s">
        <v>74</v>
      </c>
      <c r="D919" s="1" t="s">
        <v>74</v>
      </c>
      <c r="E919" s="1" t="s">
        <v>74</v>
      </c>
      <c r="F919" s="1" t="s">
        <v>9101</v>
      </c>
      <c r="G919" s="1" t="s">
        <v>74</v>
      </c>
      <c r="H919" s="1" t="s">
        <v>74</v>
      </c>
      <c r="I919" s="1" t="s">
        <v>9102</v>
      </c>
      <c r="J919" s="1" t="s">
        <v>6988</v>
      </c>
      <c r="K919" s="1" t="s">
        <v>74</v>
      </c>
      <c r="L919" s="1" t="s">
        <v>74</v>
      </c>
      <c r="M919" s="1" t="s">
        <v>74</v>
      </c>
      <c r="N919" s="1" t="s">
        <v>74</v>
      </c>
      <c r="O919" s="1" t="s">
        <v>74</v>
      </c>
      <c r="P919" s="1" t="s">
        <v>74</v>
      </c>
      <c r="Q919" s="1" t="s">
        <v>74</v>
      </c>
      <c r="R919" s="1" t="s">
        <v>74</v>
      </c>
      <c r="S919" s="1" t="s">
        <v>74</v>
      </c>
      <c r="T919" s="1" t="s">
        <v>74</v>
      </c>
      <c r="U919" s="1" t="s">
        <v>74</v>
      </c>
      <c r="V919" s="1" t="s">
        <v>9103</v>
      </c>
      <c r="W919" s="1" t="s">
        <v>74</v>
      </c>
      <c r="X919" s="1" t="s">
        <v>74</v>
      </c>
      <c r="Y919" s="1" t="s">
        <v>74</v>
      </c>
      <c r="Z919" s="1" t="s">
        <v>74</v>
      </c>
      <c r="AA919" s="1" t="s">
        <v>7672</v>
      </c>
      <c r="AB919" s="1" t="s">
        <v>9104</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6992</v>
      </c>
      <c r="AP919" s="1" t="s">
        <v>6993</v>
      </c>
      <c r="AQ919" s="1" t="s">
        <v>74</v>
      </c>
      <c r="AR919" s="1" t="s">
        <v>74</v>
      </c>
      <c r="AS919" s="1" t="s">
        <v>74</v>
      </c>
      <c r="AT919" s="1" t="s">
        <v>3133</v>
      </c>
      <c r="AU919" s="1">
        <v>2024.0</v>
      </c>
      <c r="AV919" s="1">
        <v>687.0</v>
      </c>
      <c r="AW919" s="1" t="s">
        <v>74</v>
      </c>
      <c r="AX919" s="1" t="s">
        <v>74</v>
      </c>
      <c r="AY919" s="1" t="s">
        <v>74</v>
      </c>
      <c r="AZ919" s="1" t="s">
        <v>74</v>
      </c>
      <c r="BA919" s="1" t="s">
        <v>74</v>
      </c>
      <c r="BB919" s="1" t="s">
        <v>74</v>
      </c>
      <c r="BC919" s="1" t="s">
        <v>74</v>
      </c>
      <c r="BD919" s="1" t="s">
        <v>9105</v>
      </c>
      <c r="BE919" s="1" t="s">
        <v>9106</v>
      </c>
      <c r="BF919" s="2" t="str">
        <f>HYPERLINK("http://dx.doi.org/10.1051/0004-6361/202449503","http://dx.doi.org/10.1051/0004-6361/202449503")</f>
        <v>http://dx.doi.org/10.1051/0004-6361/202449503</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9107</v>
      </c>
      <c r="BT919" s="1" t="str">
        <f>HYPERLINK("https%3A%2F%2Fwww.webofscience.com%2Fwos%2Fwoscc%2Ffull-record%2FWOS:001280629000008","View Full Record in Web of Science")</f>
        <v>View Full Record in Web of Science</v>
      </c>
    </row>
    <row r="920" ht="12.75" customHeight="1">
      <c r="A920" s="1" t="s">
        <v>72</v>
      </c>
      <c r="B920" s="1" t="s">
        <v>9108</v>
      </c>
      <c r="C920" s="1" t="s">
        <v>74</v>
      </c>
      <c r="D920" s="1" t="s">
        <v>74</v>
      </c>
      <c r="E920" s="1" t="s">
        <v>74</v>
      </c>
      <c r="F920" s="1" t="s">
        <v>9109</v>
      </c>
      <c r="G920" s="1" t="s">
        <v>74</v>
      </c>
      <c r="H920" s="1" t="s">
        <v>74</v>
      </c>
      <c r="I920" s="1" t="s">
        <v>9110</v>
      </c>
      <c r="J920" s="1" t="s">
        <v>3926</v>
      </c>
      <c r="K920" s="1" t="s">
        <v>74</v>
      </c>
      <c r="L920" s="1" t="s">
        <v>74</v>
      </c>
      <c r="M920" s="1" t="s">
        <v>74</v>
      </c>
      <c r="N920" s="1" t="s">
        <v>74</v>
      </c>
      <c r="O920" s="1" t="s">
        <v>74</v>
      </c>
      <c r="P920" s="1" t="s">
        <v>74</v>
      </c>
      <c r="Q920" s="1" t="s">
        <v>74</v>
      </c>
      <c r="R920" s="1" t="s">
        <v>74</v>
      </c>
      <c r="S920" s="1" t="s">
        <v>74</v>
      </c>
      <c r="T920" s="1" t="s">
        <v>74</v>
      </c>
      <c r="U920" s="1" t="s">
        <v>74</v>
      </c>
      <c r="V920" s="1" t="s">
        <v>9111</v>
      </c>
      <c r="W920" s="1" t="s">
        <v>74</v>
      </c>
      <c r="X920" s="1" t="s">
        <v>74</v>
      </c>
      <c r="Y920" s="1" t="s">
        <v>74</v>
      </c>
      <c r="Z920" s="1" t="s">
        <v>74</v>
      </c>
      <c r="AA920" s="1" t="s">
        <v>9112</v>
      </c>
      <c r="AB920" s="1" t="s">
        <v>9113</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3930</v>
      </c>
      <c r="AP920" s="1" t="s">
        <v>3931</v>
      </c>
      <c r="AQ920" s="1" t="s">
        <v>74</v>
      </c>
      <c r="AR920" s="1" t="s">
        <v>74</v>
      </c>
      <c r="AS920" s="1" t="s">
        <v>74</v>
      </c>
      <c r="AT920" s="1" t="s">
        <v>83</v>
      </c>
      <c r="AU920" s="1">
        <v>2023.0</v>
      </c>
      <c r="AV920" s="1">
        <v>183.0</v>
      </c>
      <c r="AW920" s="1" t="s">
        <v>74</v>
      </c>
      <c r="AX920" s="1" t="s">
        <v>74</v>
      </c>
      <c r="AY920" s="1" t="s">
        <v>74</v>
      </c>
      <c r="AZ920" s="1" t="s">
        <v>74</v>
      </c>
      <c r="BA920" s="1" t="s">
        <v>74</v>
      </c>
      <c r="BB920" s="1" t="s">
        <v>74</v>
      </c>
      <c r="BC920" s="1" t="s">
        <v>74</v>
      </c>
      <c r="BD920" s="1">
        <v>111642.0</v>
      </c>
      <c r="BE920" s="1" t="s">
        <v>9114</v>
      </c>
      <c r="BF920" s="2" t="str">
        <f>HYPERLINK("http://dx.doi.org/10.1016/j.jpcs.2023.111642","http://dx.doi.org/10.1016/j.jpcs.2023.111642")</f>
        <v>http://dx.doi.org/10.1016/j.jpcs.2023.111642</v>
      </c>
      <c r="BG920" s="1" t="s">
        <v>74</v>
      </c>
      <c r="BH920" s="1" t="s">
        <v>8899</v>
      </c>
      <c r="BI920" s="1" t="s">
        <v>74</v>
      </c>
      <c r="BJ920" s="1" t="s">
        <v>74</v>
      </c>
      <c r="BK920" s="1" t="s">
        <v>74</v>
      </c>
      <c r="BL920" s="1" t="s">
        <v>74</v>
      </c>
      <c r="BM920" s="1" t="s">
        <v>74</v>
      </c>
      <c r="BN920" s="1" t="s">
        <v>74</v>
      </c>
      <c r="BO920" s="1" t="s">
        <v>74</v>
      </c>
      <c r="BP920" s="1" t="s">
        <v>74</v>
      </c>
      <c r="BQ920" s="1" t="s">
        <v>74</v>
      </c>
      <c r="BR920" s="1" t="s">
        <v>74</v>
      </c>
      <c r="BS920" s="1" t="s">
        <v>9115</v>
      </c>
      <c r="BT920" s="1" t="str">
        <f>HYPERLINK("https%3A%2F%2Fwww.webofscience.com%2Fwos%2Fwoscc%2Ffull-record%2FWOS:001073639500001","View Full Record in Web of Science")</f>
        <v>View Full Record in Web of Science</v>
      </c>
    </row>
    <row r="921" ht="12.75" customHeight="1">
      <c r="A921" s="1" t="s">
        <v>72</v>
      </c>
      <c r="B921" s="1" t="s">
        <v>9116</v>
      </c>
      <c r="C921" s="1" t="s">
        <v>74</v>
      </c>
      <c r="D921" s="1" t="s">
        <v>74</v>
      </c>
      <c r="E921" s="1" t="s">
        <v>74</v>
      </c>
      <c r="F921" s="1" t="s">
        <v>9117</v>
      </c>
      <c r="G921" s="1" t="s">
        <v>74</v>
      </c>
      <c r="H921" s="1" t="s">
        <v>74</v>
      </c>
      <c r="I921" s="1" t="s">
        <v>9118</v>
      </c>
      <c r="J921" s="1" t="s">
        <v>9119</v>
      </c>
      <c r="K921" s="1" t="s">
        <v>74</v>
      </c>
      <c r="L921" s="1" t="s">
        <v>74</v>
      </c>
      <c r="M921" s="1" t="s">
        <v>74</v>
      </c>
      <c r="N921" s="1" t="s">
        <v>74</v>
      </c>
      <c r="O921" s="1" t="s">
        <v>74</v>
      </c>
      <c r="P921" s="1" t="s">
        <v>74</v>
      </c>
      <c r="Q921" s="1" t="s">
        <v>74</v>
      </c>
      <c r="R921" s="1" t="s">
        <v>74</v>
      </c>
      <c r="S921" s="1" t="s">
        <v>74</v>
      </c>
      <c r="T921" s="1" t="s">
        <v>74</v>
      </c>
      <c r="U921" s="1" t="s">
        <v>74</v>
      </c>
      <c r="V921" s="1" t="s">
        <v>9120</v>
      </c>
      <c r="W921" s="1" t="s">
        <v>74</v>
      </c>
      <c r="X921" s="1" t="s">
        <v>74</v>
      </c>
      <c r="Y921" s="1" t="s">
        <v>74</v>
      </c>
      <c r="Z921" s="1" t="s">
        <v>74</v>
      </c>
      <c r="AA921" s="1" t="s">
        <v>9121</v>
      </c>
      <c r="AB921" s="1" t="s">
        <v>9122</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9123</v>
      </c>
      <c r="AP921" s="1" t="s">
        <v>9124</v>
      </c>
      <c r="AQ921" s="1" t="s">
        <v>74</v>
      </c>
      <c r="AR921" s="1" t="s">
        <v>74</v>
      </c>
      <c r="AS921" s="1" t="s">
        <v>74</v>
      </c>
      <c r="AT921" s="1" t="s">
        <v>6434</v>
      </c>
      <c r="AU921" s="1">
        <v>2023.0</v>
      </c>
      <c r="AV921" s="1">
        <v>254.0</v>
      </c>
      <c r="AW921" s="1" t="s">
        <v>74</v>
      </c>
      <c r="AX921" s="1" t="s">
        <v>74</v>
      </c>
      <c r="AY921" s="1" t="s">
        <v>74</v>
      </c>
      <c r="AZ921" s="1" t="s">
        <v>74</v>
      </c>
      <c r="BA921" s="1" t="s">
        <v>74</v>
      </c>
      <c r="BB921" s="1" t="s">
        <v>74</v>
      </c>
      <c r="BC921" s="1" t="s">
        <v>74</v>
      </c>
      <c r="BD921" s="1">
        <v>110568.0</v>
      </c>
      <c r="BE921" s="1" t="s">
        <v>9125</v>
      </c>
      <c r="BF921" s="2" t="str">
        <f>HYPERLINK("http://dx.doi.org/10.1016/j.compositesb.2023.110568","http://dx.doi.org/10.1016/j.compositesb.2023.110568")</f>
        <v>http://dx.doi.org/10.1016/j.compositesb.2023.110568</v>
      </c>
      <c r="BG921" s="1" t="s">
        <v>74</v>
      </c>
      <c r="BH921" s="1" t="s">
        <v>310</v>
      </c>
      <c r="BI921" s="1" t="s">
        <v>74</v>
      </c>
      <c r="BJ921" s="1" t="s">
        <v>74</v>
      </c>
      <c r="BK921" s="1" t="s">
        <v>74</v>
      </c>
      <c r="BL921" s="1" t="s">
        <v>74</v>
      </c>
      <c r="BM921" s="1" t="s">
        <v>74</v>
      </c>
      <c r="BN921" s="1" t="s">
        <v>74</v>
      </c>
      <c r="BO921" s="1" t="s">
        <v>74</v>
      </c>
      <c r="BP921" s="1" t="s">
        <v>74</v>
      </c>
      <c r="BQ921" s="1" t="s">
        <v>74</v>
      </c>
      <c r="BR921" s="1" t="s">
        <v>74</v>
      </c>
      <c r="BS921" s="1" t="s">
        <v>9126</v>
      </c>
      <c r="BT921" s="1" t="str">
        <f>HYPERLINK("https%3A%2F%2Fwww.webofscience.com%2Fwos%2Fwoscc%2Ffull-record%2FWOS:000993235300001","View Full Record in Web of Science")</f>
        <v>View Full Record in Web of Science</v>
      </c>
    </row>
    <row r="922" ht="12.75" customHeight="1">
      <c r="A922" s="1" t="s">
        <v>72</v>
      </c>
      <c r="B922" s="1" t="s">
        <v>9127</v>
      </c>
      <c r="C922" s="1" t="s">
        <v>74</v>
      </c>
      <c r="D922" s="1" t="s">
        <v>74</v>
      </c>
      <c r="E922" s="1" t="s">
        <v>74</v>
      </c>
      <c r="F922" s="1" t="s">
        <v>9128</v>
      </c>
      <c r="G922" s="1" t="s">
        <v>74</v>
      </c>
      <c r="H922" s="1" t="s">
        <v>74</v>
      </c>
      <c r="I922" s="1" t="s">
        <v>9129</v>
      </c>
      <c r="J922" s="1" t="s">
        <v>1803</v>
      </c>
      <c r="K922" s="1" t="s">
        <v>74</v>
      </c>
      <c r="L922" s="1" t="s">
        <v>74</v>
      </c>
      <c r="M922" s="1" t="s">
        <v>74</v>
      </c>
      <c r="N922" s="1" t="s">
        <v>74</v>
      </c>
      <c r="O922" s="1" t="s">
        <v>74</v>
      </c>
      <c r="P922" s="1" t="s">
        <v>74</v>
      </c>
      <c r="Q922" s="1" t="s">
        <v>74</v>
      </c>
      <c r="R922" s="1" t="s">
        <v>74</v>
      </c>
      <c r="S922" s="1" t="s">
        <v>74</v>
      </c>
      <c r="T922" s="1" t="s">
        <v>74</v>
      </c>
      <c r="U922" s="1" t="s">
        <v>74</v>
      </c>
      <c r="V922" s="1" t="s">
        <v>9130</v>
      </c>
      <c r="W922" s="1" t="s">
        <v>74</v>
      </c>
      <c r="X922" s="1" t="s">
        <v>74</v>
      </c>
      <c r="Y922" s="1" t="s">
        <v>74</v>
      </c>
      <c r="Z922" s="1" t="s">
        <v>74</v>
      </c>
      <c r="AA922" s="1" t="s">
        <v>818</v>
      </c>
      <c r="AB922" s="1" t="s">
        <v>819</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1807</v>
      </c>
      <c r="AP922" s="1" t="s">
        <v>1808</v>
      </c>
      <c r="AQ922" s="1" t="s">
        <v>74</v>
      </c>
      <c r="AR922" s="1" t="s">
        <v>74</v>
      </c>
      <c r="AS922" s="1" t="s">
        <v>74</v>
      </c>
      <c r="AT922" s="1" t="s">
        <v>3227</v>
      </c>
      <c r="AU922" s="1">
        <v>2021.0</v>
      </c>
      <c r="AV922" s="1">
        <v>309.0</v>
      </c>
      <c r="AW922" s="1" t="s">
        <v>74</v>
      </c>
      <c r="AX922" s="1" t="s">
        <v>74</v>
      </c>
      <c r="AY922" s="1" t="s">
        <v>74</v>
      </c>
      <c r="AZ922" s="1" t="s">
        <v>74</v>
      </c>
      <c r="BA922" s="1" t="s">
        <v>74</v>
      </c>
      <c r="BB922" s="1" t="s">
        <v>74</v>
      </c>
      <c r="BC922" s="1" t="s">
        <v>74</v>
      </c>
      <c r="BD922" s="1">
        <v>127305.0</v>
      </c>
      <c r="BE922" s="1" t="s">
        <v>9131</v>
      </c>
      <c r="BF922" s="2" t="str">
        <f>HYPERLINK("http://dx.doi.org/10.1016/j.jclepro.2021.127305","http://dx.doi.org/10.1016/j.jclepro.2021.127305")</f>
        <v>http://dx.doi.org/10.1016/j.jclepro.2021.127305</v>
      </c>
      <c r="BG922" s="1" t="s">
        <v>74</v>
      </c>
      <c r="BH922" s="1" t="s">
        <v>795</v>
      </c>
      <c r="BI922" s="1" t="s">
        <v>74</v>
      </c>
      <c r="BJ922" s="1" t="s">
        <v>74</v>
      </c>
      <c r="BK922" s="1" t="s">
        <v>74</v>
      </c>
      <c r="BL922" s="1" t="s">
        <v>74</v>
      </c>
      <c r="BM922" s="1" t="s">
        <v>74</v>
      </c>
      <c r="BN922" s="1" t="s">
        <v>74</v>
      </c>
      <c r="BO922" s="1" t="s">
        <v>74</v>
      </c>
      <c r="BP922" s="1" t="s">
        <v>74</v>
      </c>
      <c r="BQ922" s="1" t="s">
        <v>74</v>
      </c>
      <c r="BR922" s="1" t="s">
        <v>74</v>
      </c>
      <c r="BS922" s="1" t="s">
        <v>9132</v>
      </c>
      <c r="BT922" s="1" t="str">
        <f>HYPERLINK("https%3A%2F%2Fwww.webofscience.com%2Fwos%2Fwoscc%2Ffull-record%2FWOS:000662983500005","View Full Record in Web of Science")</f>
        <v>View Full Record in Web of Science</v>
      </c>
    </row>
    <row r="923" ht="12.75" customHeight="1">
      <c r="A923" s="1" t="s">
        <v>72</v>
      </c>
      <c r="B923" s="1" t="s">
        <v>9133</v>
      </c>
      <c r="C923" s="1" t="s">
        <v>74</v>
      </c>
      <c r="D923" s="1" t="s">
        <v>74</v>
      </c>
      <c r="E923" s="1" t="s">
        <v>74</v>
      </c>
      <c r="F923" s="1" t="s">
        <v>9134</v>
      </c>
      <c r="G923" s="1" t="s">
        <v>74</v>
      </c>
      <c r="H923" s="1" t="s">
        <v>74</v>
      </c>
      <c r="I923" s="1" t="s">
        <v>9135</v>
      </c>
      <c r="J923" s="1" t="s">
        <v>9136</v>
      </c>
      <c r="K923" s="1" t="s">
        <v>74</v>
      </c>
      <c r="L923" s="1" t="s">
        <v>74</v>
      </c>
      <c r="M923" s="1" t="s">
        <v>74</v>
      </c>
      <c r="N923" s="1" t="s">
        <v>74</v>
      </c>
      <c r="O923" s="1" t="s">
        <v>74</v>
      </c>
      <c r="P923" s="1" t="s">
        <v>74</v>
      </c>
      <c r="Q923" s="1" t="s">
        <v>74</v>
      </c>
      <c r="R923" s="1" t="s">
        <v>74</v>
      </c>
      <c r="S923" s="1" t="s">
        <v>74</v>
      </c>
      <c r="T923" s="1" t="s">
        <v>74</v>
      </c>
      <c r="U923" s="1" t="s">
        <v>74</v>
      </c>
      <c r="V923" s="1" t="s">
        <v>9137</v>
      </c>
      <c r="W923" s="1" t="s">
        <v>74</v>
      </c>
      <c r="X923" s="1" t="s">
        <v>74</v>
      </c>
      <c r="Y923" s="1" t="s">
        <v>74</v>
      </c>
      <c r="Z923" s="1" t="s">
        <v>74</v>
      </c>
      <c r="AA923" s="1" t="s">
        <v>74</v>
      </c>
      <c r="AB923" s="1" t="s">
        <v>74</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9138</v>
      </c>
      <c r="AP923" s="1" t="s">
        <v>9139</v>
      </c>
      <c r="AQ923" s="1" t="s">
        <v>74</v>
      </c>
      <c r="AR923" s="1" t="s">
        <v>74</v>
      </c>
      <c r="AS923" s="1" t="s">
        <v>74</v>
      </c>
      <c r="AT923" s="1" t="s">
        <v>5813</v>
      </c>
      <c r="AU923" s="1">
        <v>2021.0</v>
      </c>
      <c r="AV923" s="1">
        <v>45.0</v>
      </c>
      <c r="AW923" s="1">
        <v>3.0</v>
      </c>
      <c r="AX923" s="1" t="s">
        <v>74</v>
      </c>
      <c r="AY923" s="1" t="s">
        <v>74</v>
      </c>
      <c r="AZ923" s="1" t="s">
        <v>74</v>
      </c>
      <c r="BA923" s="1" t="s">
        <v>74</v>
      </c>
      <c r="BB923" s="1">
        <v>352.0</v>
      </c>
      <c r="BC923" s="1">
        <v>358.0</v>
      </c>
      <c r="BD923" s="1" t="s">
        <v>74</v>
      </c>
      <c r="BE923" s="1" t="s">
        <v>9140</v>
      </c>
      <c r="BF923" s="2" t="str">
        <f>HYPERLINK("http://dx.doi.org/10.1097/RCT.0000000000001152","http://dx.doi.org/10.1097/RCT.0000000000001152")</f>
        <v>http://dx.doi.org/10.1097/RCT.0000000000001152</v>
      </c>
      <c r="BG923" s="1" t="s">
        <v>74</v>
      </c>
      <c r="BH923" s="1" t="s">
        <v>74</v>
      </c>
      <c r="BI923" s="1" t="s">
        <v>74</v>
      </c>
      <c r="BJ923" s="1" t="s">
        <v>74</v>
      </c>
      <c r="BK923" s="1" t="s">
        <v>74</v>
      </c>
      <c r="BL923" s="1" t="s">
        <v>74</v>
      </c>
      <c r="BM923" s="1" t="s">
        <v>74</v>
      </c>
      <c r="BN923" s="1">
        <v>3.3797437E7</v>
      </c>
      <c r="BO923" s="1" t="s">
        <v>74</v>
      </c>
      <c r="BP923" s="1" t="s">
        <v>74</v>
      </c>
      <c r="BQ923" s="1" t="s">
        <v>74</v>
      </c>
      <c r="BR923" s="1" t="s">
        <v>74</v>
      </c>
      <c r="BS923" s="1" t="s">
        <v>9141</v>
      </c>
      <c r="BT923" s="1" t="str">
        <f>HYPERLINK("https%3A%2F%2Fwww.webofscience.com%2Fwos%2Fwoscc%2Ffull-record%2FWOS:000653149000002","View Full Record in Web of Science")</f>
        <v>View Full Record in Web of Science</v>
      </c>
    </row>
    <row r="924" ht="12.75" customHeight="1">
      <c r="A924" s="1" t="s">
        <v>72</v>
      </c>
      <c r="B924" s="1" t="s">
        <v>9142</v>
      </c>
      <c r="C924" s="1" t="s">
        <v>74</v>
      </c>
      <c r="D924" s="1" t="s">
        <v>74</v>
      </c>
      <c r="E924" s="1" t="s">
        <v>74</v>
      </c>
      <c r="F924" s="1" t="s">
        <v>9143</v>
      </c>
      <c r="G924" s="1" t="s">
        <v>74</v>
      </c>
      <c r="H924" s="1" t="s">
        <v>74</v>
      </c>
      <c r="I924" s="1" t="s">
        <v>9144</v>
      </c>
      <c r="J924" s="1" t="s">
        <v>958</v>
      </c>
      <c r="K924" s="1" t="s">
        <v>74</v>
      </c>
      <c r="L924" s="1" t="s">
        <v>74</v>
      </c>
      <c r="M924" s="1" t="s">
        <v>74</v>
      </c>
      <c r="N924" s="1" t="s">
        <v>74</v>
      </c>
      <c r="O924" s="1" t="s">
        <v>74</v>
      </c>
      <c r="P924" s="1" t="s">
        <v>74</v>
      </c>
      <c r="Q924" s="1" t="s">
        <v>74</v>
      </c>
      <c r="R924" s="1" t="s">
        <v>74</v>
      </c>
      <c r="S924" s="1" t="s">
        <v>74</v>
      </c>
      <c r="T924" s="1" t="s">
        <v>74</v>
      </c>
      <c r="U924" s="1" t="s">
        <v>74</v>
      </c>
      <c r="V924" s="1" t="s">
        <v>9145</v>
      </c>
      <c r="W924" s="1" t="s">
        <v>74</v>
      </c>
      <c r="X924" s="1" t="s">
        <v>74</v>
      </c>
      <c r="Y924" s="1" t="s">
        <v>74</v>
      </c>
      <c r="Z924" s="1" t="s">
        <v>74</v>
      </c>
      <c r="AA924" s="1" t="s">
        <v>3331</v>
      </c>
      <c r="AB924" s="1" t="s">
        <v>9146</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962</v>
      </c>
      <c r="AP924" s="1" t="s">
        <v>5042</v>
      </c>
      <c r="AQ924" s="1" t="s">
        <v>74</v>
      </c>
      <c r="AR924" s="1" t="s">
        <v>74</v>
      </c>
      <c r="AS924" s="1" t="s">
        <v>74</v>
      </c>
      <c r="AT924" s="1" t="s">
        <v>9147</v>
      </c>
      <c r="AU924" s="1">
        <v>2020.0</v>
      </c>
      <c r="AV924" s="1">
        <v>56.0</v>
      </c>
      <c r="AW924" s="1">
        <v>2.0</v>
      </c>
      <c r="AX924" s="1" t="s">
        <v>74</v>
      </c>
      <c r="AY924" s="1" t="s">
        <v>74</v>
      </c>
      <c r="AZ924" s="1" t="s">
        <v>74</v>
      </c>
      <c r="BA924" s="1" t="s">
        <v>74</v>
      </c>
      <c r="BB924" s="1">
        <v>123.0</v>
      </c>
      <c r="BC924" s="1">
        <v>135.0</v>
      </c>
      <c r="BD924" s="1" t="s">
        <v>74</v>
      </c>
      <c r="BE924" s="1" t="s">
        <v>9148</v>
      </c>
      <c r="BF924" s="2" t="str">
        <f>HYPERLINK("http://dx.doi.org/10.1080/10934529.2020.1852011","http://dx.doi.org/10.1080/10934529.2020.1852011")</f>
        <v>http://dx.doi.org/10.1080/10934529.2020.1852011</v>
      </c>
      <c r="BG924" s="1" t="s">
        <v>74</v>
      </c>
      <c r="BH924" s="1" t="s">
        <v>835</v>
      </c>
      <c r="BI924" s="1" t="s">
        <v>74</v>
      </c>
      <c r="BJ924" s="1" t="s">
        <v>74</v>
      </c>
      <c r="BK924" s="1" t="s">
        <v>74</v>
      </c>
      <c r="BL924" s="1" t="s">
        <v>74</v>
      </c>
      <c r="BM924" s="1" t="s">
        <v>74</v>
      </c>
      <c r="BN924" s="1">
        <v>3.3507138E7</v>
      </c>
      <c r="BO924" s="1" t="s">
        <v>74</v>
      </c>
      <c r="BP924" s="1" t="s">
        <v>74</v>
      </c>
      <c r="BQ924" s="1" t="s">
        <v>74</v>
      </c>
      <c r="BR924" s="1" t="s">
        <v>74</v>
      </c>
      <c r="BS924" s="1" t="s">
        <v>9149</v>
      </c>
      <c r="BT924" s="1" t="str">
        <f>HYPERLINK("https%3A%2F%2Fwww.webofscience.com%2Fwos%2Fwoscc%2Ffull-record%2FWOS:000596674200001","View Full Record in Web of Science")</f>
        <v>View Full Record in Web of Science</v>
      </c>
    </row>
    <row r="925" ht="12.75" customHeight="1">
      <c r="A925" s="1" t="s">
        <v>72</v>
      </c>
      <c r="B925" s="1" t="s">
        <v>9150</v>
      </c>
      <c r="C925" s="1" t="s">
        <v>74</v>
      </c>
      <c r="D925" s="1" t="s">
        <v>74</v>
      </c>
      <c r="E925" s="1" t="s">
        <v>74</v>
      </c>
      <c r="F925" s="1" t="s">
        <v>9151</v>
      </c>
      <c r="G925" s="1" t="s">
        <v>74</v>
      </c>
      <c r="H925" s="1" t="s">
        <v>74</v>
      </c>
      <c r="I925" s="1" t="s">
        <v>9152</v>
      </c>
      <c r="J925" s="1" t="s">
        <v>9153</v>
      </c>
      <c r="K925" s="1" t="s">
        <v>74</v>
      </c>
      <c r="L925" s="1" t="s">
        <v>74</v>
      </c>
      <c r="M925" s="1" t="s">
        <v>74</v>
      </c>
      <c r="N925" s="1" t="s">
        <v>74</v>
      </c>
      <c r="O925" s="1" t="s">
        <v>74</v>
      </c>
      <c r="P925" s="1" t="s">
        <v>74</v>
      </c>
      <c r="Q925" s="1" t="s">
        <v>74</v>
      </c>
      <c r="R925" s="1" t="s">
        <v>74</v>
      </c>
      <c r="S925" s="1" t="s">
        <v>74</v>
      </c>
      <c r="T925" s="1" t="s">
        <v>74</v>
      </c>
      <c r="U925" s="1" t="s">
        <v>74</v>
      </c>
      <c r="V925" s="1" t="s">
        <v>9154</v>
      </c>
      <c r="W925" s="1" t="s">
        <v>74</v>
      </c>
      <c r="X925" s="1" t="s">
        <v>74</v>
      </c>
      <c r="Y925" s="1" t="s">
        <v>74</v>
      </c>
      <c r="Z925" s="1" t="s">
        <v>74</v>
      </c>
      <c r="AA925" s="1" t="s">
        <v>9155</v>
      </c>
      <c r="AB925" s="1" t="s">
        <v>9156</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9157</v>
      </c>
      <c r="AP925" s="1" t="s">
        <v>9158</v>
      </c>
      <c r="AQ925" s="1" t="s">
        <v>74</v>
      </c>
      <c r="AR925" s="1" t="s">
        <v>74</v>
      </c>
      <c r="AS925" s="1" t="s">
        <v>74</v>
      </c>
      <c r="AT925" s="1" t="s">
        <v>308</v>
      </c>
      <c r="AU925" s="1">
        <v>2021.0</v>
      </c>
      <c r="AV925" s="1">
        <v>39.0</v>
      </c>
      <c r="AW925" s="1">
        <v>2.0</v>
      </c>
      <c r="AX925" s="1" t="s">
        <v>74</v>
      </c>
      <c r="AY925" s="1" t="s">
        <v>74</v>
      </c>
      <c r="AZ925" s="1" t="s">
        <v>74</v>
      </c>
      <c r="BA925" s="1" t="s">
        <v>74</v>
      </c>
      <c r="BB925" s="1">
        <v>335.0</v>
      </c>
      <c r="BC925" s="1">
        <v>348.0</v>
      </c>
      <c r="BD925" s="1" t="s">
        <v>74</v>
      </c>
      <c r="BE925" s="1" t="s">
        <v>9159</v>
      </c>
      <c r="BF925" s="2" t="str">
        <f>HYPERLINK("http://dx.doi.org/10.1007/s12640-020-00277-y","http://dx.doi.org/10.1007/s12640-020-00277-y")</f>
        <v>http://dx.doi.org/10.1007/s12640-020-00277-y</v>
      </c>
      <c r="BG925" s="1" t="s">
        <v>74</v>
      </c>
      <c r="BH925" s="1" t="s">
        <v>4697</v>
      </c>
      <c r="BI925" s="1" t="s">
        <v>74</v>
      </c>
      <c r="BJ925" s="1" t="s">
        <v>74</v>
      </c>
      <c r="BK925" s="1" t="s">
        <v>74</v>
      </c>
      <c r="BL925" s="1" t="s">
        <v>74</v>
      </c>
      <c r="BM925" s="1" t="s">
        <v>74</v>
      </c>
      <c r="BN925" s="1">
        <v>3.2886342E7</v>
      </c>
      <c r="BO925" s="1" t="s">
        <v>74</v>
      </c>
      <c r="BP925" s="1" t="s">
        <v>74</v>
      </c>
      <c r="BQ925" s="1" t="s">
        <v>74</v>
      </c>
      <c r="BR925" s="1" t="s">
        <v>74</v>
      </c>
      <c r="BS925" s="1" t="s">
        <v>9160</v>
      </c>
      <c r="BT925" s="1" t="str">
        <f>HYPERLINK("https%3A%2F%2Fwww.webofscience.com%2Fwos%2Fwoscc%2Ffull-record%2FWOS:000566059800001","View Full Record in Web of Science")</f>
        <v>View Full Record in Web of Science</v>
      </c>
    </row>
    <row r="926" ht="12.75" customHeight="1">
      <c r="A926" s="1" t="s">
        <v>72</v>
      </c>
      <c r="B926" s="1" t="s">
        <v>9161</v>
      </c>
      <c r="C926" s="1" t="s">
        <v>74</v>
      </c>
      <c r="D926" s="1" t="s">
        <v>74</v>
      </c>
      <c r="E926" s="1" t="s">
        <v>74</v>
      </c>
      <c r="F926" s="1" t="s">
        <v>9162</v>
      </c>
      <c r="G926" s="1" t="s">
        <v>74</v>
      </c>
      <c r="H926" s="1" t="s">
        <v>74</v>
      </c>
      <c r="I926" s="1" t="s">
        <v>9163</v>
      </c>
      <c r="J926" s="1" t="s">
        <v>7602</v>
      </c>
      <c r="K926" s="1" t="s">
        <v>74</v>
      </c>
      <c r="L926" s="1" t="s">
        <v>74</v>
      </c>
      <c r="M926" s="1" t="s">
        <v>74</v>
      </c>
      <c r="N926" s="1" t="s">
        <v>74</v>
      </c>
      <c r="O926" s="1" t="s">
        <v>74</v>
      </c>
      <c r="P926" s="1" t="s">
        <v>74</v>
      </c>
      <c r="Q926" s="1" t="s">
        <v>74</v>
      </c>
      <c r="R926" s="1" t="s">
        <v>74</v>
      </c>
      <c r="S926" s="1" t="s">
        <v>74</v>
      </c>
      <c r="T926" s="1" t="s">
        <v>74</v>
      </c>
      <c r="U926" s="1" t="s">
        <v>74</v>
      </c>
      <c r="V926" s="1" t="s">
        <v>9164</v>
      </c>
      <c r="W926" s="1" t="s">
        <v>74</v>
      </c>
      <c r="X926" s="1" t="s">
        <v>74</v>
      </c>
      <c r="Y926" s="1" t="s">
        <v>74</v>
      </c>
      <c r="Z926" s="1" t="s">
        <v>74</v>
      </c>
      <c r="AA926" s="1" t="s">
        <v>9165</v>
      </c>
      <c r="AB926" s="1" t="s">
        <v>9166</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7609</v>
      </c>
      <c r="AP926" s="1" t="s">
        <v>7610</v>
      </c>
      <c r="AQ926" s="1" t="s">
        <v>74</v>
      </c>
      <c r="AR926" s="1" t="s">
        <v>74</v>
      </c>
      <c r="AS926" s="1" t="s">
        <v>74</v>
      </c>
      <c r="AT926" s="1" t="s">
        <v>1082</v>
      </c>
      <c r="AU926" s="1">
        <v>2019.0</v>
      </c>
      <c r="AV926" s="1">
        <v>189.0</v>
      </c>
      <c r="AW926" s="1" t="s">
        <v>74</v>
      </c>
      <c r="AX926" s="1" t="s">
        <v>74</v>
      </c>
      <c r="AY926" s="1" t="s">
        <v>74</v>
      </c>
      <c r="AZ926" s="1" t="s">
        <v>74</v>
      </c>
      <c r="BA926" s="1" t="s">
        <v>74</v>
      </c>
      <c r="BB926" s="1" t="s">
        <v>74</v>
      </c>
      <c r="BC926" s="1" t="s">
        <v>74</v>
      </c>
      <c r="BD926" s="1">
        <v>105150.0</v>
      </c>
      <c r="BE926" s="1" t="s">
        <v>9167</v>
      </c>
      <c r="BF926" s="2" t="str">
        <f>HYPERLINK("http://dx.doi.org/10.1016/j.hydromet.2019.105150","http://dx.doi.org/10.1016/j.hydromet.2019.105150")</f>
        <v>http://dx.doi.org/10.1016/j.hydromet.2019.105150</v>
      </c>
      <c r="BG926" s="1" t="s">
        <v>74</v>
      </c>
      <c r="BH926" s="1" t="s">
        <v>74</v>
      </c>
      <c r="BI926" s="1" t="s">
        <v>74</v>
      </c>
      <c r="BJ926" s="1" t="s">
        <v>74</v>
      </c>
      <c r="BK926" s="1" t="s">
        <v>74</v>
      </c>
      <c r="BL926" s="1" t="s">
        <v>74</v>
      </c>
      <c r="BM926" s="1" t="s">
        <v>74</v>
      </c>
      <c r="BN926" s="1" t="s">
        <v>74</v>
      </c>
      <c r="BO926" s="1" t="s">
        <v>74</v>
      </c>
      <c r="BP926" s="1" t="s">
        <v>74</v>
      </c>
      <c r="BQ926" s="1" t="s">
        <v>74</v>
      </c>
      <c r="BR926" s="1" t="s">
        <v>74</v>
      </c>
      <c r="BS926" s="1" t="s">
        <v>9168</v>
      </c>
      <c r="BT926" s="1" t="str">
        <f>HYPERLINK("https%3A%2F%2Fwww.webofscience.com%2Fwos%2Fwoscc%2Ffull-record%2FWOS:000496341300043","View Full Record in Web of Science")</f>
        <v>View Full Record in Web of Science</v>
      </c>
    </row>
    <row r="927" ht="12.75" customHeight="1">
      <c r="A927" s="1" t="s">
        <v>72</v>
      </c>
      <c r="B927" s="1" t="s">
        <v>9169</v>
      </c>
      <c r="C927" s="1" t="s">
        <v>74</v>
      </c>
      <c r="D927" s="1" t="s">
        <v>74</v>
      </c>
      <c r="E927" s="1" t="s">
        <v>74</v>
      </c>
      <c r="F927" s="1" t="s">
        <v>9170</v>
      </c>
      <c r="G927" s="1" t="s">
        <v>74</v>
      </c>
      <c r="H927" s="1" t="s">
        <v>74</v>
      </c>
      <c r="I927" s="1" t="s">
        <v>9171</v>
      </c>
      <c r="J927" s="1" t="s">
        <v>9172</v>
      </c>
      <c r="K927" s="1" t="s">
        <v>74</v>
      </c>
      <c r="L927" s="1" t="s">
        <v>74</v>
      </c>
      <c r="M927" s="1" t="s">
        <v>74</v>
      </c>
      <c r="N927" s="1" t="s">
        <v>74</v>
      </c>
      <c r="O927" s="1" t="s">
        <v>74</v>
      </c>
      <c r="P927" s="1" t="s">
        <v>74</v>
      </c>
      <c r="Q927" s="1" t="s">
        <v>74</v>
      </c>
      <c r="R927" s="1" t="s">
        <v>74</v>
      </c>
      <c r="S927" s="1" t="s">
        <v>74</v>
      </c>
      <c r="T927" s="1" t="s">
        <v>74</v>
      </c>
      <c r="U927" s="1" t="s">
        <v>74</v>
      </c>
      <c r="V927" s="1" t="s">
        <v>9173</v>
      </c>
      <c r="W927" s="1" t="s">
        <v>74</v>
      </c>
      <c r="X927" s="1" t="s">
        <v>74</v>
      </c>
      <c r="Y927" s="1" t="s">
        <v>74</v>
      </c>
      <c r="Z927" s="1" t="s">
        <v>74</v>
      </c>
      <c r="AA927" s="1" t="s">
        <v>9174</v>
      </c>
      <c r="AB927" s="1" t="s">
        <v>9175</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9176</v>
      </c>
      <c r="AP927" s="1" t="s">
        <v>9177</v>
      </c>
      <c r="AQ927" s="1" t="s">
        <v>74</v>
      </c>
      <c r="AR927" s="1" t="s">
        <v>74</v>
      </c>
      <c r="AS927" s="1" t="s">
        <v>74</v>
      </c>
      <c r="AT927" s="1" t="s">
        <v>94</v>
      </c>
      <c r="AU927" s="1">
        <v>2018.0</v>
      </c>
      <c r="AV927" s="1">
        <v>27.0</v>
      </c>
      <c r="AW927" s="1">
        <v>5.0</v>
      </c>
      <c r="AX927" s="1" t="s">
        <v>74</v>
      </c>
      <c r="AY927" s="1" t="s">
        <v>74</v>
      </c>
      <c r="AZ927" s="1" t="s">
        <v>74</v>
      </c>
      <c r="BA927" s="1" t="s">
        <v>74</v>
      </c>
      <c r="BB927" s="1">
        <v>1386.0</v>
      </c>
      <c r="BC927" s="1">
        <v>1394.0</v>
      </c>
      <c r="BD927" s="1" t="s">
        <v>74</v>
      </c>
      <c r="BE927" s="1" t="s">
        <v>9178</v>
      </c>
      <c r="BF927" s="2" t="str">
        <f>HYPERLINK("http://dx.doi.org/10.1016/j.jstrokecerebrovasdis.2017.12.031","http://dx.doi.org/10.1016/j.jstrokecerebrovasdis.2017.12.031")</f>
        <v>http://dx.doi.org/10.1016/j.jstrokecerebrovasdis.2017.12.031</v>
      </c>
      <c r="BG927" s="1" t="s">
        <v>74</v>
      </c>
      <c r="BH927" s="1" t="s">
        <v>74</v>
      </c>
      <c r="BI927" s="1" t="s">
        <v>74</v>
      </c>
      <c r="BJ927" s="1" t="s">
        <v>74</v>
      </c>
      <c r="BK927" s="1" t="s">
        <v>74</v>
      </c>
      <c r="BL927" s="1" t="s">
        <v>74</v>
      </c>
      <c r="BM927" s="1" t="s">
        <v>74</v>
      </c>
      <c r="BN927" s="1">
        <v>2.9395643E7</v>
      </c>
      <c r="BO927" s="1" t="s">
        <v>74</v>
      </c>
      <c r="BP927" s="1" t="s">
        <v>74</v>
      </c>
      <c r="BQ927" s="1" t="s">
        <v>74</v>
      </c>
      <c r="BR927" s="1" t="s">
        <v>74</v>
      </c>
      <c r="BS927" s="1" t="s">
        <v>9179</v>
      </c>
      <c r="BT927" s="1" t="str">
        <f>HYPERLINK("https%3A%2F%2Fwww.webofscience.com%2Fwos%2Fwoscc%2Ffull-record%2FWOS:000428778400040","View Full Record in Web of Science")</f>
        <v>View Full Record in Web of Science</v>
      </c>
    </row>
    <row r="928" ht="12.75" customHeight="1">
      <c r="A928" s="1" t="s">
        <v>154</v>
      </c>
      <c r="B928" s="1" t="s">
        <v>9180</v>
      </c>
      <c r="C928" s="1" t="s">
        <v>74</v>
      </c>
      <c r="D928" s="1" t="s">
        <v>9181</v>
      </c>
      <c r="E928" s="1" t="s">
        <v>74</v>
      </c>
      <c r="F928" s="1" t="s">
        <v>9182</v>
      </c>
      <c r="G928" s="1" t="s">
        <v>74</v>
      </c>
      <c r="H928" s="1" t="s">
        <v>74</v>
      </c>
      <c r="I928" s="1" t="s">
        <v>9183</v>
      </c>
      <c r="J928" s="1" t="s">
        <v>9184</v>
      </c>
      <c r="K928" s="1" t="s">
        <v>9185</v>
      </c>
      <c r="L928" s="1" t="s">
        <v>74</v>
      </c>
      <c r="M928" s="1" t="s">
        <v>74</v>
      </c>
      <c r="N928" s="1" t="s">
        <v>74</v>
      </c>
      <c r="O928" s="1" t="s">
        <v>9186</v>
      </c>
      <c r="P928" s="1" t="s">
        <v>9187</v>
      </c>
      <c r="Q928" s="1" t="s">
        <v>9188</v>
      </c>
      <c r="R928" s="1" t="s">
        <v>9189</v>
      </c>
      <c r="S928" s="1" t="s">
        <v>74</v>
      </c>
      <c r="T928" s="1" t="s">
        <v>74</v>
      </c>
      <c r="U928" s="1" t="s">
        <v>74</v>
      </c>
      <c r="V928" s="1" t="s">
        <v>9190</v>
      </c>
      <c r="W928" s="1" t="s">
        <v>74</v>
      </c>
      <c r="X928" s="1" t="s">
        <v>74</v>
      </c>
      <c r="Y928" s="1" t="s">
        <v>74</v>
      </c>
      <c r="Z928" s="1" t="s">
        <v>74</v>
      </c>
      <c r="AA928" s="1" t="s">
        <v>9191</v>
      </c>
      <c r="AB928" s="1" t="s">
        <v>9192</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9193</v>
      </c>
      <c r="AP928" s="1" t="s">
        <v>74</v>
      </c>
      <c r="AQ928" s="1" t="s">
        <v>74</v>
      </c>
      <c r="AR928" s="1" t="s">
        <v>74</v>
      </c>
      <c r="AS928" s="1" t="s">
        <v>74</v>
      </c>
      <c r="AT928" s="1" t="s">
        <v>74</v>
      </c>
      <c r="AU928" s="1">
        <v>2018.0</v>
      </c>
      <c r="AV928" s="1">
        <v>139.0</v>
      </c>
      <c r="AW928" s="1" t="s">
        <v>74</v>
      </c>
      <c r="AX928" s="1" t="s">
        <v>74</v>
      </c>
      <c r="AY928" s="1" t="s">
        <v>74</v>
      </c>
      <c r="AZ928" s="1" t="s">
        <v>74</v>
      </c>
      <c r="BA928" s="1" t="s">
        <v>74</v>
      </c>
      <c r="BB928" s="1">
        <v>456.0</v>
      </c>
      <c r="BC928" s="1">
        <v>463.0</v>
      </c>
      <c r="BD928" s="1" t="s">
        <v>74</v>
      </c>
      <c r="BE928" s="1" t="s">
        <v>9194</v>
      </c>
      <c r="BF928" s="2" t="str">
        <f>HYPERLINK("http://dx.doi.org/10.1016/j.procs.2018.10.250","http://dx.doi.org/10.1016/j.procs.2018.10.250")</f>
        <v>http://dx.doi.org/10.1016/j.procs.2018.10.250</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9195</v>
      </c>
      <c r="BT928" s="1" t="str">
        <f>HYPERLINK("https%3A%2F%2Fwww.webofscience.com%2Fwos%2Fwoscc%2Ffull-record%2FWOS:000471259200061","View Full Record in Web of Science")</f>
        <v>View Full Record in Web of Science</v>
      </c>
    </row>
    <row r="929" ht="12.75" customHeight="1">
      <c r="A929" s="1" t="s">
        <v>72</v>
      </c>
      <c r="B929" s="1" t="s">
        <v>9196</v>
      </c>
      <c r="C929" s="1" t="s">
        <v>74</v>
      </c>
      <c r="D929" s="1" t="s">
        <v>74</v>
      </c>
      <c r="E929" s="1" t="s">
        <v>74</v>
      </c>
      <c r="F929" s="1" t="s">
        <v>9197</v>
      </c>
      <c r="G929" s="1" t="s">
        <v>74</v>
      </c>
      <c r="H929" s="1" t="s">
        <v>74</v>
      </c>
      <c r="I929" s="1" t="s">
        <v>9198</v>
      </c>
      <c r="J929" s="1" t="s">
        <v>9199</v>
      </c>
      <c r="K929" s="1" t="s">
        <v>74</v>
      </c>
      <c r="L929" s="1" t="s">
        <v>74</v>
      </c>
      <c r="M929" s="1" t="s">
        <v>74</v>
      </c>
      <c r="N929" s="1" t="s">
        <v>74</v>
      </c>
      <c r="O929" s="1" t="s">
        <v>74</v>
      </c>
      <c r="P929" s="1" t="s">
        <v>74</v>
      </c>
      <c r="Q929" s="1" t="s">
        <v>74</v>
      </c>
      <c r="R929" s="1" t="s">
        <v>74</v>
      </c>
      <c r="S929" s="1" t="s">
        <v>74</v>
      </c>
      <c r="T929" s="1" t="s">
        <v>74</v>
      </c>
      <c r="U929" s="1" t="s">
        <v>74</v>
      </c>
      <c r="V929" s="1" t="s">
        <v>9200</v>
      </c>
      <c r="W929" s="1" t="s">
        <v>74</v>
      </c>
      <c r="X929" s="1" t="s">
        <v>74</v>
      </c>
      <c r="Y929" s="1" t="s">
        <v>74</v>
      </c>
      <c r="Z929" s="1" t="s">
        <v>74</v>
      </c>
      <c r="AA929" s="1" t="s">
        <v>1612</v>
      </c>
      <c r="AB929" s="1" t="s">
        <v>1613</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9201</v>
      </c>
      <c r="AP929" s="1" t="s">
        <v>9202</v>
      </c>
      <c r="AQ929" s="1" t="s">
        <v>74</v>
      </c>
      <c r="AR929" s="1" t="s">
        <v>74</v>
      </c>
      <c r="AS929" s="1" t="s">
        <v>74</v>
      </c>
      <c r="AT929" s="1" t="s">
        <v>877</v>
      </c>
      <c r="AU929" s="1">
        <v>2017.0</v>
      </c>
      <c r="AV929" s="1">
        <v>122.0</v>
      </c>
      <c r="AW929" s="1">
        <v>8.0</v>
      </c>
      <c r="AX929" s="1" t="s">
        <v>74</v>
      </c>
      <c r="AY929" s="1" t="s">
        <v>74</v>
      </c>
      <c r="AZ929" s="1" t="s">
        <v>74</v>
      </c>
      <c r="BA929" s="1" t="s">
        <v>74</v>
      </c>
      <c r="BB929" s="1">
        <v>8078.0</v>
      </c>
      <c r="BC929" s="1">
        <v>8095.0</v>
      </c>
      <c r="BD929" s="1" t="s">
        <v>74</v>
      </c>
      <c r="BE929" s="1" t="s">
        <v>9203</v>
      </c>
      <c r="BF929" s="2" t="str">
        <f>HYPERLINK("http://dx.doi.org/10.1002/2016JA023735","http://dx.doi.org/10.1002/2016JA023735")</f>
        <v>http://dx.doi.org/10.1002/2016JA023735</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9204</v>
      </c>
      <c r="BT929" s="1" t="str">
        <f>HYPERLINK("https%3A%2F%2Fwww.webofscience.com%2Fwos%2Fwoscc%2Ffull-record%2FWOS:000411788800017","View Full Record in Web of Science")</f>
        <v>View Full Record in Web of Science</v>
      </c>
    </row>
    <row r="930" ht="12.75" customHeight="1">
      <c r="A930" s="1" t="s">
        <v>72</v>
      </c>
      <c r="B930" s="1" t="s">
        <v>9205</v>
      </c>
      <c r="C930" s="1" t="s">
        <v>74</v>
      </c>
      <c r="D930" s="1" t="s">
        <v>74</v>
      </c>
      <c r="E930" s="1" t="s">
        <v>74</v>
      </c>
      <c r="F930" s="1" t="s">
        <v>9206</v>
      </c>
      <c r="G930" s="1" t="s">
        <v>74</v>
      </c>
      <c r="H930" s="1" t="s">
        <v>74</v>
      </c>
      <c r="I930" s="1" t="s">
        <v>9207</v>
      </c>
      <c r="J930" s="1" t="s">
        <v>6047</v>
      </c>
      <c r="K930" s="1" t="s">
        <v>74</v>
      </c>
      <c r="L930" s="1" t="s">
        <v>74</v>
      </c>
      <c r="M930" s="1" t="s">
        <v>74</v>
      </c>
      <c r="N930" s="1" t="s">
        <v>74</v>
      </c>
      <c r="O930" s="1" t="s">
        <v>74</v>
      </c>
      <c r="P930" s="1" t="s">
        <v>74</v>
      </c>
      <c r="Q930" s="1" t="s">
        <v>74</v>
      </c>
      <c r="R930" s="1" t="s">
        <v>74</v>
      </c>
      <c r="S930" s="1" t="s">
        <v>74</v>
      </c>
      <c r="T930" s="1" t="s">
        <v>74</v>
      </c>
      <c r="U930" s="1" t="s">
        <v>74</v>
      </c>
      <c r="V930" s="1" t="s">
        <v>9208</v>
      </c>
      <c r="W930" s="1" t="s">
        <v>74</v>
      </c>
      <c r="X930" s="1" t="s">
        <v>74</v>
      </c>
      <c r="Y930" s="1" t="s">
        <v>74</v>
      </c>
      <c r="Z930" s="1" t="s">
        <v>74</v>
      </c>
      <c r="AA930" s="1" t="s">
        <v>9209</v>
      </c>
      <c r="AB930" s="1" t="s">
        <v>9210</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6051</v>
      </c>
      <c r="AP930" s="1" t="s">
        <v>74</v>
      </c>
      <c r="AQ930" s="1" t="s">
        <v>74</v>
      </c>
      <c r="AR930" s="1" t="s">
        <v>74</v>
      </c>
      <c r="AS930" s="1" t="s">
        <v>74</v>
      </c>
      <c r="AT930" s="1" t="s">
        <v>9211</v>
      </c>
      <c r="AU930" s="1">
        <v>2017.0</v>
      </c>
      <c r="AV930" s="1">
        <v>37.0</v>
      </c>
      <c r="AW930" s="1">
        <v>12.0</v>
      </c>
      <c r="AX930" s="1" t="s">
        <v>74</v>
      </c>
      <c r="AY930" s="1" t="s">
        <v>74</v>
      </c>
      <c r="AZ930" s="1" t="s">
        <v>74</v>
      </c>
      <c r="BA930" s="1" t="s">
        <v>74</v>
      </c>
      <c r="BB930" s="1">
        <v>3109.0</v>
      </c>
      <c r="BC930" s="1">
        <v>3126.0</v>
      </c>
      <c r="BD930" s="1" t="s">
        <v>74</v>
      </c>
      <c r="BE930" s="1" t="s">
        <v>9212</v>
      </c>
      <c r="BF930" s="2" t="str">
        <f>HYPERLINK("http://dx.doi.org/10.1523/JNEUROSCI.3553-16.2017","http://dx.doi.org/10.1523/JNEUROSCI.3553-16.2017")</f>
        <v>http://dx.doi.org/10.1523/JNEUROSCI.3553-16.2017</v>
      </c>
      <c r="BG930" s="1" t="s">
        <v>74</v>
      </c>
      <c r="BH930" s="1" t="s">
        <v>74</v>
      </c>
      <c r="BI930" s="1" t="s">
        <v>74</v>
      </c>
      <c r="BJ930" s="1" t="s">
        <v>74</v>
      </c>
      <c r="BK930" s="1" t="s">
        <v>74</v>
      </c>
      <c r="BL930" s="1" t="s">
        <v>74</v>
      </c>
      <c r="BM930" s="1" t="s">
        <v>74</v>
      </c>
      <c r="BN930" s="1">
        <v>2.8179555E7</v>
      </c>
      <c r="BO930" s="1" t="s">
        <v>74</v>
      </c>
      <c r="BP930" s="1" t="s">
        <v>74</v>
      </c>
      <c r="BQ930" s="1" t="s">
        <v>74</v>
      </c>
      <c r="BR930" s="1" t="s">
        <v>74</v>
      </c>
      <c r="BS930" s="1" t="s">
        <v>9213</v>
      </c>
      <c r="BT930" s="1" t="str">
        <f>HYPERLINK("https%3A%2F%2Fwww.webofscience.com%2Fwos%2Fwoscc%2Ffull-record%2FWOS:000397819300003","View Full Record in Web of Science")</f>
        <v>View Full Record in Web of Science</v>
      </c>
    </row>
    <row r="931" ht="12.75" customHeight="1">
      <c r="A931" s="1" t="s">
        <v>72</v>
      </c>
      <c r="B931" s="1" t="s">
        <v>9214</v>
      </c>
      <c r="C931" s="1" t="s">
        <v>74</v>
      </c>
      <c r="D931" s="1" t="s">
        <v>74</v>
      </c>
      <c r="E931" s="1" t="s">
        <v>74</v>
      </c>
      <c r="F931" s="1" t="s">
        <v>9215</v>
      </c>
      <c r="G931" s="1" t="s">
        <v>74</v>
      </c>
      <c r="H931" s="1" t="s">
        <v>74</v>
      </c>
      <c r="I931" s="1" t="s">
        <v>9216</v>
      </c>
      <c r="J931" s="1" t="s">
        <v>9217</v>
      </c>
      <c r="K931" s="1" t="s">
        <v>74</v>
      </c>
      <c r="L931" s="1" t="s">
        <v>74</v>
      </c>
      <c r="M931" s="1" t="s">
        <v>74</v>
      </c>
      <c r="N931" s="1" t="s">
        <v>74</v>
      </c>
      <c r="O931" s="1" t="s">
        <v>74</v>
      </c>
      <c r="P931" s="1" t="s">
        <v>74</v>
      </c>
      <c r="Q931" s="1" t="s">
        <v>74</v>
      </c>
      <c r="R931" s="1" t="s">
        <v>74</v>
      </c>
      <c r="S931" s="1" t="s">
        <v>74</v>
      </c>
      <c r="T931" s="1" t="s">
        <v>74</v>
      </c>
      <c r="U931" s="1" t="s">
        <v>74</v>
      </c>
      <c r="V931" s="1" t="s">
        <v>9218</v>
      </c>
      <c r="W931" s="1" t="s">
        <v>74</v>
      </c>
      <c r="X931" s="1" t="s">
        <v>74</v>
      </c>
      <c r="Y931" s="1" t="s">
        <v>74</v>
      </c>
      <c r="Z931" s="1" t="s">
        <v>74</v>
      </c>
      <c r="AA931" s="1" t="s">
        <v>9219</v>
      </c>
      <c r="AB931" s="1" t="s">
        <v>9220</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9221</v>
      </c>
      <c r="AP931" s="1" t="s">
        <v>9222</v>
      </c>
      <c r="AQ931" s="1" t="s">
        <v>74</v>
      </c>
      <c r="AR931" s="1" t="s">
        <v>74</v>
      </c>
      <c r="AS931" s="1" t="s">
        <v>74</v>
      </c>
      <c r="AT931" s="1" t="s">
        <v>600</v>
      </c>
      <c r="AU931" s="1">
        <v>2017.0</v>
      </c>
      <c r="AV931" s="1">
        <v>10.0</v>
      </c>
      <c r="AW931" s="1">
        <v>2.0</v>
      </c>
      <c r="AX931" s="1" t="s">
        <v>74</v>
      </c>
      <c r="AY931" s="1" t="s">
        <v>74</v>
      </c>
      <c r="AZ931" s="1" t="s">
        <v>74</v>
      </c>
      <c r="BA931" s="1" t="s">
        <v>74</v>
      </c>
      <c r="BB931" s="1">
        <v>330.0</v>
      </c>
      <c r="BC931" s="1">
        <v>338.0</v>
      </c>
      <c r="BD931" s="1" t="s">
        <v>74</v>
      </c>
      <c r="BE931" s="1" t="s">
        <v>9223</v>
      </c>
      <c r="BF931" s="2" t="str">
        <f>HYPERLINK("http://dx.doi.org/10.1007/s12161-016-0584-5","http://dx.doi.org/10.1007/s12161-016-0584-5")</f>
        <v>http://dx.doi.org/10.1007/s12161-016-0584-5</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9224</v>
      </c>
      <c r="BT931" s="1" t="str">
        <f>HYPERLINK("https%3A%2F%2Fwww.webofscience.com%2Fwos%2Fwoscc%2Ffull-record%2FWOS:000392379600005","View Full Record in Web of Science")</f>
        <v>View Full Record in Web of Science</v>
      </c>
    </row>
    <row r="932" ht="12.75" customHeight="1">
      <c r="A932" s="1" t="s">
        <v>154</v>
      </c>
      <c r="B932" s="1" t="s">
        <v>9225</v>
      </c>
      <c r="C932" s="1" t="s">
        <v>74</v>
      </c>
      <c r="D932" s="1" t="s">
        <v>9226</v>
      </c>
      <c r="E932" s="1" t="s">
        <v>74</v>
      </c>
      <c r="F932" s="1" t="s">
        <v>9227</v>
      </c>
      <c r="G932" s="1" t="s">
        <v>74</v>
      </c>
      <c r="H932" s="1" t="s">
        <v>74</v>
      </c>
      <c r="I932" s="1" t="s">
        <v>9228</v>
      </c>
      <c r="J932" s="1" t="s">
        <v>9229</v>
      </c>
      <c r="K932" s="1" t="s">
        <v>9230</v>
      </c>
      <c r="L932" s="1" t="s">
        <v>74</v>
      </c>
      <c r="M932" s="1" t="s">
        <v>74</v>
      </c>
      <c r="N932" s="1" t="s">
        <v>74</v>
      </c>
      <c r="O932" s="1" t="s">
        <v>9231</v>
      </c>
      <c r="P932" s="1" t="s">
        <v>9232</v>
      </c>
      <c r="Q932" s="1" t="s">
        <v>9233</v>
      </c>
      <c r="R932" s="1" t="s">
        <v>9234</v>
      </c>
      <c r="S932" s="1" t="s">
        <v>9235</v>
      </c>
      <c r="T932" s="1" t="s">
        <v>74</v>
      </c>
      <c r="U932" s="1" t="s">
        <v>74</v>
      </c>
      <c r="V932" s="1" t="s">
        <v>9236</v>
      </c>
      <c r="W932" s="1" t="s">
        <v>74</v>
      </c>
      <c r="X932" s="1" t="s">
        <v>74</v>
      </c>
      <c r="Y932" s="1" t="s">
        <v>74</v>
      </c>
      <c r="Z932" s="1" t="s">
        <v>74</v>
      </c>
      <c r="AA932" s="1" t="s">
        <v>9237</v>
      </c>
      <c r="AB932" s="1" t="s">
        <v>9238</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9239</v>
      </c>
      <c r="AP932" s="1" t="s">
        <v>9240</v>
      </c>
      <c r="AQ932" s="1" t="s">
        <v>9241</v>
      </c>
      <c r="AR932" s="1" t="s">
        <v>74</v>
      </c>
      <c r="AS932" s="1" t="s">
        <v>74</v>
      </c>
      <c r="AT932" s="1" t="s">
        <v>74</v>
      </c>
      <c r="AU932" s="1">
        <v>2016.0</v>
      </c>
      <c r="AV932" s="1">
        <v>427.0</v>
      </c>
      <c r="AW932" s="1" t="s">
        <v>74</v>
      </c>
      <c r="AX932" s="1" t="s">
        <v>74</v>
      </c>
      <c r="AY932" s="1" t="s">
        <v>74</v>
      </c>
      <c r="AZ932" s="1" t="s">
        <v>74</v>
      </c>
      <c r="BA932" s="1" t="s">
        <v>74</v>
      </c>
      <c r="BB932" s="1">
        <v>57.0</v>
      </c>
      <c r="BC932" s="1">
        <v>67.0</v>
      </c>
      <c r="BD932" s="1" t="s">
        <v>74</v>
      </c>
      <c r="BE932" s="1" t="s">
        <v>9242</v>
      </c>
      <c r="BF932" s="2" t="str">
        <f>HYPERLINK("http://dx.doi.org/10.1007/978-3-319-29504-6_7","http://dx.doi.org/10.1007/978-3-319-29504-6_7")</f>
        <v>http://dx.doi.org/10.1007/978-3-319-29504-6_7</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9243</v>
      </c>
      <c r="BT932" s="1" t="str">
        <f>HYPERLINK("https%3A%2F%2Fwww.webofscience.com%2Fwos%2Fwoscc%2Ffull-record%2FWOS:000371912400007","View Full Record in Web of Science")</f>
        <v>View Full Record in Web of Science</v>
      </c>
    </row>
    <row r="933" ht="12.75" customHeight="1">
      <c r="A933" s="1" t="s">
        <v>154</v>
      </c>
      <c r="B933" s="1" t="s">
        <v>9244</v>
      </c>
      <c r="C933" s="1" t="s">
        <v>74</v>
      </c>
      <c r="D933" s="1" t="s">
        <v>9245</v>
      </c>
      <c r="E933" s="1" t="s">
        <v>74</v>
      </c>
      <c r="F933" s="1" t="s">
        <v>9246</v>
      </c>
      <c r="G933" s="1" t="s">
        <v>74</v>
      </c>
      <c r="H933" s="1" t="s">
        <v>74</v>
      </c>
      <c r="I933" s="1" t="s">
        <v>9247</v>
      </c>
      <c r="J933" s="1" t="s">
        <v>9248</v>
      </c>
      <c r="K933" s="1" t="s">
        <v>74</v>
      </c>
      <c r="L933" s="1" t="s">
        <v>74</v>
      </c>
      <c r="M933" s="1" t="s">
        <v>74</v>
      </c>
      <c r="N933" s="1" t="s">
        <v>74</v>
      </c>
      <c r="O933" s="1" t="s">
        <v>9249</v>
      </c>
      <c r="P933" s="1" t="s">
        <v>9250</v>
      </c>
      <c r="Q933" s="1" t="s">
        <v>9251</v>
      </c>
      <c r="R933" s="1" t="s">
        <v>9252</v>
      </c>
      <c r="S933" s="1" t="s">
        <v>74</v>
      </c>
      <c r="T933" s="1" t="s">
        <v>74</v>
      </c>
      <c r="U933" s="1" t="s">
        <v>74</v>
      </c>
      <c r="V933" s="1" t="s">
        <v>9253</v>
      </c>
      <c r="W933" s="1" t="s">
        <v>74</v>
      </c>
      <c r="X933" s="1" t="s">
        <v>74</v>
      </c>
      <c r="Y933" s="1" t="s">
        <v>74</v>
      </c>
      <c r="Z933" s="1" t="s">
        <v>74</v>
      </c>
      <c r="AA933" s="1" t="s">
        <v>9254</v>
      </c>
      <c r="AB933" s="1" t="s">
        <v>9255</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74</v>
      </c>
      <c r="AP933" s="1" t="s">
        <v>74</v>
      </c>
      <c r="AQ933" s="1" t="s">
        <v>9256</v>
      </c>
      <c r="AR933" s="1" t="s">
        <v>74</v>
      </c>
      <c r="AS933" s="1" t="s">
        <v>74</v>
      </c>
      <c r="AT933" s="1" t="s">
        <v>74</v>
      </c>
      <c r="AU933" s="1">
        <v>2015.0</v>
      </c>
      <c r="AV933" s="1" t="s">
        <v>74</v>
      </c>
      <c r="AW933" s="1" t="s">
        <v>74</v>
      </c>
      <c r="AX933" s="1" t="s">
        <v>74</v>
      </c>
      <c r="AY933" s="1" t="s">
        <v>74</v>
      </c>
      <c r="AZ933" s="1" t="s">
        <v>74</v>
      </c>
      <c r="BA933" s="1" t="s">
        <v>74</v>
      </c>
      <c r="BB933" s="1">
        <v>883.0</v>
      </c>
      <c r="BC933" s="1">
        <v>891.0</v>
      </c>
      <c r="BD933" s="1" t="s">
        <v>74</v>
      </c>
      <c r="BE933" s="1" t="s">
        <v>74</v>
      </c>
      <c r="BF933" s="1" t="s">
        <v>74</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9257</v>
      </c>
      <c r="BT933" s="1" t="str">
        <f>HYPERLINK("https%3A%2F%2Fwww.webofscience.com%2Fwos%2Fwoscc%2Ffull-record%2FWOS:000380454700110","View Full Record in Web of Science")</f>
        <v>View Full Record in Web of Science</v>
      </c>
    </row>
    <row r="934" ht="12.75" customHeight="1">
      <c r="A934" s="1" t="s">
        <v>72</v>
      </c>
      <c r="B934" s="1" t="s">
        <v>9258</v>
      </c>
      <c r="C934" s="1" t="s">
        <v>74</v>
      </c>
      <c r="D934" s="1" t="s">
        <v>74</v>
      </c>
      <c r="E934" s="1" t="s">
        <v>74</v>
      </c>
      <c r="F934" s="1" t="s">
        <v>9259</v>
      </c>
      <c r="G934" s="1" t="s">
        <v>74</v>
      </c>
      <c r="H934" s="1" t="s">
        <v>74</v>
      </c>
      <c r="I934" s="1" t="s">
        <v>9260</v>
      </c>
      <c r="J934" s="1" t="s">
        <v>873</v>
      </c>
      <c r="K934" s="1" t="s">
        <v>74</v>
      </c>
      <c r="L934" s="1" t="s">
        <v>74</v>
      </c>
      <c r="M934" s="1" t="s">
        <v>74</v>
      </c>
      <c r="N934" s="1" t="s">
        <v>74</v>
      </c>
      <c r="O934" s="1" t="s">
        <v>74</v>
      </c>
      <c r="P934" s="1" t="s">
        <v>74</v>
      </c>
      <c r="Q934" s="1" t="s">
        <v>74</v>
      </c>
      <c r="R934" s="1" t="s">
        <v>74</v>
      </c>
      <c r="S934" s="1" t="s">
        <v>74</v>
      </c>
      <c r="T934" s="1" t="s">
        <v>74</v>
      </c>
      <c r="U934" s="1" t="s">
        <v>74</v>
      </c>
      <c r="V934" s="1" t="s">
        <v>74</v>
      </c>
      <c r="W934" s="1" t="s">
        <v>74</v>
      </c>
      <c r="X934" s="1" t="s">
        <v>74</v>
      </c>
      <c r="Y934" s="1" t="s">
        <v>74</v>
      </c>
      <c r="Z934" s="1" t="s">
        <v>74</v>
      </c>
      <c r="AA934" s="1" t="s">
        <v>9261</v>
      </c>
      <c r="AB934" s="1" t="s">
        <v>1055</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875</v>
      </c>
      <c r="AP934" s="1" t="s">
        <v>876</v>
      </c>
      <c r="AQ934" s="1" t="s">
        <v>74</v>
      </c>
      <c r="AR934" s="1" t="s">
        <v>74</v>
      </c>
      <c r="AS934" s="1" t="s">
        <v>74</v>
      </c>
      <c r="AT934" s="1" t="s">
        <v>176</v>
      </c>
      <c r="AU934" s="1">
        <v>2014.0</v>
      </c>
      <c r="AV934" s="1">
        <v>142.0</v>
      </c>
      <c r="AW934" s="1">
        <v>3.0</v>
      </c>
      <c r="AX934" s="1" t="s">
        <v>74</v>
      </c>
      <c r="AY934" s="1" t="s">
        <v>74</v>
      </c>
      <c r="AZ934" s="1" t="s">
        <v>74</v>
      </c>
      <c r="BA934" s="1" t="s">
        <v>74</v>
      </c>
      <c r="BB934" s="1">
        <v>403.0</v>
      </c>
      <c r="BC934" s="1">
        <v>404.0</v>
      </c>
      <c r="BD934" s="1" t="s">
        <v>74</v>
      </c>
      <c r="BE934" s="1" t="s">
        <v>9262</v>
      </c>
      <c r="BF934" s="2" t="str">
        <f>HYPERLINK("http://dx.doi.org/10.4067/S0034-98872014000300021","http://dx.doi.org/10.4067/S0034-98872014000300021")</f>
        <v>http://dx.doi.org/10.4067/S0034-98872014000300021</v>
      </c>
      <c r="BG934" s="1" t="s">
        <v>74</v>
      </c>
      <c r="BH934" s="1" t="s">
        <v>74</v>
      </c>
      <c r="BI934" s="1" t="s">
        <v>74</v>
      </c>
      <c r="BJ934" s="1" t="s">
        <v>74</v>
      </c>
      <c r="BK934" s="1" t="s">
        <v>74</v>
      </c>
      <c r="BL934" s="1" t="s">
        <v>74</v>
      </c>
      <c r="BM934" s="1" t="s">
        <v>74</v>
      </c>
      <c r="BN934" s="1">
        <v>2.5052284E7</v>
      </c>
      <c r="BO934" s="1" t="s">
        <v>74</v>
      </c>
      <c r="BP934" s="1" t="s">
        <v>74</v>
      </c>
      <c r="BQ934" s="1" t="s">
        <v>74</v>
      </c>
      <c r="BR934" s="1" t="s">
        <v>74</v>
      </c>
      <c r="BS934" s="1" t="s">
        <v>9263</v>
      </c>
      <c r="BT934" s="1" t="str">
        <f>HYPERLINK("https%3A%2F%2Fwww.webofscience.com%2Fwos%2Fwoscc%2Ffull-record%2FWOS:000336075000021","View Full Record in Web of Science")</f>
        <v>View Full Record in Web of Science</v>
      </c>
    </row>
    <row r="935" ht="12.75" customHeight="1">
      <c r="A935" s="1" t="s">
        <v>72</v>
      </c>
      <c r="B935" s="1" t="s">
        <v>9264</v>
      </c>
      <c r="C935" s="1" t="s">
        <v>74</v>
      </c>
      <c r="D935" s="1" t="s">
        <v>74</v>
      </c>
      <c r="E935" s="1" t="s">
        <v>74</v>
      </c>
      <c r="F935" s="1" t="s">
        <v>9265</v>
      </c>
      <c r="G935" s="1" t="s">
        <v>74</v>
      </c>
      <c r="H935" s="1" t="s">
        <v>74</v>
      </c>
      <c r="I935" s="1" t="s">
        <v>9266</v>
      </c>
      <c r="J935" s="1" t="s">
        <v>9267</v>
      </c>
      <c r="K935" s="1" t="s">
        <v>74</v>
      </c>
      <c r="L935" s="1" t="s">
        <v>74</v>
      </c>
      <c r="M935" s="1" t="s">
        <v>74</v>
      </c>
      <c r="N935" s="1" t="s">
        <v>74</v>
      </c>
      <c r="O935" s="1" t="s">
        <v>74</v>
      </c>
      <c r="P935" s="1" t="s">
        <v>74</v>
      </c>
      <c r="Q935" s="1" t="s">
        <v>74</v>
      </c>
      <c r="R935" s="1" t="s">
        <v>74</v>
      </c>
      <c r="S935" s="1" t="s">
        <v>74</v>
      </c>
      <c r="T935" s="1" t="s">
        <v>74</v>
      </c>
      <c r="U935" s="1" t="s">
        <v>74</v>
      </c>
      <c r="V935" s="1" t="s">
        <v>9268</v>
      </c>
      <c r="W935" s="1" t="s">
        <v>74</v>
      </c>
      <c r="X935" s="1" t="s">
        <v>74</v>
      </c>
      <c r="Y935" s="1" t="s">
        <v>74</v>
      </c>
      <c r="Z935" s="1" t="s">
        <v>74</v>
      </c>
      <c r="AA935" s="1" t="s">
        <v>9269</v>
      </c>
      <c r="AB935" s="1" t="s">
        <v>9270</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9271</v>
      </c>
      <c r="AP935" s="1" t="s">
        <v>74</v>
      </c>
      <c r="AQ935" s="1" t="s">
        <v>74</v>
      </c>
      <c r="AR935" s="1" t="s">
        <v>74</v>
      </c>
      <c r="AS935" s="1" t="s">
        <v>74</v>
      </c>
      <c r="AT935" s="1" t="s">
        <v>74</v>
      </c>
      <c r="AU935" s="1">
        <v>2014.0</v>
      </c>
      <c r="AV935" s="1">
        <v>32.0</v>
      </c>
      <c r="AW935" s="1">
        <v>3.0</v>
      </c>
      <c r="AX935" s="1" t="s">
        <v>74</v>
      </c>
      <c r="AY935" s="1" t="s">
        <v>74</v>
      </c>
      <c r="AZ935" s="1" t="s">
        <v>74</v>
      </c>
      <c r="BA935" s="1" t="s">
        <v>74</v>
      </c>
      <c r="BB935" s="1">
        <v>243.0</v>
      </c>
      <c r="BC935" s="1">
        <v>254.0</v>
      </c>
      <c r="BD935" s="1" t="s">
        <v>74</v>
      </c>
      <c r="BE935" s="1" t="s">
        <v>9272</v>
      </c>
      <c r="BF935" s="2" t="str">
        <f>HYPERLINK("http://dx.doi.org/10.4067/S0718-48082014000300007","http://dx.doi.org/10.4067/S0718-48082014000300007")</f>
        <v>http://dx.doi.org/10.4067/S0718-48082014000300007</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9273</v>
      </c>
      <c r="BT935" s="1" t="str">
        <f>HYPERLINK("https%3A%2F%2Fwww.webofscience.com%2Fwos%2Fwoscc%2Ffull-record%2FWOS:000348454800007","View Full Record in Web of Science")</f>
        <v>View Full Record in Web of Science</v>
      </c>
    </row>
    <row r="936" ht="12.75" customHeight="1">
      <c r="A936" s="1" t="s">
        <v>72</v>
      </c>
      <c r="B936" s="1" t="s">
        <v>9274</v>
      </c>
      <c r="C936" s="1" t="s">
        <v>74</v>
      </c>
      <c r="D936" s="1" t="s">
        <v>74</v>
      </c>
      <c r="E936" s="1" t="s">
        <v>74</v>
      </c>
      <c r="F936" s="1" t="s">
        <v>9275</v>
      </c>
      <c r="G936" s="1" t="s">
        <v>74</v>
      </c>
      <c r="H936" s="1" t="s">
        <v>74</v>
      </c>
      <c r="I936" s="1" t="s">
        <v>9276</v>
      </c>
      <c r="J936" s="1" t="s">
        <v>3110</v>
      </c>
      <c r="K936" s="1" t="s">
        <v>74</v>
      </c>
      <c r="L936" s="1" t="s">
        <v>74</v>
      </c>
      <c r="M936" s="1" t="s">
        <v>74</v>
      </c>
      <c r="N936" s="1" t="s">
        <v>74</v>
      </c>
      <c r="O936" s="1" t="s">
        <v>74</v>
      </c>
      <c r="P936" s="1" t="s">
        <v>74</v>
      </c>
      <c r="Q936" s="1" t="s">
        <v>74</v>
      </c>
      <c r="R936" s="1" t="s">
        <v>74</v>
      </c>
      <c r="S936" s="1" t="s">
        <v>74</v>
      </c>
      <c r="T936" s="1" t="s">
        <v>74</v>
      </c>
      <c r="U936" s="1" t="s">
        <v>74</v>
      </c>
      <c r="V936" s="1" t="s">
        <v>9277</v>
      </c>
      <c r="W936" s="1" t="s">
        <v>74</v>
      </c>
      <c r="X936" s="1" t="s">
        <v>74</v>
      </c>
      <c r="Y936" s="1" t="s">
        <v>74</v>
      </c>
      <c r="Z936" s="1" t="s">
        <v>74</v>
      </c>
      <c r="AA936" s="1" t="s">
        <v>9278</v>
      </c>
      <c r="AB936" s="1" t="s">
        <v>9279</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3114</v>
      </c>
      <c r="AP936" s="1" t="s">
        <v>3115</v>
      </c>
      <c r="AQ936" s="1" t="s">
        <v>74</v>
      </c>
      <c r="AR936" s="1" t="s">
        <v>74</v>
      </c>
      <c r="AS936" s="1" t="s">
        <v>74</v>
      </c>
      <c r="AT936" s="1" t="s">
        <v>9280</v>
      </c>
      <c r="AU936" s="1">
        <v>2013.0</v>
      </c>
      <c r="AV936" s="1">
        <v>453.0</v>
      </c>
      <c r="AW936" s="1" t="s">
        <v>74</v>
      </c>
      <c r="AX936" s="1" t="s">
        <v>74</v>
      </c>
      <c r="AY936" s="1" t="s">
        <v>74</v>
      </c>
      <c r="AZ936" s="1" t="s">
        <v>74</v>
      </c>
      <c r="BA936" s="1" t="s">
        <v>74</v>
      </c>
      <c r="BB936" s="1">
        <v>142.0</v>
      </c>
      <c r="BC936" s="1">
        <v>150.0</v>
      </c>
      <c r="BD936" s="1" t="s">
        <v>74</v>
      </c>
      <c r="BE936" s="1" t="s">
        <v>9281</v>
      </c>
      <c r="BF936" s="2" t="str">
        <f>HYPERLINK("http://dx.doi.org/10.1016/j.apcata.2012.12.012","http://dx.doi.org/10.1016/j.apcata.2012.12.012")</f>
        <v>http://dx.doi.org/10.1016/j.apcata.2012.12.012</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9282</v>
      </c>
      <c r="BT936" s="1" t="str">
        <f>HYPERLINK("https%3A%2F%2Fwww.webofscience.com%2Fwos%2Fwoscc%2Ffull-record%2FWOS:000315610300016","View Full Record in Web of Science")</f>
        <v>View Full Record in Web of Science</v>
      </c>
    </row>
    <row r="937" ht="12.75" customHeight="1">
      <c r="A937" s="1" t="s">
        <v>72</v>
      </c>
      <c r="B937" s="1" t="s">
        <v>9283</v>
      </c>
      <c r="C937" s="1" t="s">
        <v>74</v>
      </c>
      <c r="D937" s="1" t="s">
        <v>74</v>
      </c>
      <c r="E937" s="1" t="s">
        <v>74</v>
      </c>
      <c r="F937" s="1" t="s">
        <v>9284</v>
      </c>
      <c r="G937" s="1" t="s">
        <v>74</v>
      </c>
      <c r="H937" s="1" t="s">
        <v>74</v>
      </c>
      <c r="I937" s="1" t="s">
        <v>9285</v>
      </c>
      <c r="J937" s="1" t="s">
        <v>6246</v>
      </c>
      <c r="K937" s="1" t="s">
        <v>74</v>
      </c>
      <c r="L937" s="1" t="s">
        <v>74</v>
      </c>
      <c r="M937" s="1" t="s">
        <v>74</v>
      </c>
      <c r="N937" s="1" t="s">
        <v>74</v>
      </c>
      <c r="O937" s="1" t="s">
        <v>74</v>
      </c>
      <c r="P937" s="1" t="s">
        <v>74</v>
      </c>
      <c r="Q937" s="1" t="s">
        <v>74</v>
      </c>
      <c r="R937" s="1" t="s">
        <v>74</v>
      </c>
      <c r="S937" s="1" t="s">
        <v>74</v>
      </c>
      <c r="T937" s="1" t="s">
        <v>74</v>
      </c>
      <c r="U937" s="1" t="s">
        <v>74</v>
      </c>
      <c r="V937" s="1" t="s">
        <v>9286</v>
      </c>
      <c r="W937" s="1" t="s">
        <v>74</v>
      </c>
      <c r="X937" s="1" t="s">
        <v>74</v>
      </c>
      <c r="Y937" s="1" t="s">
        <v>74</v>
      </c>
      <c r="Z937" s="1" t="s">
        <v>74</v>
      </c>
      <c r="AA937" s="1" t="s">
        <v>8814</v>
      </c>
      <c r="AB937" s="1" t="s">
        <v>9287</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6250</v>
      </c>
      <c r="AP937" s="1" t="s">
        <v>6251</v>
      </c>
      <c r="AQ937" s="1" t="s">
        <v>74</v>
      </c>
      <c r="AR937" s="1" t="s">
        <v>74</v>
      </c>
      <c r="AS937" s="1" t="s">
        <v>74</v>
      </c>
      <c r="AT937" s="1" t="s">
        <v>974</v>
      </c>
      <c r="AU937" s="1">
        <v>2012.0</v>
      </c>
      <c r="AV937" s="1">
        <v>5.0</v>
      </c>
      <c r="AW937" s="1">
        <v>5.0</v>
      </c>
      <c r="AX937" s="1" t="s">
        <v>74</v>
      </c>
      <c r="AY937" s="1" t="s">
        <v>74</v>
      </c>
      <c r="AZ937" s="1" t="s">
        <v>74</v>
      </c>
      <c r="BA937" s="1" t="s">
        <v>74</v>
      </c>
      <c r="BB937" s="1">
        <v>1686.0</v>
      </c>
      <c r="BC937" s="1">
        <v>1693.0</v>
      </c>
      <c r="BD937" s="1" t="s">
        <v>74</v>
      </c>
      <c r="BE937" s="1" t="s">
        <v>9288</v>
      </c>
      <c r="BF937" s="2" t="str">
        <f>HYPERLINK("http://dx.doi.org/10.1007/s11947-011-0610-y","http://dx.doi.org/10.1007/s11947-011-0610-y")</f>
        <v>http://dx.doi.org/10.1007/s11947-011-0610-y</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9289</v>
      </c>
      <c r="BT937" s="1" t="str">
        <f>HYPERLINK("https%3A%2F%2Fwww.webofscience.com%2Fwos%2Fwoscc%2Ffull-record%2FWOS:000305213500023","View Full Record in Web of Science")</f>
        <v>View Full Record in Web of Science</v>
      </c>
    </row>
    <row r="938" ht="12.75" customHeight="1">
      <c r="A938" s="1" t="s">
        <v>72</v>
      </c>
      <c r="B938" s="1" t="s">
        <v>9290</v>
      </c>
      <c r="C938" s="1" t="s">
        <v>74</v>
      </c>
      <c r="D938" s="1" t="s">
        <v>74</v>
      </c>
      <c r="E938" s="1" t="s">
        <v>74</v>
      </c>
      <c r="F938" s="1" t="s">
        <v>9291</v>
      </c>
      <c r="G938" s="1" t="s">
        <v>74</v>
      </c>
      <c r="H938" s="1" t="s">
        <v>74</v>
      </c>
      <c r="I938" s="1" t="s">
        <v>9292</v>
      </c>
      <c r="J938" s="1" t="s">
        <v>182</v>
      </c>
      <c r="K938" s="1" t="s">
        <v>74</v>
      </c>
      <c r="L938" s="1" t="s">
        <v>74</v>
      </c>
      <c r="M938" s="1" t="s">
        <v>74</v>
      </c>
      <c r="N938" s="1" t="s">
        <v>74</v>
      </c>
      <c r="O938" s="1" t="s">
        <v>74</v>
      </c>
      <c r="P938" s="1" t="s">
        <v>74</v>
      </c>
      <c r="Q938" s="1" t="s">
        <v>74</v>
      </c>
      <c r="R938" s="1" t="s">
        <v>74</v>
      </c>
      <c r="S938" s="1" t="s">
        <v>74</v>
      </c>
      <c r="T938" s="1" t="s">
        <v>74</v>
      </c>
      <c r="U938" s="1" t="s">
        <v>74</v>
      </c>
      <c r="V938" s="1" t="s">
        <v>9293</v>
      </c>
      <c r="W938" s="1" t="s">
        <v>74</v>
      </c>
      <c r="X938" s="1" t="s">
        <v>74</v>
      </c>
      <c r="Y938" s="1" t="s">
        <v>74</v>
      </c>
      <c r="Z938" s="1" t="s">
        <v>74</v>
      </c>
      <c r="AA938" s="1" t="s">
        <v>9294</v>
      </c>
      <c r="AB938" s="1" t="s">
        <v>9295</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186</v>
      </c>
      <c r="AP938" s="1" t="s">
        <v>74</v>
      </c>
      <c r="AQ938" s="1" t="s">
        <v>74</v>
      </c>
      <c r="AR938" s="1" t="s">
        <v>74</v>
      </c>
      <c r="AS938" s="1" t="s">
        <v>74</v>
      </c>
      <c r="AT938" s="1" t="s">
        <v>9296</v>
      </c>
      <c r="AU938" s="1">
        <v>2011.0</v>
      </c>
      <c r="AV938" s="1">
        <v>6.0</v>
      </c>
      <c r="AW938" s="1">
        <v>1.0</v>
      </c>
      <c r="AX938" s="1" t="s">
        <v>74</v>
      </c>
      <c r="AY938" s="1" t="s">
        <v>74</v>
      </c>
      <c r="AZ938" s="1" t="s">
        <v>74</v>
      </c>
      <c r="BA938" s="1" t="s">
        <v>74</v>
      </c>
      <c r="BB938" s="1" t="s">
        <v>74</v>
      </c>
      <c r="BC938" s="1" t="s">
        <v>74</v>
      </c>
      <c r="BD938" s="1" t="s">
        <v>9297</v>
      </c>
      <c r="BE938" s="1" t="s">
        <v>9298</v>
      </c>
      <c r="BF938" s="2" t="str">
        <f>HYPERLINK("http://dx.doi.org/10.1371/journal.pone.0014468","http://dx.doi.org/10.1371/journal.pone.0014468")</f>
        <v>http://dx.doi.org/10.1371/journal.pone.0014468</v>
      </c>
      <c r="BG938" s="1" t="s">
        <v>74</v>
      </c>
      <c r="BH938" s="1" t="s">
        <v>74</v>
      </c>
      <c r="BI938" s="1" t="s">
        <v>74</v>
      </c>
      <c r="BJ938" s="1" t="s">
        <v>74</v>
      </c>
      <c r="BK938" s="1" t="s">
        <v>74</v>
      </c>
      <c r="BL938" s="1" t="s">
        <v>74</v>
      </c>
      <c r="BM938" s="1" t="s">
        <v>74</v>
      </c>
      <c r="BN938" s="1">
        <v>2.1267077E7</v>
      </c>
      <c r="BO938" s="1" t="s">
        <v>74</v>
      </c>
      <c r="BP938" s="1" t="s">
        <v>74</v>
      </c>
      <c r="BQ938" s="1" t="s">
        <v>74</v>
      </c>
      <c r="BR938" s="1" t="s">
        <v>74</v>
      </c>
      <c r="BS938" s="1" t="s">
        <v>9299</v>
      </c>
      <c r="BT938" s="1" t="str">
        <f>HYPERLINK("https%3A%2F%2Fwww.webofscience.com%2Fwos%2Fwoscc%2Ffull-record%2FWOS:000286519500001","View Full Record in Web of Science")</f>
        <v>View Full Record in Web of Science</v>
      </c>
    </row>
    <row r="939" ht="12.75" customHeight="1">
      <c r="A939" s="1" t="s">
        <v>72</v>
      </c>
      <c r="B939" s="1" t="s">
        <v>9300</v>
      </c>
      <c r="C939" s="1" t="s">
        <v>74</v>
      </c>
      <c r="D939" s="1" t="s">
        <v>74</v>
      </c>
      <c r="E939" s="1" t="s">
        <v>74</v>
      </c>
      <c r="F939" s="1" t="s">
        <v>9301</v>
      </c>
      <c r="G939" s="1" t="s">
        <v>74</v>
      </c>
      <c r="H939" s="1" t="s">
        <v>74</v>
      </c>
      <c r="I939" s="1" t="s">
        <v>9302</v>
      </c>
      <c r="J939" s="1" t="s">
        <v>9303</v>
      </c>
      <c r="K939" s="1" t="s">
        <v>74</v>
      </c>
      <c r="L939" s="1" t="s">
        <v>74</v>
      </c>
      <c r="M939" s="1" t="s">
        <v>74</v>
      </c>
      <c r="N939" s="1" t="s">
        <v>74</v>
      </c>
      <c r="O939" s="1" t="s">
        <v>74</v>
      </c>
      <c r="P939" s="1" t="s">
        <v>74</v>
      </c>
      <c r="Q939" s="1" t="s">
        <v>74</v>
      </c>
      <c r="R939" s="1" t="s">
        <v>74</v>
      </c>
      <c r="S939" s="1" t="s">
        <v>74</v>
      </c>
      <c r="T939" s="1" t="s">
        <v>74</v>
      </c>
      <c r="U939" s="1" t="s">
        <v>74</v>
      </c>
      <c r="V939" s="1" t="s">
        <v>9304</v>
      </c>
      <c r="W939" s="1" t="s">
        <v>74</v>
      </c>
      <c r="X939" s="1" t="s">
        <v>74</v>
      </c>
      <c r="Y939" s="1" t="s">
        <v>74</v>
      </c>
      <c r="Z939" s="1" t="s">
        <v>74</v>
      </c>
      <c r="AA939" s="1" t="s">
        <v>74</v>
      </c>
      <c r="AB939" s="1" t="s">
        <v>9305</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9306</v>
      </c>
      <c r="AP939" s="1" t="s">
        <v>9307</v>
      </c>
      <c r="AQ939" s="1" t="s">
        <v>74</v>
      </c>
      <c r="AR939" s="1" t="s">
        <v>74</v>
      </c>
      <c r="AS939" s="1" t="s">
        <v>74</v>
      </c>
      <c r="AT939" s="1" t="s">
        <v>5636</v>
      </c>
      <c r="AU939" s="1">
        <v>2010.0</v>
      </c>
      <c r="AV939" s="1">
        <v>185.0</v>
      </c>
      <c r="AW939" s="1">
        <v>9.0</v>
      </c>
      <c r="AX939" s="1" t="s">
        <v>74</v>
      </c>
      <c r="AY939" s="1" t="s">
        <v>74</v>
      </c>
      <c r="AZ939" s="1" t="s">
        <v>74</v>
      </c>
      <c r="BA939" s="1" t="s">
        <v>74</v>
      </c>
      <c r="BB939" s="1">
        <v>5130.0</v>
      </c>
      <c r="BC939" s="1">
        <v>5139.0</v>
      </c>
      <c r="BD939" s="1" t="s">
        <v>74</v>
      </c>
      <c r="BE939" s="1" t="s">
        <v>9308</v>
      </c>
      <c r="BF939" s="2" t="str">
        <f>HYPERLINK("http://dx.doi.org/10.4049/jimmunol.1001660","http://dx.doi.org/10.4049/jimmunol.1001660")</f>
        <v>http://dx.doi.org/10.4049/jimmunol.1001660</v>
      </c>
      <c r="BG939" s="1" t="s">
        <v>74</v>
      </c>
      <c r="BH939" s="1" t="s">
        <v>74</v>
      </c>
      <c r="BI939" s="1" t="s">
        <v>74</v>
      </c>
      <c r="BJ939" s="1" t="s">
        <v>74</v>
      </c>
      <c r="BK939" s="1" t="s">
        <v>74</v>
      </c>
      <c r="BL939" s="1" t="s">
        <v>74</v>
      </c>
      <c r="BM939" s="1" t="s">
        <v>74</v>
      </c>
      <c r="BN939" s="1">
        <v>2.088954E7</v>
      </c>
      <c r="BO939" s="1" t="s">
        <v>74</v>
      </c>
      <c r="BP939" s="1" t="s">
        <v>74</v>
      </c>
      <c r="BQ939" s="1" t="s">
        <v>74</v>
      </c>
      <c r="BR939" s="1" t="s">
        <v>74</v>
      </c>
      <c r="BS939" s="1" t="s">
        <v>9309</v>
      </c>
      <c r="BT939" s="1" t="str">
        <f>HYPERLINK("https%3A%2F%2Fwww.webofscience.com%2Fwos%2Fwoscc%2Ffull-record%2FWOS:000283248700026","View Full Record in Web of Science")</f>
        <v>View Full Record in Web of Science</v>
      </c>
    </row>
    <row r="940" ht="12.75" customHeight="1">
      <c r="A940" s="1" t="s">
        <v>72</v>
      </c>
      <c r="B940" s="1" t="s">
        <v>9310</v>
      </c>
      <c r="C940" s="1" t="s">
        <v>74</v>
      </c>
      <c r="D940" s="1" t="s">
        <v>74</v>
      </c>
      <c r="E940" s="1" t="s">
        <v>74</v>
      </c>
      <c r="F940" s="1" t="s">
        <v>9311</v>
      </c>
      <c r="G940" s="1" t="s">
        <v>74</v>
      </c>
      <c r="H940" s="1" t="s">
        <v>74</v>
      </c>
      <c r="I940" s="1" t="s">
        <v>9312</v>
      </c>
      <c r="J940" s="1" t="s">
        <v>9313</v>
      </c>
      <c r="K940" s="1" t="s">
        <v>74</v>
      </c>
      <c r="L940" s="1" t="s">
        <v>74</v>
      </c>
      <c r="M940" s="1" t="s">
        <v>74</v>
      </c>
      <c r="N940" s="1" t="s">
        <v>74</v>
      </c>
      <c r="O940" s="1" t="s">
        <v>74</v>
      </c>
      <c r="P940" s="1" t="s">
        <v>74</v>
      </c>
      <c r="Q940" s="1" t="s">
        <v>74</v>
      </c>
      <c r="R940" s="1" t="s">
        <v>74</v>
      </c>
      <c r="S940" s="1" t="s">
        <v>74</v>
      </c>
      <c r="T940" s="1" t="s">
        <v>74</v>
      </c>
      <c r="U940" s="1" t="s">
        <v>74</v>
      </c>
      <c r="V940" s="1" t="s">
        <v>9314</v>
      </c>
      <c r="W940" s="1" t="s">
        <v>74</v>
      </c>
      <c r="X940" s="1" t="s">
        <v>74</v>
      </c>
      <c r="Y940" s="1" t="s">
        <v>74</v>
      </c>
      <c r="Z940" s="1" t="s">
        <v>74</v>
      </c>
      <c r="AA940" s="1" t="s">
        <v>9315</v>
      </c>
      <c r="AB940" s="1" t="s">
        <v>9316</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9317</v>
      </c>
      <c r="AP940" s="1" t="s">
        <v>9318</v>
      </c>
      <c r="AQ940" s="1" t="s">
        <v>74</v>
      </c>
      <c r="AR940" s="1" t="s">
        <v>74</v>
      </c>
      <c r="AS940" s="1" t="s">
        <v>74</v>
      </c>
      <c r="AT940" s="1" t="s">
        <v>176</v>
      </c>
      <c r="AU940" s="1">
        <v>2010.0</v>
      </c>
      <c r="AV940" s="1" t="s">
        <v>74</v>
      </c>
      <c r="AW940" s="1">
        <v>9.0</v>
      </c>
      <c r="AX940" s="1" t="s">
        <v>74</v>
      </c>
      <c r="AY940" s="1" t="s">
        <v>74</v>
      </c>
      <c r="AZ940" s="1" t="s">
        <v>74</v>
      </c>
      <c r="BA940" s="1" t="s">
        <v>74</v>
      </c>
      <c r="BB940" s="1">
        <v>1373.0</v>
      </c>
      <c r="BC940" s="1">
        <v>1380.0</v>
      </c>
      <c r="BD940" s="1" t="s">
        <v>74</v>
      </c>
      <c r="BE940" s="1" t="s">
        <v>9319</v>
      </c>
      <c r="BF940" s="2" t="str">
        <f>HYPERLINK("http://dx.doi.org/10.1002/ejic.200900298","http://dx.doi.org/10.1002/ejic.200900298")</f>
        <v>http://dx.doi.org/10.1002/ejic.200900298</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9320</v>
      </c>
      <c r="BT940" s="1" t="str">
        <f>HYPERLINK("https%3A%2F%2Fwww.webofscience.com%2Fwos%2Fwoscc%2Ffull-record%2FWOS:000276370300007","View Full Record in Web of Science")</f>
        <v>View Full Record in Web of Science</v>
      </c>
    </row>
    <row r="941" ht="12.75" customHeight="1">
      <c r="A941" s="1" t="s">
        <v>320</v>
      </c>
      <c r="B941" s="1" t="s">
        <v>9321</v>
      </c>
      <c r="C941" s="1" t="s">
        <v>74</v>
      </c>
      <c r="D941" s="1" t="s">
        <v>9322</v>
      </c>
      <c r="E941" s="1" t="s">
        <v>74</v>
      </c>
      <c r="F941" s="1" t="s">
        <v>9323</v>
      </c>
      <c r="G941" s="1" t="s">
        <v>74</v>
      </c>
      <c r="H941" s="1" t="s">
        <v>74</v>
      </c>
      <c r="I941" s="1" t="s">
        <v>9324</v>
      </c>
      <c r="J941" s="1" t="s">
        <v>9325</v>
      </c>
      <c r="K941" s="1" t="s">
        <v>9326</v>
      </c>
      <c r="L941" s="1" t="s">
        <v>74</v>
      </c>
      <c r="M941" s="1" t="s">
        <v>74</v>
      </c>
      <c r="N941" s="1" t="s">
        <v>74</v>
      </c>
      <c r="O941" s="1" t="s">
        <v>74</v>
      </c>
      <c r="P941" s="1" t="s">
        <v>74</v>
      </c>
      <c r="Q941" s="1" t="s">
        <v>74</v>
      </c>
      <c r="R941" s="1" t="s">
        <v>74</v>
      </c>
      <c r="S941" s="1" t="s">
        <v>74</v>
      </c>
      <c r="T941" s="1" t="s">
        <v>74</v>
      </c>
      <c r="U941" s="1" t="s">
        <v>74</v>
      </c>
      <c r="V941" s="1" t="s">
        <v>9327</v>
      </c>
      <c r="W941" s="1" t="s">
        <v>74</v>
      </c>
      <c r="X941" s="1" t="s">
        <v>74</v>
      </c>
      <c r="Y941" s="1" t="s">
        <v>74</v>
      </c>
      <c r="Z941" s="1" t="s">
        <v>74</v>
      </c>
      <c r="AA941" s="1" t="s">
        <v>74</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9328</v>
      </c>
      <c r="AP941" s="1" t="s">
        <v>74</v>
      </c>
      <c r="AQ941" s="1" t="s">
        <v>9329</v>
      </c>
      <c r="AR941" s="1" t="s">
        <v>74</v>
      </c>
      <c r="AS941" s="1" t="s">
        <v>74</v>
      </c>
      <c r="AT941" s="1" t="s">
        <v>74</v>
      </c>
      <c r="AU941" s="1">
        <v>2010.0</v>
      </c>
      <c r="AV941" s="1">
        <v>36.0</v>
      </c>
      <c r="AW941" s="1" t="s">
        <v>74</v>
      </c>
      <c r="AX941" s="1" t="s">
        <v>74</v>
      </c>
      <c r="AY941" s="1" t="s">
        <v>74</v>
      </c>
      <c r="AZ941" s="1" t="s">
        <v>74</v>
      </c>
      <c r="BA941" s="1" t="s">
        <v>74</v>
      </c>
      <c r="BB941" s="1">
        <v>273.0</v>
      </c>
      <c r="BC941" s="1">
        <v>296.0</v>
      </c>
      <c r="BD941" s="1" t="s">
        <v>74</v>
      </c>
      <c r="BE941" s="1" t="s">
        <v>74</v>
      </c>
      <c r="BF941" s="1" t="s">
        <v>74</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9330</v>
      </c>
      <c r="BT941" s="1" t="str">
        <f>HYPERLINK("https%3A%2F%2Fwww.webofscience.com%2Fwos%2Fwoscc%2Ffull-record%2FWOS:000305187500011","View Full Record in Web of Science")</f>
        <v>View Full Record in Web of Science</v>
      </c>
    </row>
    <row r="942" ht="12.75" customHeight="1">
      <c r="A942" s="1" t="s">
        <v>72</v>
      </c>
      <c r="B942" s="1" t="s">
        <v>9331</v>
      </c>
      <c r="C942" s="1" t="s">
        <v>74</v>
      </c>
      <c r="D942" s="1" t="s">
        <v>74</v>
      </c>
      <c r="E942" s="1" t="s">
        <v>74</v>
      </c>
      <c r="F942" s="1" t="s">
        <v>9332</v>
      </c>
      <c r="G942" s="1" t="s">
        <v>74</v>
      </c>
      <c r="H942" s="1" t="s">
        <v>74</v>
      </c>
      <c r="I942" s="1" t="s">
        <v>9333</v>
      </c>
      <c r="J942" s="1" t="s">
        <v>9334</v>
      </c>
      <c r="K942" s="1" t="s">
        <v>74</v>
      </c>
      <c r="L942" s="1" t="s">
        <v>74</v>
      </c>
      <c r="M942" s="1" t="s">
        <v>74</v>
      </c>
      <c r="N942" s="1" t="s">
        <v>74</v>
      </c>
      <c r="O942" s="1" t="s">
        <v>9335</v>
      </c>
      <c r="P942" s="1" t="s">
        <v>9336</v>
      </c>
      <c r="Q942" s="1" t="s">
        <v>9337</v>
      </c>
      <c r="R942" s="1" t="s">
        <v>9338</v>
      </c>
      <c r="S942" s="1" t="s">
        <v>74</v>
      </c>
      <c r="T942" s="1" t="s">
        <v>74</v>
      </c>
      <c r="U942" s="1" t="s">
        <v>74</v>
      </c>
      <c r="V942" s="1" t="s">
        <v>9339</v>
      </c>
      <c r="W942" s="1" t="s">
        <v>74</v>
      </c>
      <c r="X942" s="1" t="s">
        <v>74</v>
      </c>
      <c r="Y942" s="1" t="s">
        <v>74</v>
      </c>
      <c r="Z942" s="1" t="s">
        <v>74</v>
      </c>
      <c r="AA942" s="1" t="s">
        <v>9340</v>
      </c>
      <c r="AB942" s="1" t="s">
        <v>9341</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9342</v>
      </c>
      <c r="AP942" s="1" t="s">
        <v>9343</v>
      </c>
      <c r="AQ942" s="1" t="s">
        <v>74</v>
      </c>
      <c r="AR942" s="1" t="s">
        <v>74</v>
      </c>
      <c r="AS942" s="1" t="s">
        <v>74</v>
      </c>
      <c r="AT942" s="1" t="s">
        <v>83</v>
      </c>
      <c r="AU942" s="1">
        <v>2009.0</v>
      </c>
      <c r="AV942" s="1" t="s">
        <v>9344</v>
      </c>
      <c r="AW942" s="1" t="s">
        <v>74</v>
      </c>
      <c r="AX942" s="1" t="s">
        <v>74</v>
      </c>
      <c r="AY942" s="1" t="s">
        <v>74</v>
      </c>
      <c r="AZ942" s="1" t="s">
        <v>74</v>
      </c>
      <c r="BA942" s="1" t="s">
        <v>74</v>
      </c>
      <c r="BB942" s="1" t="s">
        <v>74</v>
      </c>
      <c r="BC942" s="1" t="s">
        <v>74</v>
      </c>
      <c r="BD942" s="1">
        <v>14004.0</v>
      </c>
      <c r="BE942" s="1" t="s">
        <v>9345</v>
      </c>
      <c r="BF942" s="2" t="str">
        <f>HYPERLINK("http://dx.doi.org/10.1088/0031-8949/2009/T137/014004","http://dx.doi.org/10.1088/0031-8949/2009/T137/014004")</f>
        <v>http://dx.doi.org/10.1088/0031-8949/2009/T137/014004</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9346</v>
      </c>
      <c r="BT942" s="1" t="str">
        <f>HYPERLINK("https%3A%2F%2Fwww.webofscience.com%2Fwos%2Fwoscc%2Ffull-record%2FWOS:000272834700005","View Full Record in Web of Science")</f>
        <v>View Full Record in Web of Science</v>
      </c>
    </row>
    <row r="943" ht="12.75" customHeight="1">
      <c r="A943" s="1" t="s">
        <v>72</v>
      </c>
      <c r="B943" s="1" t="s">
        <v>9347</v>
      </c>
      <c r="C943" s="1" t="s">
        <v>74</v>
      </c>
      <c r="D943" s="1" t="s">
        <v>74</v>
      </c>
      <c r="E943" s="1" t="s">
        <v>74</v>
      </c>
      <c r="F943" s="1" t="s">
        <v>9348</v>
      </c>
      <c r="G943" s="1" t="s">
        <v>74</v>
      </c>
      <c r="H943" s="1" t="s">
        <v>74</v>
      </c>
      <c r="I943" s="1" t="s">
        <v>9349</v>
      </c>
      <c r="J943" s="1" t="s">
        <v>3059</v>
      </c>
      <c r="K943" s="1" t="s">
        <v>74</v>
      </c>
      <c r="L943" s="1" t="s">
        <v>74</v>
      </c>
      <c r="M943" s="1" t="s">
        <v>74</v>
      </c>
      <c r="N943" s="1" t="s">
        <v>74</v>
      </c>
      <c r="O943" s="1" t="s">
        <v>74</v>
      </c>
      <c r="P943" s="1" t="s">
        <v>74</v>
      </c>
      <c r="Q943" s="1" t="s">
        <v>74</v>
      </c>
      <c r="R943" s="1" t="s">
        <v>74</v>
      </c>
      <c r="S943" s="1" t="s">
        <v>74</v>
      </c>
      <c r="T943" s="1" t="s">
        <v>74</v>
      </c>
      <c r="U943" s="1" t="s">
        <v>74</v>
      </c>
      <c r="V943" s="1" t="s">
        <v>9350</v>
      </c>
      <c r="W943" s="1" t="s">
        <v>74</v>
      </c>
      <c r="X943" s="1" t="s">
        <v>74</v>
      </c>
      <c r="Y943" s="1" t="s">
        <v>74</v>
      </c>
      <c r="Z943" s="1" t="s">
        <v>74</v>
      </c>
      <c r="AA943" s="1" t="s">
        <v>9351</v>
      </c>
      <c r="AB943" s="1" t="s">
        <v>9352</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3063</v>
      </c>
      <c r="AP943" s="1" t="s">
        <v>3064</v>
      </c>
      <c r="AQ943" s="1" t="s">
        <v>74</v>
      </c>
      <c r="AR943" s="1" t="s">
        <v>74</v>
      </c>
      <c r="AS943" s="1" t="s">
        <v>74</v>
      </c>
      <c r="AT943" s="1" t="s">
        <v>4404</v>
      </c>
      <c r="AU943" s="1">
        <v>2008.0</v>
      </c>
      <c r="AV943" s="1">
        <v>104.0</v>
      </c>
      <c r="AW943" s="1">
        <v>1.0</v>
      </c>
      <c r="AX943" s="1" t="s">
        <v>74</v>
      </c>
      <c r="AY943" s="1" t="s">
        <v>74</v>
      </c>
      <c r="AZ943" s="1" t="s">
        <v>74</v>
      </c>
      <c r="BA943" s="1" t="s">
        <v>74</v>
      </c>
      <c r="BB943" s="1" t="s">
        <v>74</v>
      </c>
      <c r="BC943" s="1" t="s">
        <v>74</v>
      </c>
      <c r="BD943" s="1">
        <v>13907.0</v>
      </c>
      <c r="BE943" s="1" t="s">
        <v>9353</v>
      </c>
      <c r="BF943" s="2" t="str">
        <f>HYPERLINK("http://dx.doi.org/10.1063/1.2939264","http://dx.doi.org/10.1063/1.2939264")</f>
        <v>http://dx.doi.org/10.1063/1.2939264</v>
      </c>
      <c r="BG943" s="1" t="s">
        <v>74</v>
      </c>
      <c r="BH943" s="1" t="s">
        <v>74</v>
      </c>
      <c r="BI943" s="1" t="s">
        <v>74</v>
      </c>
      <c r="BJ943" s="1" t="s">
        <v>74</v>
      </c>
      <c r="BK943" s="1" t="s">
        <v>74</v>
      </c>
      <c r="BL943" s="1" t="s">
        <v>74</v>
      </c>
      <c r="BM943" s="1" t="s">
        <v>74</v>
      </c>
      <c r="BN943" s="1" t="s">
        <v>74</v>
      </c>
      <c r="BO943" s="1" t="s">
        <v>74</v>
      </c>
      <c r="BP943" s="1" t="s">
        <v>74</v>
      </c>
      <c r="BQ943" s="1" t="s">
        <v>74</v>
      </c>
      <c r="BR943" s="1" t="s">
        <v>74</v>
      </c>
      <c r="BS943" s="1" t="s">
        <v>9354</v>
      </c>
      <c r="BT943" s="1" t="str">
        <f>HYPERLINK("https%3A%2F%2Fwww.webofscience.com%2Fwos%2Fwoscc%2Ffull-record%2FWOS:000257766500079","View Full Record in Web of Science")</f>
        <v>View Full Record in Web of Science</v>
      </c>
    </row>
    <row r="944" ht="12.75" customHeight="1">
      <c r="A944" s="1" t="s">
        <v>72</v>
      </c>
      <c r="B944" s="1" t="s">
        <v>9355</v>
      </c>
      <c r="C944" s="1" t="s">
        <v>74</v>
      </c>
      <c r="D944" s="1" t="s">
        <v>74</v>
      </c>
      <c r="E944" s="1" t="s">
        <v>74</v>
      </c>
      <c r="F944" s="1" t="s">
        <v>9355</v>
      </c>
      <c r="G944" s="1" t="s">
        <v>74</v>
      </c>
      <c r="H944" s="1" t="s">
        <v>74</v>
      </c>
      <c r="I944" s="1" t="s">
        <v>9356</v>
      </c>
      <c r="J944" s="1" t="s">
        <v>948</v>
      </c>
      <c r="K944" s="1" t="s">
        <v>74</v>
      </c>
      <c r="L944" s="1" t="s">
        <v>74</v>
      </c>
      <c r="M944" s="1" t="s">
        <v>74</v>
      </c>
      <c r="N944" s="1" t="s">
        <v>74</v>
      </c>
      <c r="O944" s="1" t="s">
        <v>74</v>
      </c>
      <c r="P944" s="1" t="s">
        <v>74</v>
      </c>
      <c r="Q944" s="1" t="s">
        <v>74</v>
      </c>
      <c r="R944" s="1" t="s">
        <v>74</v>
      </c>
      <c r="S944" s="1" t="s">
        <v>74</v>
      </c>
      <c r="T944" s="1" t="s">
        <v>74</v>
      </c>
      <c r="U944" s="1" t="s">
        <v>74</v>
      </c>
      <c r="V944" s="1" t="s">
        <v>9357</v>
      </c>
      <c r="W944" s="1" t="s">
        <v>74</v>
      </c>
      <c r="X944" s="1" t="s">
        <v>74</v>
      </c>
      <c r="Y944" s="1" t="s">
        <v>74</v>
      </c>
      <c r="Z944" s="1" t="s">
        <v>74</v>
      </c>
      <c r="AA944" s="1" t="s">
        <v>74</v>
      </c>
      <c r="AB944" s="1" t="s">
        <v>9358</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2687</v>
      </c>
      <c r="AP944" s="1" t="s">
        <v>74</v>
      </c>
      <c r="AQ944" s="1" t="s">
        <v>74</v>
      </c>
      <c r="AR944" s="1" t="s">
        <v>74</v>
      </c>
      <c r="AS944" s="1" t="s">
        <v>74</v>
      </c>
      <c r="AT944" s="1" t="s">
        <v>176</v>
      </c>
      <c r="AU944" s="1">
        <v>2004.0</v>
      </c>
      <c r="AV944" s="1">
        <v>49.0</v>
      </c>
      <c r="AW944" s="1">
        <v>1.0</v>
      </c>
      <c r="AX944" s="1" t="s">
        <v>74</v>
      </c>
      <c r="AY944" s="1" t="s">
        <v>74</v>
      </c>
      <c r="AZ944" s="1" t="s">
        <v>74</v>
      </c>
      <c r="BA944" s="1" t="s">
        <v>74</v>
      </c>
      <c r="BB944" s="1">
        <v>83.0</v>
      </c>
      <c r="BC944" s="1">
        <v>87.0</v>
      </c>
      <c r="BD944" s="1" t="s">
        <v>74</v>
      </c>
      <c r="BE944" s="1" t="s">
        <v>74</v>
      </c>
      <c r="BF944" s="1" t="s">
        <v>74</v>
      </c>
      <c r="BG944" s="1" t="s">
        <v>74</v>
      </c>
      <c r="BH944" s="1" t="s">
        <v>74</v>
      </c>
      <c r="BI944" s="1" t="s">
        <v>74</v>
      </c>
      <c r="BJ944" s="1" t="s">
        <v>74</v>
      </c>
      <c r="BK944" s="1" t="s">
        <v>74</v>
      </c>
      <c r="BL944" s="1" t="s">
        <v>74</v>
      </c>
      <c r="BM944" s="1" t="s">
        <v>74</v>
      </c>
      <c r="BN944" s="1" t="s">
        <v>74</v>
      </c>
      <c r="BO944" s="1" t="s">
        <v>74</v>
      </c>
      <c r="BP944" s="1" t="s">
        <v>74</v>
      </c>
      <c r="BQ944" s="1" t="s">
        <v>74</v>
      </c>
      <c r="BR944" s="1" t="s">
        <v>74</v>
      </c>
      <c r="BS944" s="1" t="s">
        <v>9359</v>
      </c>
      <c r="BT944" s="1" t="str">
        <f>HYPERLINK("https%3A%2F%2Fwww.webofscience.com%2Fwos%2Fwoscc%2Ffull-record%2FWOS:000189308600014","View Full Record in Web of Science")</f>
        <v>View Full Record in Web of Science</v>
      </c>
    </row>
    <row r="945" ht="12.75" customHeight="1">
      <c r="A945" s="1" t="s">
        <v>72</v>
      </c>
      <c r="B945" s="1" t="s">
        <v>9360</v>
      </c>
      <c r="C945" s="1" t="s">
        <v>74</v>
      </c>
      <c r="D945" s="1" t="s">
        <v>74</v>
      </c>
      <c r="E945" s="1" t="s">
        <v>74</v>
      </c>
      <c r="F945" s="1" t="s">
        <v>9360</v>
      </c>
      <c r="G945" s="1" t="s">
        <v>74</v>
      </c>
      <c r="H945" s="1" t="s">
        <v>74</v>
      </c>
      <c r="I945" s="1" t="s">
        <v>9361</v>
      </c>
      <c r="J945" s="1" t="s">
        <v>6531</v>
      </c>
      <c r="K945" s="1" t="s">
        <v>74</v>
      </c>
      <c r="L945" s="1" t="s">
        <v>74</v>
      </c>
      <c r="M945" s="1" t="s">
        <v>74</v>
      </c>
      <c r="N945" s="1" t="s">
        <v>74</v>
      </c>
      <c r="O945" s="1" t="s">
        <v>74</v>
      </c>
      <c r="P945" s="1" t="s">
        <v>74</v>
      </c>
      <c r="Q945" s="1" t="s">
        <v>74</v>
      </c>
      <c r="R945" s="1" t="s">
        <v>74</v>
      </c>
      <c r="S945" s="1" t="s">
        <v>74</v>
      </c>
      <c r="T945" s="1" t="s">
        <v>74</v>
      </c>
      <c r="U945" s="1" t="s">
        <v>74</v>
      </c>
      <c r="V945" s="1" t="s">
        <v>9362</v>
      </c>
      <c r="W945" s="1" t="s">
        <v>74</v>
      </c>
      <c r="X945" s="1" t="s">
        <v>74</v>
      </c>
      <c r="Y945" s="1" t="s">
        <v>74</v>
      </c>
      <c r="Z945" s="1" t="s">
        <v>74</v>
      </c>
      <c r="AA945" s="1" t="s">
        <v>74</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6533</v>
      </c>
      <c r="AP945" s="1" t="s">
        <v>74</v>
      </c>
      <c r="AQ945" s="1" t="s">
        <v>74</v>
      </c>
      <c r="AR945" s="1" t="s">
        <v>74</v>
      </c>
      <c r="AS945" s="1" t="s">
        <v>74</v>
      </c>
      <c r="AT945" s="1" t="s">
        <v>74</v>
      </c>
      <c r="AU945" s="1">
        <v>2000.0</v>
      </c>
      <c r="AV945" s="1">
        <v>215.0</v>
      </c>
      <c r="AW945" s="1">
        <v>3.0</v>
      </c>
      <c r="AX945" s="1" t="s">
        <v>74</v>
      </c>
      <c r="AY945" s="1" t="s">
        <v>74</v>
      </c>
      <c r="AZ945" s="1" t="s">
        <v>74</v>
      </c>
      <c r="BA945" s="1" t="s">
        <v>74</v>
      </c>
      <c r="BB945" s="1">
        <v>415.0</v>
      </c>
      <c r="BC945" s="1">
        <v>417.0</v>
      </c>
      <c r="BD945" s="1" t="s">
        <v>74</v>
      </c>
      <c r="BE945" s="1" t="s">
        <v>74</v>
      </c>
      <c r="BF945" s="1" t="s">
        <v>74</v>
      </c>
      <c r="BG945" s="1" t="s">
        <v>74</v>
      </c>
      <c r="BH945" s="1" t="s">
        <v>74</v>
      </c>
      <c r="BI945" s="1" t="s">
        <v>74</v>
      </c>
      <c r="BJ945" s="1" t="s">
        <v>74</v>
      </c>
      <c r="BK945" s="1" t="s">
        <v>74</v>
      </c>
      <c r="BL945" s="1" t="s">
        <v>74</v>
      </c>
      <c r="BM945" s="1" t="s">
        <v>74</v>
      </c>
      <c r="BN945" s="1" t="s">
        <v>74</v>
      </c>
      <c r="BO945" s="1" t="s">
        <v>74</v>
      </c>
      <c r="BP945" s="1" t="s">
        <v>74</v>
      </c>
      <c r="BQ945" s="1" t="s">
        <v>74</v>
      </c>
      <c r="BR945" s="1" t="s">
        <v>74</v>
      </c>
      <c r="BS945" s="1" t="s">
        <v>9363</v>
      </c>
      <c r="BT945" s="1" t="str">
        <f>HYPERLINK("https%3A%2F%2Fwww.webofscience.com%2Fwos%2Fwoscc%2Ffull-record%2FWOS:000088244800053","View Full Record in Web of Science")</f>
        <v>View Full Record in Web of Science</v>
      </c>
    </row>
    <row r="946" ht="12.75" customHeight="1">
      <c r="A946" s="1" t="s">
        <v>72</v>
      </c>
      <c r="B946" s="1" t="s">
        <v>9364</v>
      </c>
      <c r="C946" s="1" t="s">
        <v>74</v>
      </c>
      <c r="D946" s="1" t="s">
        <v>74</v>
      </c>
      <c r="E946" s="1" t="s">
        <v>74</v>
      </c>
      <c r="F946" s="1" t="s">
        <v>9365</v>
      </c>
      <c r="G946" s="1" t="s">
        <v>74</v>
      </c>
      <c r="H946" s="1" t="s">
        <v>74</v>
      </c>
      <c r="I946" s="1" t="s">
        <v>9366</v>
      </c>
      <c r="J946" s="1" t="s">
        <v>9367</v>
      </c>
      <c r="K946" s="1" t="s">
        <v>74</v>
      </c>
      <c r="L946" s="1" t="s">
        <v>74</v>
      </c>
      <c r="M946" s="1" t="s">
        <v>74</v>
      </c>
      <c r="N946" s="1" t="s">
        <v>74</v>
      </c>
      <c r="O946" s="1" t="s">
        <v>74</v>
      </c>
      <c r="P946" s="1" t="s">
        <v>74</v>
      </c>
      <c r="Q946" s="1" t="s">
        <v>74</v>
      </c>
      <c r="R946" s="1" t="s">
        <v>74</v>
      </c>
      <c r="S946" s="1" t="s">
        <v>74</v>
      </c>
      <c r="T946" s="1" t="s">
        <v>74</v>
      </c>
      <c r="U946" s="1" t="s">
        <v>74</v>
      </c>
      <c r="V946" s="1" t="s">
        <v>9368</v>
      </c>
      <c r="W946" s="1" t="s">
        <v>74</v>
      </c>
      <c r="X946" s="1" t="s">
        <v>74</v>
      </c>
      <c r="Y946" s="1" t="s">
        <v>74</v>
      </c>
      <c r="Z946" s="1" t="s">
        <v>74</v>
      </c>
      <c r="AA946" s="1" t="s">
        <v>7015</v>
      </c>
      <c r="AB946" s="1" t="s">
        <v>9369</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9370</v>
      </c>
      <c r="AP946" s="1" t="s">
        <v>9371</v>
      </c>
      <c r="AQ946" s="1" t="s">
        <v>74</v>
      </c>
      <c r="AR946" s="1" t="s">
        <v>74</v>
      </c>
      <c r="AS946" s="1" t="s">
        <v>74</v>
      </c>
      <c r="AT946" s="1" t="s">
        <v>9372</v>
      </c>
      <c r="AU946" s="1">
        <v>2025.0</v>
      </c>
      <c r="AV946" s="1">
        <v>52.0</v>
      </c>
      <c r="AW946" s="1">
        <v>5.0</v>
      </c>
      <c r="AX946" s="1" t="s">
        <v>74</v>
      </c>
      <c r="AY946" s="1" t="s">
        <v>74</v>
      </c>
      <c r="AZ946" s="1" t="s">
        <v>74</v>
      </c>
      <c r="BA946" s="1" t="s">
        <v>74</v>
      </c>
      <c r="BB946" s="1" t="s">
        <v>74</v>
      </c>
      <c r="BC946" s="1" t="s">
        <v>74</v>
      </c>
      <c r="BD946" s="1" t="s">
        <v>9373</v>
      </c>
      <c r="BE946" s="1" t="s">
        <v>9374</v>
      </c>
      <c r="BF946" s="2" t="str">
        <f>HYPERLINK("http://dx.doi.org/10.1029/2024GL114315","http://dx.doi.org/10.1029/2024GL114315")</f>
        <v>http://dx.doi.org/10.1029/2024GL114315</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9375</v>
      </c>
      <c r="BT946" s="1" t="str">
        <f>HYPERLINK("https%3A%2F%2Fwww.webofscience.com%2Fwos%2Fwoscc%2Ffull-record%2FWOS:001434794200001","View Full Record in Web of Science")</f>
        <v>View Full Record in Web of Science</v>
      </c>
    </row>
    <row r="947" ht="12.75" customHeight="1">
      <c r="A947" s="1" t="s">
        <v>72</v>
      </c>
      <c r="B947" s="1" t="s">
        <v>9376</v>
      </c>
      <c r="C947" s="1" t="s">
        <v>74</v>
      </c>
      <c r="D947" s="1" t="s">
        <v>74</v>
      </c>
      <c r="E947" s="1" t="s">
        <v>74</v>
      </c>
      <c r="F947" s="1" t="s">
        <v>9377</v>
      </c>
      <c r="G947" s="1" t="s">
        <v>74</v>
      </c>
      <c r="H947" s="1" t="s">
        <v>74</v>
      </c>
      <c r="I947" s="1" t="s">
        <v>9378</v>
      </c>
      <c r="J947" s="1" t="s">
        <v>3369</v>
      </c>
      <c r="K947" s="1" t="s">
        <v>74</v>
      </c>
      <c r="L947" s="1" t="s">
        <v>74</v>
      </c>
      <c r="M947" s="1" t="s">
        <v>74</v>
      </c>
      <c r="N947" s="1" t="s">
        <v>74</v>
      </c>
      <c r="O947" s="1" t="s">
        <v>74</v>
      </c>
      <c r="P947" s="1" t="s">
        <v>74</v>
      </c>
      <c r="Q947" s="1" t="s">
        <v>74</v>
      </c>
      <c r="R947" s="1" t="s">
        <v>74</v>
      </c>
      <c r="S947" s="1" t="s">
        <v>74</v>
      </c>
      <c r="T947" s="1" t="s">
        <v>74</v>
      </c>
      <c r="U947" s="1" t="s">
        <v>74</v>
      </c>
      <c r="V947" s="1" t="s">
        <v>9379</v>
      </c>
      <c r="W947" s="1" t="s">
        <v>74</v>
      </c>
      <c r="X947" s="1" t="s">
        <v>74</v>
      </c>
      <c r="Y947" s="1" t="s">
        <v>74</v>
      </c>
      <c r="Z947" s="1" t="s">
        <v>74</v>
      </c>
      <c r="AA947" s="1" t="s">
        <v>74</v>
      </c>
      <c r="AB947" s="1" t="s">
        <v>74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3373</v>
      </c>
      <c r="AP947" s="1" t="s">
        <v>74</v>
      </c>
      <c r="AQ947" s="1" t="s">
        <v>74</v>
      </c>
      <c r="AR947" s="1" t="s">
        <v>74</v>
      </c>
      <c r="AS947" s="1" t="s">
        <v>74</v>
      </c>
      <c r="AT947" s="1" t="s">
        <v>4488</v>
      </c>
      <c r="AU947" s="1">
        <v>2024.0</v>
      </c>
      <c r="AV947" s="1">
        <v>15.0</v>
      </c>
      <c r="AW947" s="1" t="s">
        <v>74</v>
      </c>
      <c r="AX947" s="1" t="s">
        <v>74</v>
      </c>
      <c r="AY947" s="1" t="s">
        <v>74</v>
      </c>
      <c r="AZ947" s="1" t="s">
        <v>74</v>
      </c>
      <c r="BA947" s="1" t="s">
        <v>74</v>
      </c>
      <c r="BB947" s="1" t="s">
        <v>74</v>
      </c>
      <c r="BC947" s="1" t="s">
        <v>74</v>
      </c>
      <c r="BD947" s="1">
        <v>1395990.0</v>
      </c>
      <c r="BE947" s="1" t="s">
        <v>9380</v>
      </c>
      <c r="BF947" s="2" t="str">
        <f>HYPERLINK("http://dx.doi.org/10.3389/fpsyg.2024.1395990","http://dx.doi.org/10.3389/fpsyg.2024.1395990")</f>
        <v>http://dx.doi.org/10.3389/fpsyg.2024.1395990</v>
      </c>
      <c r="BG947" s="1" t="s">
        <v>74</v>
      </c>
      <c r="BH947" s="1" t="s">
        <v>74</v>
      </c>
      <c r="BI947" s="1" t="s">
        <v>74</v>
      </c>
      <c r="BJ947" s="1" t="s">
        <v>74</v>
      </c>
      <c r="BK947" s="1" t="s">
        <v>74</v>
      </c>
      <c r="BL947" s="1" t="s">
        <v>74</v>
      </c>
      <c r="BM947" s="1" t="s">
        <v>74</v>
      </c>
      <c r="BN947" s="1">
        <v>3.8979066E7</v>
      </c>
      <c r="BO947" s="1" t="s">
        <v>74</v>
      </c>
      <c r="BP947" s="1" t="s">
        <v>74</v>
      </c>
      <c r="BQ947" s="1" t="s">
        <v>74</v>
      </c>
      <c r="BR947" s="1" t="s">
        <v>74</v>
      </c>
      <c r="BS947" s="1" t="s">
        <v>9381</v>
      </c>
      <c r="BT947" s="1" t="str">
        <f>HYPERLINK("https%3A%2F%2Fwww.webofscience.com%2Fwos%2Fwoscc%2Ffull-record%2FWOS:001263997600001","View Full Record in Web of Science")</f>
        <v>View Full Record in Web of Science</v>
      </c>
    </row>
    <row r="948" ht="12.75" customHeight="1">
      <c r="A948" s="1" t="s">
        <v>72</v>
      </c>
      <c r="B948" s="1" t="s">
        <v>9382</v>
      </c>
      <c r="C948" s="1" t="s">
        <v>74</v>
      </c>
      <c r="D948" s="1" t="s">
        <v>74</v>
      </c>
      <c r="E948" s="1" t="s">
        <v>74</v>
      </c>
      <c r="F948" s="1" t="s">
        <v>9383</v>
      </c>
      <c r="G948" s="1" t="s">
        <v>74</v>
      </c>
      <c r="H948" s="1" t="s">
        <v>74</v>
      </c>
      <c r="I948" s="1" t="s">
        <v>9384</v>
      </c>
      <c r="J948" s="1" t="s">
        <v>9385</v>
      </c>
      <c r="K948" s="1" t="s">
        <v>74</v>
      </c>
      <c r="L948" s="1" t="s">
        <v>74</v>
      </c>
      <c r="M948" s="1" t="s">
        <v>74</v>
      </c>
      <c r="N948" s="1" t="s">
        <v>74</v>
      </c>
      <c r="O948" s="1" t="s">
        <v>74</v>
      </c>
      <c r="P948" s="1" t="s">
        <v>74</v>
      </c>
      <c r="Q948" s="1" t="s">
        <v>74</v>
      </c>
      <c r="R948" s="1" t="s">
        <v>74</v>
      </c>
      <c r="S948" s="1" t="s">
        <v>74</v>
      </c>
      <c r="T948" s="1" t="s">
        <v>74</v>
      </c>
      <c r="U948" s="1" t="s">
        <v>74</v>
      </c>
      <c r="V948" s="1" t="s">
        <v>9386</v>
      </c>
      <c r="W948" s="1" t="s">
        <v>74</v>
      </c>
      <c r="X948" s="1" t="s">
        <v>74</v>
      </c>
      <c r="Y948" s="1" t="s">
        <v>74</v>
      </c>
      <c r="Z948" s="1" t="s">
        <v>74</v>
      </c>
      <c r="AA948" s="1" t="s">
        <v>9387</v>
      </c>
      <c r="AB948" s="1" t="s">
        <v>9388</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9389</v>
      </c>
      <c r="AP948" s="1" t="s">
        <v>9390</v>
      </c>
      <c r="AQ948" s="1" t="s">
        <v>74</v>
      </c>
      <c r="AR948" s="1" t="s">
        <v>74</v>
      </c>
      <c r="AS948" s="1" t="s">
        <v>74</v>
      </c>
      <c r="AT948" s="1" t="s">
        <v>877</v>
      </c>
      <c r="AU948" s="1">
        <v>2024.0</v>
      </c>
      <c r="AV948" s="1">
        <v>21.0</v>
      </c>
      <c r="AW948" s="1">
        <v>8.0</v>
      </c>
      <c r="AX948" s="1" t="s">
        <v>74</v>
      </c>
      <c r="AY948" s="1" t="s">
        <v>74</v>
      </c>
      <c r="AZ948" s="1" t="s">
        <v>74</v>
      </c>
      <c r="BA948" s="1" t="s">
        <v>74</v>
      </c>
      <c r="BB948" s="1" t="s">
        <v>74</v>
      </c>
      <c r="BC948" s="1" t="s">
        <v>74</v>
      </c>
      <c r="BD948" s="1" t="s">
        <v>74</v>
      </c>
      <c r="BE948" s="1" t="s">
        <v>9391</v>
      </c>
      <c r="BF948" s="2" t="str">
        <f>HYPERLINK("http://dx.doi.org/10.1002/ppap.202400002","http://dx.doi.org/10.1002/ppap.202400002")</f>
        <v>http://dx.doi.org/10.1002/ppap.202400002</v>
      </c>
      <c r="BG948" s="1" t="s">
        <v>74</v>
      </c>
      <c r="BH948" s="1" t="s">
        <v>706</v>
      </c>
      <c r="BI948" s="1" t="s">
        <v>74</v>
      </c>
      <c r="BJ948" s="1" t="s">
        <v>74</v>
      </c>
      <c r="BK948" s="1" t="s">
        <v>74</v>
      </c>
      <c r="BL948" s="1" t="s">
        <v>74</v>
      </c>
      <c r="BM948" s="1" t="s">
        <v>74</v>
      </c>
      <c r="BN948" s="1" t="s">
        <v>74</v>
      </c>
      <c r="BO948" s="1" t="s">
        <v>74</v>
      </c>
      <c r="BP948" s="1" t="s">
        <v>74</v>
      </c>
      <c r="BQ948" s="1" t="s">
        <v>74</v>
      </c>
      <c r="BR948" s="1" t="s">
        <v>74</v>
      </c>
      <c r="BS948" s="1" t="s">
        <v>9392</v>
      </c>
      <c r="BT948" s="1" t="str">
        <f>HYPERLINK("https%3A%2F%2Fwww.webofscience.com%2Fwos%2Fwoscc%2Ffull-record%2FWOS:001216060700001","View Full Record in Web of Science")</f>
        <v>View Full Record in Web of Science</v>
      </c>
    </row>
    <row r="949" ht="12.75" customHeight="1">
      <c r="A949" s="1" t="s">
        <v>72</v>
      </c>
      <c r="B949" s="1" t="s">
        <v>9393</v>
      </c>
      <c r="C949" s="1" t="s">
        <v>74</v>
      </c>
      <c r="D949" s="1" t="s">
        <v>74</v>
      </c>
      <c r="E949" s="1" t="s">
        <v>74</v>
      </c>
      <c r="F949" s="1" t="s">
        <v>9394</v>
      </c>
      <c r="G949" s="1" t="s">
        <v>74</v>
      </c>
      <c r="H949" s="1" t="s">
        <v>74</v>
      </c>
      <c r="I949" s="1" t="s">
        <v>9395</v>
      </c>
      <c r="J949" s="1" t="s">
        <v>6538</v>
      </c>
      <c r="K949" s="1" t="s">
        <v>74</v>
      </c>
      <c r="L949" s="1" t="s">
        <v>74</v>
      </c>
      <c r="M949" s="1" t="s">
        <v>74</v>
      </c>
      <c r="N949" s="1" t="s">
        <v>74</v>
      </c>
      <c r="O949" s="1" t="s">
        <v>74</v>
      </c>
      <c r="P949" s="1" t="s">
        <v>74</v>
      </c>
      <c r="Q949" s="1" t="s">
        <v>74</v>
      </c>
      <c r="R949" s="1" t="s">
        <v>74</v>
      </c>
      <c r="S949" s="1" t="s">
        <v>74</v>
      </c>
      <c r="T949" s="1" t="s">
        <v>74</v>
      </c>
      <c r="U949" s="1" t="s">
        <v>74</v>
      </c>
      <c r="V949" s="1" t="s">
        <v>9396</v>
      </c>
      <c r="W949" s="1" t="s">
        <v>74</v>
      </c>
      <c r="X949" s="1" t="s">
        <v>74</v>
      </c>
      <c r="Y949" s="1" t="s">
        <v>74</v>
      </c>
      <c r="Z949" s="1" t="s">
        <v>74</v>
      </c>
      <c r="AA949" s="1" t="s">
        <v>9397</v>
      </c>
      <c r="AB949" s="1" t="s">
        <v>9398</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74</v>
      </c>
      <c r="AP949" s="1" t="s">
        <v>6542</v>
      </c>
      <c r="AQ949" s="1" t="s">
        <v>74</v>
      </c>
      <c r="AR949" s="1" t="s">
        <v>74</v>
      </c>
      <c r="AS949" s="1" t="s">
        <v>74</v>
      </c>
      <c r="AT949" s="1" t="s">
        <v>7684</v>
      </c>
      <c r="AU949" s="1">
        <v>2024.0</v>
      </c>
      <c r="AV949" s="1">
        <v>14.0</v>
      </c>
      <c r="AW949" s="1">
        <v>19.0</v>
      </c>
      <c r="AX949" s="1" t="s">
        <v>74</v>
      </c>
      <c r="AY949" s="1" t="s">
        <v>74</v>
      </c>
      <c r="AZ949" s="1" t="s">
        <v>74</v>
      </c>
      <c r="BA949" s="1" t="s">
        <v>74</v>
      </c>
      <c r="BB949" s="1">
        <v>13565.0</v>
      </c>
      <c r="BC949" s="1">
        <v>13582.0</v>
      </c>
      <c r="BD949" s="1" t="s">
        <v>74</v>
      </c>
      <c r="BE949" s="1" t="s">
        <v>9399</v>
      </c>
      <c r="BF949" s="2" t="str">
        <f>HYPERLINK("http://dx.doi.org/10.1039/d4ra00371c","http://dx.doi.org/10.1039/d4ra00371c")</f>
        <v>http://dx.doi.org/10.1039/d4ra00371c</v>
      </c>
      <c r="BG949" s="1" t="s">
        <v>74</v>
      </c>
      <c r="BH949" s="1" t="s">
        <v>74</v>
      </c>
      <c r="BI949" s="1" t="s">
        <v>74</v>
      </c>
      <c r="BJ949" s="1" t="s">
        <v>74</v>
      </c>
      <c r="BK949" s="1" t="s">
        <v>74</v>
      </c>
      <c r="BL949" s="1" t="s">
        <v>74</v>
      </c>
      <c r="BM949" s="1" t="s">
        <v>74</v>
      </c>
      <c r="BN949" s="1">
        <v>3.8665501E7</v>
      </c>
      <c r="BO949" s="1" t="s">
        <v>74</v>
      </c>
      <c r="BP949" s="1" t="s">
        <v>74</v>
      </c>
      <c r="BQ949" s="1" t="s">
        <v>74</v>
      </c>
      <c r="BR949" s="1" t="s">
        <v>74</v>
      </c>
      <c r="BS949" s="1" t="s">
        <v>9400</v>
      </c>
      <c r="BT949" s="1" t="str">
        <f>HYPERLINK("https%3A%2F%2Fwww.webofscience.com%2Fwos%2Fwoscc%2Ffull-record%2FWOS:001208006500001","View Full Record in Web of Science")</f>
        <v>View Full Record in Web of Science</v>
      </c>
    </row>
    <row r="950" ht="12.75" customHeight="1">
      <c r="A950" s="1" t="s">
        <v>72</v>
      </c>
      <c r="B950" s="1" t="s">
        <v>9401</v>
      </c>
      <c r="C950" s="1" t="s">
        <v>74</v>
      </c>
      <c r="D950" s="1" t="s">
        <v>74</v>
      </c>
      <c r="E950" s="1" t="s">
        <v>74</v>
      </c>
      <c r="F950" s="1" t="s">
        <v>9402</v>
      </c>
      <c r="G950" s="1" t="s">
        <v>74</v>
      </c>
      <c r="H950" s="1" t="s">
        <v>74</v>
      </c>
      <c r="I950" s="1" t="s">
        <v>9403</v>
      </c>
      <c r="J950" s="1" t="s">
        <v>9404</v>
      </c>
      <c r="K950" s="1" t="s">
        <v>74</v>
      </c>
      <c r="L950" s="1" t="s">
        <v>74</v>
      </c>
      <c r="M950" s="1" t="s">
        <v>74</v>
      </c>
      <c r="N950" s="1" t="s">
        <v>74</v>
      </c>
      <c r="O950" s="1" t="s">
        <v>74</v>
      </c>
      <c r="P950" s="1" t="s">
        <v>74</v>
      </c>
      <c r="Q950" s="1" t="s">
        <v>74</v>
      </c>
      <c r="R950" s="1" t="s">
        <v>74</v>
      </c>
      <c r="S950" s="1" t="s">
        <v>74</v>
      </c>
      <c r="T950" s="1" t="s">
        <v>74</v>
      </c>
      <c r="U950" s="1" t="s">
        <v>74</v>
      </c>
      <c r="V950" s="1" t="s">
        <v>9405</v>
      </c>
      <c r="W950" s="1" t="s">
        <v>74</v>
      </c>
      <c r="X950" s="1" t="s">
        <v>74</v>
      </c>
      <c r="Y950" s="1" t="s">
        <v>74</v>
      </c>
      <c r="Z950" s="1" t="s">
        <v>74</v>
      </c>
      <c r="AA950" s="1" t="s">
        <v>74</v>
      </c>
      <c r="AB950" s="1" t="s">
        <v>74</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9406</v>
      </c>
      <c r="AP950" s="1" t="s">
        <v>9407</v>
      </c>
      <c r="AQ950" s="1" t="s">
        <v>74</v>
      </c>
      <c r="AR950" s="1" t="s">
        <v>74</v>
      </c>
      <c r="AS950" s="1" t="s">
        <v>74</v>
      </c>
      <c r="AT950" s="1" t="s">
        <v>74</v>
      </c>
      <c r="AU950" s="1">
        <v>2024.0</v>
      </c>
      <c r="AV950" s="1" t="s">
        <v>74</v>
      </c>
      <c r="AW950" s="1">
        <v>36.0</v>
      </c>
      <c r="AX950" s="1" t="s">
        <v>74</v>
      </c>
      <c r="AY950" s="1" t="s">
        <v>74</v>
      </c>
      <c r="AZ950" s="1" t="s">
        <v>74</v>
      </c>
      <c r="BA950" s="1" t="s">
        <v>74</v>
      </c>
      <c r="BB950" s="1">
        <v>40.0</v>
      </c>
      <c r="BC950" s="1">
        <v>54.0</v>
      </c>
      <c r="BD950" s="1" t="s">
        <v>74</v>
      </c>
      <c r="BE950" s="1" t="s">
        <v>9408</v>
      </c>
      <c r="BF950" s="2" t="str">
        <f>HYPERLINK("http://dx.doi.org/10.20932/barataria.v0i36.704","http://dx.doi.org/10.20932/barataria.v0i36.704")</f>
        <v>http://dx.doi.org/10.20932/barataria.v0i36.704</v>
      </c>
      <c r="BG950" s="1" t="s">
        <v>74</v>
      </c>
      <c r="BH950" s="1" t="s">
        <v>74</v>
      </c>
      <c r="BI950" s="1" t="s">
        <v>74</v>
      </c>
      <c r="BJ950" s="1" t="s">
        <v>74</v>
      </c>
      <c r="BK950" s="1" t="s">
        <v>74</v>
      </c>
      <c r="BL950" s="1" t="s">
        <v>74</v>
      </c>
      <c r="BM950" s="1" t="s">
        <v>74</v>
      </c>
      <c r="BN950" s="1" t="s">
        <v>74</v>
      </c>
      <c r="BO950" s="1" t="s">
        <v>74</v>
      </c>
      <c r="BP950" s="1" t="s">
        <v>74</v>
      </c>
      <c r="BQ950" s="1" t="s">
        <v>74</v>
      </c>
      <c r="BR950" s="1" t="s">
        <v>74</v>
      </c>
      <c r="BS950" s="1" t="s">
        <v>9409</v>
      </c>
      <c r="BT950" s="1" t="str">
        <f>HYPERLINK("https%3A%2F%2Fwww.webofscience.com%2Fwos%2Fwoscc%2Ffull-record%2FWOS:001390362700001","View Full Record in Web of Science")</f>
        <v>View Full Record in Web of Science</v>
      </c>
    </row>
    <row r="951" ht="12.75" customHeight="1">
      <c r="A951" s="1" t="s">
        <v>72</v>
      </c>
      <c r="B951" s="1" t="s">
        <v>9410</v>
      </c>
      <c r="C951" s="1" t="s">
        <v>74</v>
      </c>
      <c r="D951" s="1" t="s">
        <v>74</v>
      </c>
      <c r="E951" s="1" t="s">
        <v>74</v>
      </c>
      <c r="F951" s="1" t="s">
        <v>9411</v>
      </c>
      <c r="G951" s="1" t="s">
        <v>74</v>
      </c>
      <c r="H951" s="1" t="s">
        <v>74</v>
      </c>
      <c r="I951" s="1" t="s">
        <v>9412</v>
      </c>
      <c r="J951" s="1" t="s">
        <v>9413</v>
      </c>
      <c r="K951" s="1" t="s">
        <v>74</v>
      </c>
      <c r="L951" s="1" t="s">
        <v>74</v>
      </c>
      <c r="M951" s="1" t="s">
        <v>74</v>
      </c>
      <c r="N951" s="1" t="s">
        <v>74</v>
      </c>
      <c r="O951" s="1" t="s">
        <v>74</v>
      </c>
      <c r="P951" s="1" t="s">
        <v>74</v>
      </c>
      <c r="Q951" s="1" t="s">
        <v>74</v>
      </c>
      <c r="R951" s="1" t="s">
        <v>74</v>
      </c>
      <c r="S951" s="1" t="s">
        <v>74</v>
      </c>
      <c r="T951" s="1" t="s">
        <v>74</v>
      </c>
      <c r="U951" s="1" t="s">
        <v>74</v>
      </c>
      <c r="V951" s="1" t="s">
        <v>9414</v>
      </c>
      <c r="W951" s="1" t="s">
        <v>74</v>
      </c>
      <c r="X951" s="1" t="s">
        <v>74</v>
      </c>
      <c r="Y951" s="1" t="s">
        <v>74</v>
      </c>
      <c r="Z951" s="1" t="s">
        <v>74</v>
      </c>
      <c r="AA951" s="1" t="s">
        <v>9415</v>
      </c>
      <c r="AB951" s="1" t="s">
        <v>74</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9416</v>
      </c>
      <c r="AP951" s="1" t="s">
        <v>9417</v>
      </c>
      <c r="AQ951" s="1" t="s">
        <v>74</v>
      </c>
      <c r="AR951" s="1" t="s">
        <v>74</v>
      </c>
      <c r="AS951" s="1" t="s">
        <v>74</v>
      </c>
      <c r="AT951" s="1" t="s">
        <v>74</v>
      </c>
      <c r="AU951" s="1">
        <v>2024.0</v>
      </c>
      <c r="AV951" s="1">
        <v>17.0</v>
      </c>
      <c r="AW951" s="1">
        <v>1.0</v>
      </c>
      <c r="AX951" s="1" t="s">
        <v>74</v>
      </c>
      <c r="AY951" s="1" t="s">
        <v>74</v>
      </c>
      <c r="AZ951" s="1" t="s">
        <v>74</v>
      </c>
      <c r="BA951" s="1" t="s">
        <v>74</v>
      </c>
      <c r="BB951" s="1">
        <v>72.0</v>
      </c>
      <c r="BC951" s="1">
        <v>81.0</v>
      </c>
      <c r="BD951" s="1" t="s">
        <v>74</v>
      </c>
      <c r="BE951" s="1" t="s">
        <v>9418</v>
      </c>
      <c r="BF951" s="2" t="str">
        <f>HYPERLINK("http://dx.doi.org/10.1159/000539881","http://dx.doi.org/10.1159/000539881")</f>
        <v>http://dx.doi.org/10.1159/000539881</v>
      </c>
      <c r="BG951" s="1" t="s">
        <v>74</v>
      </c>
      <c r="BH951" s="1" t="s">
        <v>74</v>
      </c>
      <c r="BI951" s="1" t="s">
        <v>74</v>
      </c>
      <c r="BJ951" s="1" t="s">
        <v>74</v>
      </c>
      <c r="BK951" s="1" t="s">
        <v>74</v>
      </c>
      <c r="BL951" s="1" t="s">
        <v>74</v>
      </c>
      <c r="BM951" s="1" t="s">
        <v>74</v>
      </c>
      <c r="BN951" s="1">
        <v>3.8889698E7</v>
      </c>
      <c r="BO951" s="1" t="s">
        <v>74</v>
      </c>
      <c r="BP951" s="1" t="s">
        <v>74</v>
      </c>
      <c r="BQ951" s="1" t="s">
        <v>74</v>
      </c>
      <c r="BR951" s="1" t="s">
        <v>74</v>
      </c>
      <c r="BS951" s="1" t="s">
        <v>9419</v>
      </c>
      <c r="BT951" s="1" t="str">
        <f>HYPERLINK("https%3A%2F%2Fwww.webofscience.com%2Fwos%2Fwoscc%2Ffull-record%2FWOS:001316240500001","View Full Record in Web of Science")</f>
        <v>View Full Record in Web of Science</v>
      </c>
    </row>
    <row r="952" ht="12.75" customHeight="1">
      <c r="A952" s="1" t="s">
        <v>72</v>
      </c>
      <c r="B952" s="1" t="s">
        <v>9420</v>
      </c>
      <c r="C952" s="1" t="s">
        <v>74</v>
      </c>
      <c r="D952" s="1" t="s">
        <v>74</v>
      </c>
      <c r="E952" s="1" t="s">
        <v>74</v>
      </c>
      <c r="F952" s="1" t="s">
        <v>9421</v>
      </c>
      <c r="G952" s="1" t="s">
        <v>74</v>
      </c>
      <c r="H952" s="1" t="s">
        <v>74</v>
      </c>
      <c r="I952" s="1" t="s">
        <v>9422</v>
      </c>
      <c r="J952" s="1" t="s">
        <v>9423</v>
      </c>
      <c r="K952" s="1" t="s">
        <v>74</v>
      </c>
      <c r="L952" s="1" t="s">
        <v>74</v>
      </c>
      <c r="M952" s="1" t="s">
        <v>74</v>
      </c>
      <c r="N952" s="1" t="s">
        <v>74</v>
      </c>
      <c r="O952" s="1" t="s">
        <v>74</v>
      </c>
      <c r="P952" s="1" t="s">
        <v>74</v>
      </c>
      <c r="Q952" s="1" t="s">
        <v>74</v>
      </c>
      <c r="R952" s="1" t="s">
        <v>74</v>
      </c>
      <c r="S952" s="1" t="s">
        <v>74</v>
      </c>
      <c r="T952" s="1" t="s">
        <v>74</v>
      </c>
      <c r="U952" s="1" t="s">
        <v>74</v>
      </c>
      <c r="V952" s="1" t="s">
        <v>9424</v>
      </c>
      <c r="W952" s="1" t="s">
        <v>74</v>
      </c>
      <c r="X952" s="1" t="s">
        <v>74</v>
      </c>
      <c r="Y952" s="1" t="s">
        <v>74</v>
      </c>
      <c r="Z952" s="1" t="s">
        <v>74</v>
      </c>
      <c r="AA952" s="1" t="s">
        <v>9425</v>
      </c>
      <c r="AB952" s="1" t="s">
        <v>9426</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9427</v>
      </c>
      <c r="AP952" s="1" t="s">
        <v>9428</v>
      </c>
      <c r="AQ952" s="1" t="s">
        <v>74</v>
      </c>
      <c r="AR952" s="1" t="s">
        <v>74</v>
      </c>
      <c r="AS952" s="1" t="s">
        <v>74</v>
      </c>
      <c r="AT952" s="1" t="s">
        <v>1266</v>
      </c>
      <c r="AU952" s="1">
        <v>2024.0</v>
      </c>
      <c r="AV952" s="1">
        <v>242.0</v>
      </c>
      <c r="AW952" s="1" t="s">
        <v>74</v>
      </c>
      <c r="AX952" s="1" t="s">
        <v>74</v>
      </c>
      <c r="AY952" s="1" t="s">
        <v>74</v>
      </c>
      <c r="AZ952" s="1" t="s">
        <v>74</v>
      </c>
      <c r="BA952" s="1" t="s">
        <v>74</v>
      </c>
      <c r="BB952" s="1" t="s">
        <v>74</v>
      </c>
      <c r="BC952" s="1" t="s">
        <v>74</v>
      </c>
      <c r="BD952" s="1">
        <v>122808.0</v>
      </c>
      <c r="BE952" s="1" t="s">
        <v>9429</v>
      </c>
      <c r="BF952" s="2" t="str">
        <f>HYPERLINK("http://dx.doi.org/10.1016/j.eswa.2023.122808","http://dx.doi.org/10.1016/j.eswa.2023.122808")</f>
        <v>http://dx.doi.org/10.1016/j.eswa.2023.122808</v>
      </c>
      <c r="BG952" s="1" t="s">
        <v>74</v>
      </c>
      <c r="BH952" s="1" t="s">
        <v>7686</v>
      </c>
      <c r="BI952" s="1" t="s">
        <v>74</v>
      </c>
      <c r="BJ952" s="1" t="s">
        <v>74</v>
      </c>
      <c r="BK952" s="1" t="s">
        <v>74</v>
      </c>
      <c r="BL952" s="1" t="s">
        <v>74</v>
      </c>
      <c r="BM952" s="1" t="s">
        <v>74</v>
      </c>
      <c r="BN952" s="1" t="s">
        <v>74</v>
      </c>
      <c r="BO952" s="1" t="s">
        <v>74</v>
      </c>
      <c r="BP952" s="1" t="s">
        <v>74</v>
      </c>
      <c r="BQ952" s="1" t="s">
        <v>74</v>
      </c>
      <c r="BR952" s="1" t="s">
        <v>74</v>
      </c>
      <c r="BS952" s="1" t="s">
        <v>9430</v>
      </c>
      <c r="BT952" s="1" t="str">
        <f>HYPERLINK("https%3A%2F%2Fwww.webofscience.com%2Fwos%2Fwoscc%2Ffull-record%2FWOS:001135136300001","View Full Record in Web of Science")</f>
        <v>View Full Record in Web of Science</v>
      </c>
    </row>
    <row r="953" ht="12.75" customHeight="1">
      <c r="A953" s="1" t="s">
        <v>72</v>
      </c>
      <c r="B953" s="1" t="s">
        <v>9431</v>
      </c>
      <c r="C953" s="1" t="s">
        <v>74</v>
      </c>
      <c r="D953" s="1" t="s">
        <v>74</v>
      </c>
      <c r="E953" s="1" t="s">
        <v>74</v>
      </c>
      <c r="F953" s="1" t="s">
        <v>9432</v>
      </c>
      <c r="G953" s="1" t="s">
        <v>74</v>
      </c>
      <c r="H953" s="1" t="s">
        <v>74</v>
      </c>
      <c r="I953" s="1" t="s">
        <v>9433</v>
      </c>
      <c r="J953" s="1" t="s">
        <v>9434</v>
      </c>
      <c r="K953" s="1" t="s">
        <v>74</v>
      </c>
      <c r="L953" s="1" t="s">
        <v>74</v>
      </c>
      <c r="M953" s="1" t="s">
        <v>74</v>
      </c>
      <c r="N953" s="1" t="s">
        <v>74</v>
      </c>
      <c r="O953" s="1" t="s">
        <v>74</v>
      </c>
      <c r="P953" s="1" t="s">
        <v>74</v>
      </c>
      <c r="Q953" s="1" t="s">
        <v>74</v>
      </c>
      <c r="R953" s="1" t="s">
        <v>74</v>
      </c>
      <c r="S953" s="1" t="s">
        <v>74</v>
      </c>
      <c r="T953" s="1" t="s">
        <v>74</v>
      </c>
      <c r="U953" s="1" t="s">
        <v>74</v>
      </c>
      <c r="V953" s="1" t="s">
        <v>9435</v>
      </c>
      <c r="W953" s="1" t="s">
        <v>74</v>
      </c>
      <c r="X953" s="1" t="s">
        <v>74</v>
      </c>
      <c r="Y953" s="1" t="s">
        <v>74</v>
      </c>
      <c r="Z953" s="1" t="s">
        <v>74</v>
      </c>
      <c r="AA953" s="1" t="s">
        <v>9436</v>
      </c>
      <c r="AB953" s="1" t="s">
        <v>9437</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9438</v>
      </c>
      <c r="AP953" s="1" t="s">
        <v>74</v>
      </c>
      <c r="AQ953" s="1" t="s">
        <v>74</v>
      </c>
      <c r="AR953" s="1" t="s">
        <v>74</v>
      </c>
      <c r="AS953" s="1" t="s">
        <v>74</v>
      </c>
      <c r="AT953" s="1" t="s">
        <v>151</v>
      </c>
      <c r="AU953" s="1">
        <v>2023.0</v>
      </c>
      <c r="AV953" s="1">
        <v>56.0</v>
      </c>
      <c r="AW953" s="1" t="s">
        <v>74</v>
      </c>
      <c r="AX953" s="1" t="s">
        <v>74</v>
      </c>
      <c r="AY953" s="1" t="s">
        <v>74</v>
      </c>
      <c r="AZ953" s="1" t="s">
        <v>74</v>
      </c>
      <c r="BA953" s="1" t="s">
        <v>74</v>
      </c>
      <c r="BB953" s="1" t="s">
        <v>74</v>
      </c>
      <c r="BC953" s="1" t="s">
        <v>74</v>
      </c>
      <c r="BD953" s="1">
        <v>105002.0</v>
      </c>
      <c r="BE953" s="1" t="s">
        <v>9439</v>
      </c>
      <c r="BF953" s="2" t="str">
        <f>HYPERLINK("http://dx.doi.org/10.1016/j.istruc.2023.105002","http://dx.doi.org/10.1016/j.istruc.2023.105002")</f>
        <v>http://dx.doi.org/10.1016/j.istruc.2023.105002</v>
      </c>
      <c r="BG953" s="1" t="s">
        <v>74</v>
      </c>
      <c r="BH953" s="1" t="s">
        <v>4385</v>
      </c>
      <c r="BI953" s="1" t="s">
        <v>74</v>
      </c>
      <c r="BJ953" s="1" t="s">
        <v>74</v>
      </c>
      <c r="BK953" s="1" t="s">
        <v>74</v>
      </c>
      <c r="BL953" s="1" t="s">
        <v>74</v>
      </c>
      <c r="BM953" s="1" t="s">
        <v>74</v>
      </c>
      <c r="BN953" s="1" t="s">
        <v>74</v>
      </c>
      <c r="BO953" s="1" t="s">
        <v>74</v>
      </c>
      <c r="BP953" s="1" t="s">
        <v>74</v>
      </c>
      <c r="BQ953" s="1" t="s">
        <v>74</v>
      </c>
      <c r="BR953" s="1" t="s">
        <v>74</v>
      </c>
      <c r="BS953" s="1" t="s">
        <v>9440</v>
      </c>
      <c r="BT953" s="1" t="str">
        <f>HYPERLINK("https%3A%2F%2Fwww.webofscience.com%2Fwos%2Fwoscc%2Ffull-record%2FWOS:001064798700001","View Full Record in Web of Science")</f>
        <v>View Full Record in Web of Science</v>
      </c>
    </row>
    <row r="954" ht="12.75" customHeight="1">
      <c r="A954" s="1" t="s">
        <v>72</v>
      </c>
      <c r="B954" s="1" t="s">
        <v>9441</v>
      </c>
      <c r="C954" s="1" t="s">
        <v>74</v>
      </c>
      <c r="D954" s="1" t="s">
        <v>74</v>
      </c>
      <c r="E954" s="1" t="s">
        <v>74</v>
      </c>
      <c r="F954" s="1" t="s">
        <v>9442</v>
      </c>
      <c r="G954" s="1" t="s">
        <v>74</v>
      </c>
      <c r="H954" s="1" t="s">
        <v>74</v>
      </c>
      <c r="I954" s="1" t="s">
        <v>9443</v>
      </c>
      <c r="J954" s="1" t="s">
        <v>9444</v>
      </c>
      <c r="K954" s="1" t="s">
        <v>74</v>
      </c>
      <c r="L954" s="1" t="s">
        <v>74</v>
      </c>
      <c r="M954" s="1" t="s">
        <v>74</v>
      </c>
      <c r="N954" s="1" t="s">
        <v>74</v>
      </c>
      <c r="O954" s="1" t="s">
        <v>74</v>
      </c>
      <c r="P954" s="1" t="s">
        <v>74</v>
      </c>
      <c r="Q954" s="1" t="s">
        <v>74</v>
      </c>
      <c r="R954" s="1" t="s">
        <v>74</v>
      </c>
      <c r="S954" s="1" t="s">
        <v>74</v>
      </c>
      <c r="T954" s="1" t="s">
        <v>74</v>
      </c>
      <c r="U954" s="1" t="s">
        <v>74</v>
      </c>
      <c r="V954" s="1" t="s">
        <v>9445</v>
      </c>
      <c r="W954" s="1" t="s">
        <v>74</v>
      </c>
      <c r="X954" s="1" t="s">
        <v>74</v>
      </c>
      <c r="Y954" s="1" t="s">
        <v>74</v>
      </c>
      <c r="Z954" s="1" t="s">
        <v>74</v>
      </c>
      <c r="AA954" s="1" t="s">
        <v>9446</v>
      </c>
      <c r="AB954" s="1" t="s">
        <v>9447</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74</v>
      </c>
      <c r="AP954" s="1" t="s">
        <v>9448</v>
      </c>
      <c r="AQ954" s="1" t="s">
        <v>74</v>
      </c>
      <c r="AR954" s="1" t="s">
        <v>74</v>
      </c>
      <c r="AS954" s="1" t="s">
        <v>74</v>
      </c>
      <c r="AT954" s="1" t="s">
        <v>176</v>
      </c>
      <c r="AU954" s="1">
        <v>2023.0</v>
      </c>
      <c r="AV954" s="1">
        <v>11.0</v>
      </c>
      <c r="AW954" s="1">
        <v>3.0</v>
      </c>
      <c r="AX954" s="1" t="s">
        <v>74</v>
      </c>
      <c r="AY954" s="1" t="s">
        <v>74</v>
      </c>
      <c r="AZ954" s="1" t="s">
        <v>74</v>
      </c>
      <c r="BA954" s="1" t="s">
        <v>74</v>
      </c>
      <c r="BB954" s="1" t="s">
        <v>74</v>
      </c>
      <c r="BC954" s="1" t="s">
        <v>74</v>
      </c>
      <c r="BD954" s="1">
        <v>747.0</v>
      </c>
      <c r="BE954" s="1" t="s">
        <v>9449</v>
      </c>
      <c r="BF954" s="2" t="str">
        <f>HYPERLINK("http://dx.doi.org/10.3390/pr11030747","http://dx.doi.org/10.3390/pr11030747")</f>
        <v>http://dx.doi.org/10.3390/pr11030747</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9450</v>
      </c>
      <c r="BT954" s="1" t="str">
        <f>HYPERLINK("https%3A%2F%2Fwww.webofscience.com%2Fwos%2Fwoscc%2Ffull-record%2FWOS:000960254600001","View Full Record in Web of Science")</f>
        <v>View Full Record in Web of Science</v>
      </c>
    </row>
    <row r="955" ht="12.75" customHeight="1">
      <c r="A955" s="1" t="s">
        <v>154</v>
      </c>
      <c r="B955" s="1" t="s">
        <v>9451</v>
      </c>
      <c r="C955" s="1" t="s">
        <v>74</v>
      </c>
      <c r="D955" s="1" t="s">
        <v>9452</v>
      </c>
      <c r="E955" s="1" t="s">
        <v>74</v>
      </c>
      <c r="F955" s="1" t="s">
        <v>9453</v>
      </c>
      <c r="G955" s="1" t="s">
        <v>74</v>
      </c>
      <c r="H955" s="1" t="s">
        <v>74</v>
      </c>
      <c r="I955" s="1" t="s">
        <v>9454</v>
      </c>
      <c r="J955" s="1" t="s">
        <v>9455</v>
      </c>
      <c r="K955" s="1" t="s">
        <v>1294</v>
      </c>
      <c r="L955" s="1" t="s">
        <v>74</v>
      </c>
      <c r="M955" s="1" t="s">
        <v>74</v>
      </c>
      <c r="N955" s="1" t="s">
        <v>74</v>
      </c>
      <c r="O955" s="1" t="s">
        <v>9456</v>
      </c>
      <c r="P955" s="1" t="s">
        <v>9457</v>
      </c>
      <c r="Q955" s="1" t="s">
        <v>9458</v>
      </c>
      <c r="R955" s="1" t="s">
        <v>9459</v>
      </c>
      <c r="S955" s="1" t="s">
        <v>9460</v>
      </c>
      <c r="T955" s="1" t="s">
        <v>74</v>
      </c>
      <c r="U955" s="1" t="s">
        <v>74</v>
      </c>
      <c r="V955" s="1" t="s">
        <v>9461</v>
      </c>
      <c r="W955" s="1" t="s">
        <v>74</v>
      </c>
      <c r="X955" s="1" t="s">
        <v>74</v>
      </c>
      <c r="Y955" s="1" t="s">
        <v>74</v>
      </c>
      <c r="Z955" s="1" t="s">
        <v>74</v>
      </c>
      <c r="AA955" s="1" t="s">
        <v>9462</v>
      </c>
      <c r="AB955" s="1" t="s">
        <v>74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1300</v>
      </c>
      <c r="AP955" s="1" t="s">
        <v>1301</v>
      </c>
      <c r="AQ955" s="1" t="s">
        <v>9463</v>
      </c>
      <c r="AR955" s="1" t="s">
        <v>74</v>
      </c>
      <c r="AS955" s="1" t="s">
        <v>74</v>
      </c>
      <c r="AT955" s="1" t="s">
        <v>74</v>
      </c>
      <c r="AU955" s="1">
        <v>2023.0</v>
      </c>
      <c r="AV955" s="1">
        <v>14292.0</v>
      </c>
      <c r="AW955" s="1" t="s">
        <v>74</v>
      </c>
      <c r="AX955" s="1" t="s">
        <v>74</v>
      </c>
      <c r="AY955" s="1" t="s">
        <v>74</v>
      </c>
      <c r="AZ955" s="1" t="s">
        <v>74</v>
      </c>
      <c r="BA955" s="1" t="s">
        <v>74</v>
      </c>
      <c r="BB955" s="1">
        <v>32.0</v>
      </c>
      <c r="BC955" s="1">
        <v>45.0</v>
      </c>
      <c r="BD955" s="1" t="s">
        <v>74</v>
      </c>
      <c r="BE955" s="1" t="s">
        <v>9464</v>
      </c>
      <c r="BF955" s="2" t="str">
        <f>HYPERLINK("http://dx.doi.org/10.1007/978-3-031-43587-4_3","http://dx.doi.org/10.1007/978-3-031-43587-4_3")</f>
        <v>http://dx.doi.org/10.1007/978-3-031-43587-4_3</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9465</v>
      </c>
      <c r="BT955" s="1" t="str">
        <f>HYPERLINK("https%3A%2F%2Fwww.webofscience.com%2Fwos%2Fwoscc%2Ffull-record%2FWOS:001162288800003","View Full Record in Web of Science")</f>
        <v>View Full Record in Web of Science</v>
      </c>
    </row>
    <row r="956" ht="12.75" customHeight="1">
      <c r="A956" s="1" t="s">
        <v>72</v>
      </c>
      <c r="B956" s="1" t="s">
        <v>9466</v>
      </c>
      <c r="C956" s="1" t="s">
        <v>74</v>
      </c>
      <c r="D956" s="1" t="s">
        <v>74</v>
      </c>
      <c r="E956" s="1" t="s">
        <v>74</v>
      </c>
      <c r="F956" s="1" t="s">
        <v>9467</v>
      </c>
      <c r="G956" s="1" t="s">
        <v>74</v>
      </c>
      <c r="H956" s="1" t="s">
        <v>74</v>
      </c>
      <c r="I956" s="1" t="s">
        <v>9468</v>
      </c>
      <c r="J956" s="1" t="s">
        <v>9434</v>
      </c>
      <c r="K956" s="1" t="s">
        <v>74</v>
      </c>
      <c r="L956" s="1" t="s">
        <v>74</v>
      </c>
      <c r="M956" s="1" t="s">
        <v>74</v>
      </c>
      <c r="N956" s="1" t="s">
        <v>74</v>
      </c>
      <c r="O956" s="1" t="s">
        <v>74</v>
      </c>
      <c r="P956" s="1" t="s">
        <v>74</v>
      </c>
      <c r="Q956" s="1" t="s">
        <v>74</v>
      </c>
      <c r="R956" s="1" t="s">
        <v>74</v>
      </c>
      <c r="S956" s="1" t="s">
        <v>74</v>
      </c>
      <c r="T956" s="1" t="s">
        <v>74</v>
      </c>
      <c r="U956" s="1" t="s">
        <v>74</v>
      </c>
      <c r="V956" s="1" t="s">
        <v>9469</v>
      </c>
      <c r="W956" s="1" t="s">
        <v>74</v>
      </c>
      <c r="X956" s="1" t="s">
        <v>74</v>
      </c>
      <c r="Y956" s="1" t="s">
        <v>74</v>
      </c>
      <c r="Z956" s="1" t="s">
        <v>74</v>
      </c>
      <c r="AA956" s="1" t="s">
        <v>9470</v>
      </c>
      <c r="AB956" s="1" t="s">
        <v>9471</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9438</v>
      </c>
      <c r="AP956" s="1" t="s">
        <v>74</v>
      </c>
      <c r="AQ956" s="1" t="s">
        <v>74</v>
      </c>
      <c r="AR956" s="1" t="s">
        <v>74</v>
      </c>
      <c r="AS956" s="1" t="s">
        <v>74</v>
      </c>
      <c r="AT956" s="1" t="s">
        <v>151</v>
      </c>
      <c r="AU956" s="1">
        <v>2022.0</v>
      </c>
      <c r="AV956" s="1">
        <v>44.0</v>
      </c>
      <c r="AW956" s="1" t="s">
        <v>74</v>
      </c>
      <c r="AX956" s="1" t="s">
        <v>74</v>
      </c>
      <c r="AY956" s="1" t="s">
        <v>74</v>
      </c>
      <c r="AZ956" s="1" t="s">
        <v>74</v>
      </c>
      <c r="BA956" s="1" t="s">
        <v>74</v>
      </c>
      <c r="BB956" s="1">
        <v>487.0</v>
      </c>
      <c r="BC956" s="1">
        <v>502.0</v>
      </c>
      <c r="BD956" s="1" t="s">
        <v>74</v>
      </c>
      <c r="BE956" s="1" t="s">
        <v>9472</v>
      </c>
      <c r="BF956" s="2" t="str">
        <f>HYPERLINK("http://dx.doi.org/10.1016/j.istruc.2022.07.086","http://dx.doi.org/10.1016/j.istruc.2022.07.086")</f>
        <v>http://dx.doi.org/10.1016/j.istruc.2022.07.086</v>
      </c>
      <c r="BG956" s="1" t="s">
        <v>74</v>
      </c>
      <c r="BH956" s="1" t="s">
        <v>9473</v>
      </c>
      <c r="BI956" s="1" t="s">
        <v>74</v>
      </c>
      <c r="BJ956" s="1" t="s">
        <v>74</v>
      </c>
      <c r="BK956" s="1" t="s">
        <v>74</v>
      </c>
      <c r="BL956" s="1" t="s">
        <v>74</v>
      </c>
      <c r="BM956" s="1" t="s">
        <v>74</v>
      </c>
      <c r="BN956" s="1" t="s">
        <v>74</v>
      </c>
      <c r="BO956" s="1" t="s">
        <v>74</v>
      </c>
      <c r="BP956" s="1" t="s">
        <v>74</v>
      </c>
      <c r="BQ956" s="1" t="s">
        <v>74</v>
      </c>
      <c r="BR956" s="1" t="s">
        <v>74</v>
      </c>
      <c r="BS956" s="1" t="s">
        <v>9474</v>
      </c>
      <c r="BT956" s="1" t="str">
        <f>HYPERLINK("https%3A%2F%2Fwww.webofscience.com%2Fwos%2Fwoscc%2Ffull-record%2FWOS:000848550200003","View Full Record in Web of Science")</f>
        <v>View Full Record in Web of Science</v>
      </c>
    </row>
    <row r="957" ht="12.75" customHeight="1">
      <c r="A957" s="1" t="s">
        <v>72</v>
      </c>
      <c r="B957" s="1" t="s">
        <v>9475</v>
      </c>
      <c r="C957" s="1" t="s">
        <v>74</v>
      </c>
      <c r="D957" s="1" t="s">
        <v>74</v>
      </c>
      <c r="E957" s="1" t="s">
        <v>74</v>
      </c>
      <c r="F957" s="1" t="s">
        <v>9476</v>
      </c>
      <c r="G957" s="1" t="s">
        <v>74</v>
      </c>
      <c r="H957" s="1" t="s">
        <v>74</v>
      </c>
      <c r="I957" s="1" t="s">
        <v>9477</v>
      </c>
      <c r="J957" s="1" t="s">
        <v>9478</v>
      </c>
      <c r="K957" s="1" t="s">
        <v>74</v>
      </c>
      <c r="L957" s="1" t="s">
        <v>74</v>
      </c>
      <c r="M957" s="1" t="s">
        <v>74</v>
      </c>
      <c r="N957" s="1" t="s">
        <v>74</v>
      </c>
      <c r="O957" s="1" t="s">
        <v>74</v>
      </c>
      <c r="P957" s="1" t="s">
        <v>74</v>
      </c>
      <c r="Q957" s="1" t="s">
        <v>74</v>
      </c>
      <c r="R957" s="1" t="s">
        <v>74</v>
      </c>
      <c r="S957" s="1" t="s">
        <v>74</v>
      </c>
      <c r="T957" s="1" t="s">
        <v>74</v>
      </c>
      <c r="U957" s="1" t="s">
        <v>74</v>
      </c>
      <c r="V957" s="1" t="s">
        <v>74</v>
      </c>
      <c r="W957" s="1" t="s">
        <v>74</v>
      </c>
      <c r="X957" s="1" t="s">
        <v>74</v>
      </c>
      <c r="Y957" s="1" t="s">
        <v>74</v>
      </c>
      <c r="Z957" s="1" t="s">
        <v>74</v>
      </c>
      <c r="AA957" s="1" t="s">
        <v>9479</v>
      </c>
      <c r="AB957" s="1" t="s">
        <v>74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9480</v>
      </c>
      <c r="AP957" s="1" t="s">
        <v>9481</v>
      </c>
      <c r="AQ957" s="1" t="s">
        <v>74</v>
      </c>
      <c r="AR957" s="1" t="s">
        <v>74</v>
      </c>
      <c r="AS957" s="1" t="s">
        <v>74</v>
      </c>
      <c r="AT957" s="1" t="s">
        <v>444</v>
      </c>
      <c r="AU957" s="1">
        <v>2022.0</v>
      </c>
      <c r="AV957" s="1">
        <v>46.0</v>
      </c>
      <c r="AW957" s="1">
        <v>4.0</v>
      </c>
      <c r="AX957" s="1" t="s">
        <v>74</v>
      </c>
      <c r="AY957" s="1" t="s">
        <v>74</v>
      </c>
      <c r="AZ957" s="1" t="s">
        <v>74</v>
      </c>
      <c r="BA957" s="1" t="s">
        <v>74</v>
      </c>
      <c r="BB957" s="1">
        <v>619.0</v>
      </c>
      <c r="BC957" s="1">
        <v>628.0</v>
      </c>
      <c r="BD957" s="1" t="s">
        <v>74</v>
      </c>
      <c r="BE957" s="1" t="s">
        <v>9482</v>
      </c>
      <c r="BF957" s="2" t="str">
        <f>HYPERLINK("http://dx.doi.org/10.1093/cje/beac032","http://dx.doi.org/10.1093/cje/beac032")</f>
        <v>http://dx.doi.org/10.1093/cje/beac032</v>
      </c>
      <c r="BG957" s="1" t="s">
        <v>74</v>
      </c>
      <c r="BH957" s="1" t="s">
        <v>3539</v>
      </c>
      <c r="BI957" s="1" t="s">
        <v>74</v>
      </c>
      <c r="BJ957" s="1" t="s">
        <v>74</v>
      </c>
      <c r="BK957" s="1" t="s">
        <v>74</v>
      </c>
      <c r="BL957" s="1" t="s">
        <v>74</v>
      </c>
      <c r="BM957" s="1" t="s">
        <v>74</v>
      </c>
      <c r="BN957" s="1" t="s">
        <v>74</v>
      </c>
      <c r="BO957" s="1" t="s">
        <v>74</v>
      </c>
      <c r="BP957" s="1" t="s">
        <v>74</v>
      </c>
      <c r="BQ957" s="1" t="s">
        <v>74</v>
      </c>
      <c r="BR957" s="1" t="s">
        <v>74</v>
      </c>
      <c r="BS957" s="1" t="s">
        <v>9483</v>
      </c>
      <c r="BT957" s="1" t="str">
        <f>HYPERLINK("https%3A%2F%2Fwww.webofscience.com%2Fwos%2Fwoscc%2Ffull-record%2FWOS:000821865000001","View Full Record in Web of Science")</f>
        <v>View Full Record in Web of Science</v>
      </c>
    </row>
    <row r="958" ht="12.75" customHeight="1">
      <c r="A958" s="1" t="s">
        <v>72</v>
      </c>
      <c r="B958" s="1" t="s">
        <v>9484</v>
      </c>
      <c r="C958" s="1" t="s">
        <v>74</v>
      </c>
      <c r="D958" s="1" t="s">
        <v>74</v>
      </c>
      <c r="E958" s="1" t="s">
        <v>74</v>
      </c>
      <c r="F958" s="1" t="s">
        <v>9485</v>
      </c>
      <c r="G958" s="1" t="s">
        <v>74</v>
      </c>
      <c r="H958" s="1" t="s">
        <v>74</v>
      </c>
      <c r="I958" s="1" t="s">
        <v>9486</v>
      </c>
      <c r="J958" s="1" t="s">
        <v>9487</v>
      </c>
      <c r="K958" s="1" t="s">
        <v>74</v>
      </c>
      <c r="L958" s="1" t="s">
        <v>74</v>
      </c>
      <c r="M958" s="1" t="s">
        <v>74</v>
      </c>
      <c r="N958" s="1" t="s">
        <v>74</v>
      </c>
      <c r="O958" s="1" t="s">
        <v>74</v>
      </c>
      <c r="P958" s="1" t="s">
        <v>74</v>
      </c>
      <c r="Q958" s="1" t="s">
        <v>74</v>
      </c>
      <c r="R958" s="1" t="s">
        <v>74</v>
      </c>
      <c r="S958" s="1" t="s">
        <v>74</v>
      </c>
      <c r="T958" s="1" t="s">
        <v>74</v>
      </c>
      <c r="U958" s="1" t="s">
        <v>74</v>
      </c>
      <c r="V958" s="1" t="s">
        <v>9488</v>
      </c>
      <c r="W958" s="1" t="s">
        <v>74</v>
      </c>
      <c r="X958" s="1" t="s">
        <v>74</v>
      </c>
      <c r="Y958" s="1" t="s">
        <v>74</v>
      </c>
      <c r="Z958" s="1" t="s">
        <v>74</v>
      </c>
      <c r="AA958" s="1" t="s">
        <v>9489</v>
      </c>
      <c r="AB958" s="1" t="s">
        <v>9490</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74</v>
      </c>
      <c r="AP958" s="1" t="s">
        <v>9491</v>
      </c>
      <c r="AQ958" s="1" t="s">
        <v>74</v>
      </c>
      <c r="AR958" s="1" t="s">
        <v>74</v>
      </c>
      <c r="AS958" s="1" t="s">
        <v>74</v>
      </c>
      <c r="AT958" s="1" t="s">
        <v>385</v>
      </c>
      <c r="AU958" s="1">
        <v>2022.0</v>
      </c>
      <c r="AV958" s="1">
        <v>2.0</v>
      </c>
      <c r="AW958" s="1">
        <v>1.0</v>
      </c>
      <c r="AX958" s="1" t="s">
        <v>74</v>
      </c>
      <c r="AY958" s="1" t="s">
        <v>74</v>
      </c>
      <c r="AZ958" s="1" t="s">
        <v>74</v>
      </c>
      <c r="BA958" s="1" t="s">
        <v>74</v>
      </c>
      <c r="BB958" s="1" t="s">
        <v>74</v>
      </c>
      <c r="BC958" s="1" t="s">
        <v>74</v>
      </c>
      <c r="BD958" s="1">
        <v>100017.0</v>
      </c>
      <c r="BE958" s="1" t="s">
        <v>9492</v>
      </c>
      <c r="BF958" s="2" t="str">
        <f>HYPERLINK("http://dx.doi.org/10.1016/j.jil.2022.100017","http://dx.doi.org/10.1016/j.jil.2022.100017")</f>
        <v>http://dx.doi.org/10.1016/j.jil.2022.100017</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9493</v>
      </c>
      <c r="BT958" s="1" t="str">
        <f>HYPERLINK("https%3A%2F%2Fwww.webofscience.com%2Fwos%2Fwoscc%2Ffull-record%2FWOS:001468639000007","View Full Record in Web of Science")</f>
        <v>View Full Record in Web of Science</v>
      </c>
    </row>
    <row r="959" ht="12.75" customHeight="1">
      <c r="A959" s="1" t="s">
        <v>72</v>
      </c>
      <c r="B959" s="1" t="s">
        <v>9494</v>
      </c>
      <c r="C959" s="1" t="s">
        <v>74</v>
      </c>
      <c r="D959" s="1" t="s">
        <v>74</v>
      </c>
      <c r="E959" s="1" t="s">
        <v>74</v>
      </c>
      <c r="F959" s="1" t="s">
        <v>9495</v>
      </c>
      <c r="G959" s="1" t="s">
        <v>74</v>
      </c>
      <c r="H959" s="1" t="s">
        <v>74</v>
      </c>
      <c r="I959" s="1" t="s">
        <v>9496</v>
      </c>
      <c r="J959" s="1" t="s">
        <v>1571</v>
      </c>
      <c r="K959" s="1" t="s">
        <v>74</v>
      </c>
      <c r="L959" s="1" t="s">
        <v>74</v>
      </c>
      <c r="M959" s="1" t="s">
        <v>74</v>
      </c>
      <c r="N959" s="1" t="s">
        <v>74</v>
      </c>
      <c r="O959" s="1" t="s">
        <v>74</v>
      </c>
      <c r="P959" s="1" t="s">
        <v>74</v>
      </c>
      <c r="Q959" s="1" t="s">
        <v>74</v>
      </c>
      <c r="R959" s="1" t="s">
        <v>74</v>
      </c>
      <c r="S959" s="1" t="s">
        <v>74</v>
      </c>
      <c r="T959" s="1" t="s">
        <v>74</v>
      </c>
      <c r="U959" s="1" t="s">
        <v>74</v>
      </c>
      <c r="V959" s="1" t="s">
        <v>9497</v>
      </c>
      <c r="W959" s="1" t="s">
        <v>74</v>
      </c>
      <c r="X959" s="1" t="s">
        <v>74</v>
      </c>
      <c r="Y959" s="1" t="s">
        <v>74</v>
      </c>
      <c r="Z959" s="1" t="s">
        <v>74</v>
      </c>
      <c r="AA959" s="1" t="s">
        <v>9498</v>
      </c>
      <c r="AB959" s="1" t="s">
        <v>9499</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74</v>
      </c>
      <c r="AP959" s="1" t="s">
        <v>1575</v>
      </c>
      <c r="AQ959" s="1" t="s">
        <v>74</v>
      </c>
      <c r="AR959" s="1" t="s">
        <v>74</v>
      </c>
      <c r="AS959" s="1" t="s">
        <v>74</v>
      </c>
      <c r="AT959" s="1" t="s">
        <v>308</v>
      </c>
      <c r="AU959" s="1">
        <v>2021.0</v>
      </c>
      <c r="AV959" s="1">
        <v>13.0</v>
      </c>
      <c r="AW959" s="1">
        <v>7.0</v>
      </c>
      <c r="AX959" s="1" t="s">
        <v>74</v>
      </c>
      <c r="AY959" s="1" t="s">
        <v>74</v>
      </c>
      <c r="AZ959" s="1" t="s">
        <v>74</v>
      </c>
      <c r="BA959" s="1" t="s">
        <v>74</v>
      </c>
      <c r="BB959" s="1" t="s">
        <v>74</v>
      </c>
      <c r="BC959" s="1" t="s">
        <v>74</v>
      </c>
      <c r="BD959" s="1">
        <v>4056.0</v>
      </c>
      <c r="BE959" s="1" t="s">
        <v>9500</v>
      </c>
      <c r="BF959" s="2" t="str">
        <f>HYPERLINK("http://dx.doi.org/10.3390/su13074056","http://dx.doi.org/10.3390/su13074056")</f>
        <v>http://dx.doi.org/10.3390/su13074056</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9501</v>
      </c>
      <c r="BT959" s="1" t="str">
        <f>HYPERLINK("https%3A%2F%2Fwww.webofscience.com%2Fwos%2Fwoscc%2Ffull-record%2FWOS:000638884800001","View Full Record in Web of Science")</f>
        <v>View Full Record in Web of Science</v>
      </c>
    </row>
    <row r="960" ht="12.75" customHeight="1">
      <c r="A960" s="1" t="s">
        <v>72</v>
      </c>
      <c r="B960" s="1" t="s">
        <v>9502</v>
      </c>
      <c r="C960" s="1" t="s">
        <v>74</v>
      </c>
      <c r="D960" s="1" t="s">
        <v>74</v>
      </c>
      <c r="E960" s="1" t="s">
        <v>74</v>
      </c>
      <c r="F960" s="1" t="s">
        <v>9503</v>
      </c>
      <c r="G960" s="1" t="s">
        <v>74</v>
      </c>
      <c r="H960" s="1" t="s">
        <v>74</v>
      </c>
      <c r="I960" s="1" t="s">
        <v>9504</v>
      </c>
      <c r="J960" s="1" t="s">
        <v>9505</v>
      </c>
      <c r="K960" s="1" t="s">
        <v>74</v>
      </c>
      <c r="L960" s="1" t="s">
        <v>74</v>
      </c>
      <c r="M960" s="1" t="s">
        <v>74</v>
      </c>
      <c r="N960" s="1" t="s">
        <v>74</v>
      </c>
      <c r="O960" s="1" t="s">
        <v>9506</v>
      </c>
      <c r="P960" s="1" t="s">
        <v>9507</v>
      </c>
      <c r="Q960" s="1" t="s">
        <v>9508</v>
      </c>
      <c r="R960" s="1" t="s">
        <v>9509</v>
      </c>
      <c r="S960" s="1" t="s">
        <v>74</v>
      </c>
      <c r="T960" s="1" t="s">
        <v>74</v>
      </c>
      <c r="U960" s="1" t="s">
        <v>74</v>
      </c>
      <c r="V960" s="1" t="s">
        <v>9510</v>
      </c>
      <c r="W960" s="1" t="s">
        <v>74</v>
      </c>
      <c r="X960" s="1" t="s">
        <v>74</v>
      </c>
      <c r="Y960" s="1" t="s">
        <v>74</v>
      </c>
      <c r="Z960" s="1" t="s">
        <v>74</v>
      </c>
      <c r="AA960" s="1" t="s">
        <v>9511</v>
      </c>
      <c r="AB960" s="1" t="s">
        <v>9512</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9513</v>
      </c>
      <c r="AP960" s="1" t="s">
        <v>9514</v>
      </c>
      <c r="AQ960" s="1" t="s">
        <v>74</v>
      </c>
      <c r="AR960" s="1" t="s">
        <v>74</v>
      </c>
      <c r="AS960" s="1" t="s">
        <v>74</v>
      </c>
      <c r="AT960" s="1" t="s">
        <v>9372</v>
      </c>
      <c r="AU960" s="1">
        <v>2021.0</v>
      </c>
      <c r="AV960" s="1">
        <v>289.0</v>
      </c>
      <c r="AW960" s="1">
        <v>3.0</v>
      </c>
      <c r="AX960" s="1" t="s">
        <v>74</v>
      </c>
      <c r="AY960" s="1" t="s">
        <v>74</v>
      </c>
      <c r="AZ960" s="1" t="s">
        <v>74</v>
      </c>
      <c r="BA960" s="1" t="s">
        <v>74</v>
      </c>
      <c r="BB960" s="1">
        <v>841.0</v>
      </c>
      <c r="BC960" s="1">
        <v>854.0</v>
      </c>
      <c r="BD960" s="1" t="s">
        <v>74</v>
      </c>
      <c r="BE960" s="1" t="s">
        <v>9515</v>
      </c>
      <c r="BF960" s="2" t="str">
        <f>HYPERLINK("http://dx.doi.org/10.1016/j.ejor.2019.07.055","http://dx.doi.org/10.1016/j.ejor.2019.07.055")</f>
        <v>http://dx.doi.org/10.1016/j.ejor.2019.07.055</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9516</v>
      </c>
      <c r="BT960" s="1" t="str">
        <f>HYPERLINK("https%3A%2F%2Fwww.webofscience.com%2Fwos%2Fwoscc%2Ffull-record%2FWOS:000596436100004","View Full Record in Web of Science")</f>
        <v>View Full Record in Web of Science</v>
      </c>
    </row>
    <row r="961" ht="12.75" customHeight="1">
      <c r="A961" s="1" t="s">
        <v>72</v>
      </c>
      <c r="B961" s="1" t="s">
        <v>9517</v>
      </c>
      <c r="C961" s="1" t="s">
        <v>74</v>
      </c>
      <c r="D961" s="1" t="s">
        <v>74</v>
      </c>
      <c r="E961" s="1" t="s">
        <v>74</v>
      </c>
      <c r="F961" s="1" t="s">
        <v>9518</v>
      </c>
      <c r="G961" s="1" t="s">
        <v>74</v>
      </c>
      <c r="H961" s="1" t="s">
        <v>74</v>
      </c>
      <c r="I961" s="1" t="s">
        <v>9519</v>
      </c>
      <c r="J961" s="1" t="s">
        <v>5111</v>
      </c>
      <c r="K961" s="1" t="s">
        <v>74</v>
      </c>
      <c r="L961" s="1" t="s">
        <v>74</v>
      </c>
      <c r="M961" s="1" t="s">
        <v>74</v>
      </c>
      <c r="N961" s="1" t="s">
        <v>74</v>
      </c>
      <c r="O961" s="1" t="s">
        <v>74</v>
      </c>
      <c r="P961" s="1" t="s">
        <v>74</v>
      </c>
      <c r="Q961" s="1" t="s">
        <v>74</v>
      </c>
      <c r="R961" s="1" t="s">
        <v>74</v>
      </c>
      <c r="S961" s="1" t="s">
        <v>74</v>
      </c>
      <c r="T961" s="1" t="s">
        <v>74</v>
      </c>
      <c r="U961" s="1" t="s">
        <v>74</v>
      </c>
      <c r="V961" s="1" t="s">
        <v>9520</v>
      </c>
      <c r="W961" s="1" t="s">
        <v>74</v>
      </c>
      <c r="X961" s="1" t="s">
        <v>74</v>
      </c>
      <c r="Y961" s="1" t="s">
        <v>74</v>
      </c>
      <c r="Z961" s="1" t="s">
        <v>74</v>
      </c>
      <c r="AA961" s="1" t="s">
        <v>9521</v>
      </c>
      <c r="AB961" s="1" t="s">
        <v>9522</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5115</v>
      </c>
      <c r="AP961" s="1" t="s">
        <v>5116</v>
      </c>
      <c r="AQ961" s="1" t="s">
        <v>74</v>
      </c>
      <c r="AR961" s="1" t="s">
        <v>74</v>
      </c>
      <c r="AS961" s="1" t="s">
        <v>74</v>
      </c>
      <c r="AT961" s="1" t="s">
        <v>1542</v>
      </c>
      <c r="AU961" s="1">
        <v>2021.0</v>
      </c>
      <c r="AV961" s="1">
        <v>168.0</v>
      </c>
      <c r="AW961" s="1" t="s">
        <v>74</v>
      </c>
      <c r="AX961" s="1" t="s">
        <v>74</v>
      </c>
      <c r="AY961" s="1" t="s">
        <v>74</v>
      </c>
      <c r="AZ961" s="1" t="s">
        <v>74</v>
      </c>
      <c r="BA961" s="1" t="s">
        <v>74</v>
      </c>
      <c r="BB961" s="1">
        <v>722.0</v>
      </c>
      <c r="BC961" s="1">
        <v>732.0</v>
      </c>
      <c r="BD961" s="1" t="s">
        <v>74</v>
      </c>
      <c r="BE961" s="1" t="s">
        <v>9523</v>
      </c>
      <c r="BF961" s="2" t="str">
        <f>HYPERLINK("http://dx.doi.org/10.1016/j.ijbiomac.2020.11.128","http://dx.doi.org/10.1016/j.ijbiomac.2020.11.128")</f>
        <v>http://dx.doi.org/10.1016/j.ijbiomac.2020.11.128</v>
      </c>
      <c r="BG961" s="1" t="s">
        <v>74</v>
      </c>
      <c r="BH961" s="1" t="s">
        <v>2027</v>
      </c>
      <c r="BI961" s="1" t="s">
        <v>74</v>
      </c>
      <c r="BJ961" s="1" t="s">
        <v>74</v>
      </c>
      <c r="BK961" s="1" t="s">
        <v>74</v>
      </c>
      <c r="BL961" s="1" t="s">
        <v>74</v>
      </c>
      <c r="BM961" s="1" t="s">
        <v>74</v>
      </c>
      <c r="BN961" s="1">
        <v>3.32327E7</v>
      </c>
      <c r="BO961" s="1" t="s">
        <v>74</v>
      </c>
      <c r="BP961" s="1" t="s">
        <v>74</v>
      </c>
      <c r="BQ961" s="1" t="s">
        <v>74</v>
      </c>
      <c r="BR961" s="1" t="s">
        <v>74</v>
      </c>
      <c r="BS961" s="1" t="s">
        <v>9524</v>
      </c>
      <c r="BT961" s="1" t="str">
        <f>HYPERLINK("https%3A%2F%2Fwww.webofscience.com%2Fwos%2Fwoscc%2Ffull-record%2FWOS:000608018200070","View Full Record in Web of Science")</f>
        <v>View Full Record in Web of Science</v>
      </c>
    </row>
    <row r="962" ht="12.75" customHeight="1">
      <c r="A962" s="1" t="s">
        <v>72</v>
      </c>
      <c r="B962" s="1" t="s">
        <v>9525</v>
      </c>
      <c r="C962" s="1" t="s">
        <v>74</v>
      </c>
      <c r="D962" s="1" t="s">
        <v>74</v>
      </c>
      <c r="E962" s="1" t="s">
        <v>74</v>
      </c>
      <c r="F962" s="1" t="s">
        <v>9526</v>
      </c>
      <c r="G962" s="1" t="s">
        <v>74</v>
      </c>
      <c r="H962" s="1" t="s">
        <v>74</v>
      </c>
      <c r="I962" s="1" t="s">
        <v>9527</v>
      </c>
      <c r="J962" s="1" t="s">
        <v>8306</v>
      </c>
      <c r="K962" s="1" t="s">
        <v>74</v>
      </c>
      <c r="L962" s="1" t="s">
        <v>74</v>
      </c>
      <c r="M962" s="1" t="s">
        <v>74</v>
      </c>
      <c r="N962" s="1" t="s">
        <v>74</v>
      </c>
      <c r="O962" s="1" t="s">
        <v>74</v>
      </c>
      <c r="P962" s="1" t="s">
        <v>74</v>
      </c>
      <c r="Q962" s="1" t="s">
        <v>74</v>
      </c>
      <c r="R962" s="1" t="s">
        <v>74</v>
      </c>
      <c r="S962" s="1" t="s">
        <v>74</v>
      </c>
      <c r="T962" s="1" t="s">
        <v>74</v>
      </c>
      <c r="U962" s="1" t="s">
        <v>74</v>
      </c>
      <c r="V962" s="1" t="s">
        <v>9528</v>
      </c>
      <c r="W962" s="1" t="s">
        <v>74</v>
      </c>
      <c r="X962" s="1" t="s">
        <v>74</v>
      </c>
      <c r="Y962" s="1" t="s">
        <v>74</v>
      </c>
      <c r="Z962" s="1" t="s">
        <v>74</v>
      </c>
      <c r="AA962" s="1" t="s">
        <v>3331</v>
      </c>
      <c r="AB962" s="1" t="s">
        <v>3332</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8310</v>
      </c>
      <c r="AP962" s="1" t="s">
        <v>8311</v>
      </c>
      <c r="AQ962" s="1" t="s">
        <v>74</v>
      </c>
      <c r="AR962" s="1" t="s">
        <v>74</v>
      </c>
      <c r="AS962" s="1" t="s">
        <v>74</v>
      </c>
      <c r="AT962" s="1" t="s">
        <v>308</v>
      </c>
      <c r="AU962" s="1">
        <v>2020.0</v>
      </c>
      <c r="AV962" s="1">
        <v>301.0</v>
      </c>
      <c r="AW962" s="1" t="s">
        <v>74</v>
      </c>
      <c r="AX962" s="1" t="s">
        <v>74</v>
      </c>
      <c r="AY962" s="1" t="s">
        <v>74</v>
      </c>
      <c r="AZ962" s="1" t="s">
        <v>74</v>
      </c>
      <c r="BA962" s="1" t="s">
        <v>74</v>
      </c>
      <c r="BB962" s="1" t="s">
        <v>74</v>
      </c>
      <c r="BC962" s="1" t="s">
        <v>74</v>
      </c>
      <c r="BD962" s="1">
        <v>122808.0</v>
      </c>
      <c r="BE962" s="1" t="s">
        <v>9529</v>
      </c>
      <c r="BF962" s="2" t="str">
        <f>HYPERLINK("http://dx.doi.org/10.1016/j.biortech.2020.122808","http://dx.doi.org/10.1016/j.biortech.2020.122808")</f>
        <v>http://dx.doi.org/10.1016/j.biortech.2020.122808</v>
      </c>
      <c r="BG962" s="1" t="s">
        <v>74</v>
      </c>
      <c r="BH962" s="1" t="s">
        <v>74</v>
      </c>
      <c r="BI962" s="1" t="s">
        <v>74</v>
      </c>
      <c r="BJ962" s="1" t="s">
        <v>74</v>
      </c>
      <c r="BK962" s="1" t="s">
        <v>74</v>
      </c>
      <c r="BL962" s="1" t="s">
        <v>74</v>
      </c>
      <c r="BM962" s="1" t="s">
        <v>74</v>
      </c>
      <c r="BN962" s="1">
        <v>3.198749E7</v>
      </c>
      <c r="BO962" s="1" t="s">
        <v>74</v>
      </c>
      <c r="BP962" s="1" t="s">
        <v>74</v>
      </c>
      <c r="BQ962" s="1" t="s">
        <v>74</v>
      </c>
      <c r="BR962" s="1" t="s">
        <v>74</v>
      </c>
      <c r="BS962" s="1" t="s">
        <v>9530</v>
      </c>
      <c r="BT962" s="1" t="str">
        <f>HYPERLINK("https%3A%2F%2Fwww.webofscience.com%2Fwos%2Fwoscc%2Ffull-record%2FWOS:000509989500007","View Full Record in Web of Science")</f>
        <v>View Full Record in Web of Science</v>
      </c>
    </row>
    <row r="963" ht="12.75" customHeight="1">
      <c r="A963" s="1" t="s">
        <v>72</v>
      </c>
      <c r="B963" s="1" t="s">
        <v>9531</v>
      </c>
      <c r="C963" s="1" t="s">
        <v>74</v>
      </c>
      <c r="D963" s="1" t="s">
        <v>74</v>
      </c>
      <c r="E963" s="1" t="s">
        <v>74</v>
      </c>
      <c r="F963" s="1" t="s">
        <v>9532</v>
      </c>
      <c r="G963" s="1" t="s">
        <v>74</v>
      </c>
      <c r="H963" s="1" t="s">
        <v>74</v>
      </c>
      <c r="I963" s="1" t="s">
        <v>9533</v>
      </c>
      <c r="J963" s="1" t="s">
        <v>9534</v>
      </c>
      <c r="K963" s="1" t="s">
        <v>74</v>
      </c>
      <c r="L963" s="1" t="s">
        <v>74</v>
      </c>
      <c r="M963" s="1" t="s">
        <v>74</v>
      </c>
      <c r="N963" s="1" t="s">
        <v>74</v>
      </c>
      <c r="O963" s="1" t="s">
        <v>74</v>
      </c>
      <c r="P963" s="1" t="s">
        <v>74</v>
      </c>
      <c r="Q963" s="1" t="s">
        <v>74</v>
      </c>
      <c r="R963" s="1" t="s">
        <v>74</v>
      </c>
      <c r="S963" s="1" t="s">
        <v>74</v>
      </c>
      <c r="T963" s="1" t="s">
        <v>74</v>
      </c>
      <c r="U963" s="1" t="s">
        <v>74</v>
      </c>
      <c r="V963" s="1" t="s">
        <v>9535</v>
      </c>
      <c r="W963" s="1" t="s">
        <v>74</v>
      </c>
      <c r="X963" s="1" t="s">
        <v>74</v>
      </c>
      <c r="Y963" s="1" t="s">
        <v>74</v>
      </c>
      <c r="Z963" s="1" t="s">
        <v>74</v>
      </c>
      <c r="AA963" s="1" t="s">
        <v>9536</v>
      </c>
      <c r="AB963" s="1" t="s">
        <v>9537</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9538</v>
      </c>
      <c r="AP963" s="1" t="s">
        <v>9539</v>
      </c>
      <c r="AQ963" s="1" t="s">
        <v>74</v>
      </c>
      <c r="AR963" s="1" t="s">
        <v>74</v>
      </c>
      <c r="AS963" s="1" t="s">
        <v>74</v>
      </c>
      <c r="AT963" s="1" t="s">
        <v>94</v>
      </c>
      <c r="AU963" s="1">
        <v>2019.0</v>
      </c>
      <c r="AV963" s="1">
        <v>47.0</v>
      </c>
      <c r="AW963" s="1">
        <v>3.0</v>
      </c>
      <c r="AX963" s="1" t="s">
        <v>74</v>
      </c>
      <c r="AY963" s="1" t="s">
        <v>74</v>
      </c>
      <c r="AZ963" s="1" t="s">
        <v>74</v>
      </c>
      <c r="BA963" s="1" t="s">
        <v>74</v>
      </c>
      <c r="BB963" s="1">
        <v>332.0</v>
      </c>
      <c r="BC963" s="1">
        <v>362.0</v>
      </c>
      <c r="BD963" s="1" t="s">
        <v>74</v>
      </c>
      <c r="BE963" s="1" t="s">
        <v>9540</v>
      </c>
      <c r="BF963" s="2" t="str">
        <f>HYPERLINK("http://dx.doi.org/10.1017/S1352465818000553","http://dx.doi.org/10.1017/S1352465818000553")</f>
        <v>http://dx.doi.org/10.1017/S1352465818000553</v>
      </c>
      <c r="BG963" s="1" t="s">
        <v>74</v>
      </c>
      <c r="BH963" s="1" t="s">
        <v>74</v>
      </c>
      <c r="BI963" s="1" t="s">
        <v>74</v>
      </c>
      <c r="BJ963" s="1" t="s">
        <v>74</v>
      </c>
      <c r="BK963" s="1" t="s">
        <v>74</v>
      </c>
      <c r="BL963" s="1" t="s">
        <v>74</v>
      </c>
      <c r="BM963" s="1" t="s">
        <v>74</v>
      </c>
      <c r="BN963" s="1">
        <v>3.0284528E7</v>
      </c>
      <c r="BO963" s="1" t="s">
        <v>74</v>
      </c>
      <c r="BP963" s="1" t="s">
        <v>74</v>
      </c>
      <c r="BQ963" s="1" t="s">
        <v>74</v>
      </c>
      <c r="BR963" s="1" t="s">
        <v>74</v>
      </c>
      <c r="BS963" s="1" t="s">
        <v>9541</v>
      </c>
      <c r="BT963" s="1" t="str">
        <f>HYPERLINK("https%3A%2F%2Fwww.webofscience.com%2Fwos%2Fwoscc%2Ffull-record%2FWOS:000461666200006","View Full Record in Web of Science")</f>
        <v>View Full Record in Web of Science</v>
      </c>
    </row>
    <row r="964" ht="12.75" customHeight="1">
      <c r="A964" s="1" t="s">
        <v>72</v>
      </c>
      <c r="B964" s="1" t="s">
        <v>9542</v>
      </c>
      <c r="C964" s="1" t="s">
        <v>74</v>
      </c>
      <c r="D964" s="1" t="s">
        <v>74</v>
      </c>
      <c r="E964" s="1" t="s">
        <v>74</v>
      </c>
      <c r="F964" s="1" t="s">
        <v>9543</v>
      </c>
      <c r="G964" s="1" t="s">
        <v>74</v>
      </c>
      <c r="H964" s="1" t="s">
        <v>74</v>
      </c>
      <c r="I964" s="1" t="s">
        <v>9544</v>
      </c>
      <c r="J964" s="1" t="s">
        <v>5455</v>
      </c>
      <c r="K964" s="1" t="s">
        <v>74</v>
      </c>
      <c r="L964" s="1" t="s">
        <v>74</v>
      </c>
      <c r="M964" s="1" t="s">
        <v>74</v>
      </c>
      <c r="N964" s="1" t="s">
        <v>74</v>
      </c>
      <c r="O964" s="1" t="s">
        <v>74</v>
      </c>
      <c r="P964" s="1" t="s">
        <v>74</v>
      </c>
      <c r="Q964" s="1" t="s">
        <v>74</v>
      </c>
      <c r="R964" s="1" t="s">
        <v>74</v>
      </c>
      <c r="S964" s="1" t="s">
        <v>74</v>
      </c>
      <c r="T964" s="1" t="s">
        <v>74</v>
      </c>
      <c r="U964" s="1" t="s">
        <v>74</v>
      </c>
      <c r="V964" s="1" t="s">
        <v>9545</v>
      </c>
      <c r="W964" s="1" t="s">
        <v>74</v>
      </c>
      <c r="X964" s="1" t="s">
        <v>74</v>
      </c>
      <c r="Y964" s="1" t="s">
        <v>74</v>
      </c>
      <c r="Z964" s="1" t="s">
        <v>74</v>
      </c>
      <c r="AA964" s="1" t="s">
        <v>9546</v>
      </c>
      <c r="AB964" s="1" t="s">
        <v>9547</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5458</v>
      </c>
      <c r="AP964" s="1" t="s">
        <v>74</v>
      </c>
      <c r="AQ964" s="1" t="s">
        <v>74</v>
      </c>
      <c r="AR964" s="1" t="s">
        <v>74</v>
      </c>
      <c r="AS964" s="1" t="s">
        <v>74</v>
      </c>
      <c r="AT964" s="1" t="s">
        <v>176</v>
      </c>
      <c r="AU964" s="1">
        <v>2019.0</v>
      </c>
      <c r="AV964" s="1">
        <v>159.0</v>
      </c>
      <c r="AW964" s="1" t="s">
        <v>74</v>
      </c>
      <c r="AX964" s="1" t="s">
        <v>74</v>
      </c>
      <c r="AY964" s="1" t="s">
        <v>74</v>
      </c>
      <c r="AZ964" s="1" t="s">
        <v>74</v>
      </c>
      <c r="BA964" s="1" t="s">
        <v>74</v>
      </c>
      <c r="BB964" s="1">
        <v>90.0</v>
      </c>
      <c r="BC964" s="1">
        <v>101.0</v>
      </c>
      <c r="BD964" s="1" t="s">
        <v>74</v>
      </c>
      <c r="BE964" s="1" t="s">
        <v>9548</v>
      </c>
      <c r="BF964" s="2" t="str">
        <f>HYPERLINK("http://dx.doi.org/10.1016/j.phytochem.2018.12.009","http://dx.doi.org/10.1016/j.phytochem.2018.12.009")</f>
        <v>http://dx.doi.org/10.1016/j.phytochem.2018.12.009</v>
      </c>
      <c r="BG964" s="1" t="s">
        <v>74</v>
      </c>
      <c r="BH964" s="1" t="s">
        <v>74</v>
      </c>
      <c r="BI964" s="1" t="s">
        <v>74</v>
      </c>
      <c r="BJ964" s="1" t="s">
        <v>74</v>
      </c>
      <c r="BK964" s="1" t="s">
        <v>74</v>
      </c>
      <c r="BL964" s="1" t="s">
        <v>74</v>
      </c>
      <c r="BM964" s="1" t="s">
        <v>74</v>
      </c>
      <c r="BN964" s="1">
        <v>3.0605853E7</v>
      </c>
      <c r="BO964" s="1" t="s">
        <v>74</v>
      </c>
      <c r="BP964" s="1" t="s">
        <v>74</v>
      </c>
      <c r="BQ964" s="1" t="s">
        <v>74</v>
      </c>
      <c r="BR964" s="1" t="s">
        <v>74</v>
      </c>
      <c r="BS964" s="1" t="s">
        <v>9549</v>
      </c>
      <c r="BT964" s="1" t="str">
        <f>HYPERLINK("https%3A%2F%2Fwww.webofscience.com%2Fwos%2Fwoscc%2Ffull-record%2FWOS:000458710000010","View Full Record in Web of Science")</f>
        <v>View Full Record in Web of Science</v>
      </c>
    </row>
    <row r="965" ht="12.75" customHeight="1">
      <c r="A965" s="1" t="s">
        <v>72</v>
      </c>
      <c r="B965" s="1" t="s">
        <v>9550</v>
      </c>
      <c r="C965" s="1" t="s">
        <v>74</v>
      </c>
      <c r="D965" s="1" t="s">
        <v>74</v>
      </c>
      <c r="E965" s="1" t="s">
        <v>74</v>
      </c>
      <c r="F965" s="1" t="s">
        <v>9551</v>
      </c>
      <c r="G965" s="1" t="s">
        <v>74</v>
      </c>
      <c r="H965" s="1" t="s">
        <v>74</v>
      </c>
      <c r="I965" s="1" t="s">
        <v>9552</v>
      </c>
      <c r="J965" s="1" t="s">
        <v>9553</v>
      </c>
      <c r="K965" s="1" t="s">
        <v>74</v>
      </c>
      <c r="L965" s="1" t="s">
        <v>74</v>
      </c>
      <c r="M965" s="1" t="s">
        <v>74</v>
      </c>
      <c r="N965" s="1" t="s">
        <v>74</v>
      </c>
      <c r="O965" s="1" t="s">
        <v>74</v>
      </c>
      <c r="P965" s="1" t="s">
        <v>74</v>
      </c>
      <c r="Q965" s="1" t="s">
        <v>74</v>
      </c>
      <c r="R965" s="1" t="s">
        <v>74</v>
      </c>
      <c r="S965" s="1" t="s">
        <v>74</v>
      </c>
      <c r="T965" s="1" t="s">
        <v>74</v>
      </c>
      <c r="U965" s="1" t="s">
        <v>74</v>
      </c>
      <c r="V965" s="1" t="s">
        <v>74</v>
      </c>
      <c r="W965" s="1" t="s">
        <v>74</v>
      </c>
      <c r="X965" s="1" t="s">
        <v>74</v>
      </c>
      <c r="Y965" s="1" t="s">
        <v>74</v>
      </c>
      <c r="Z965" s="1" t="s">
        <v>74</v>
      </c>
      <c r="AA965" s="1" t="s">
        <v>9554</v>
      </c>
      <c r="AB965" s="1" t="s">
        <v>9555</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9556</v>
      </c>
      <c r="AP965" s="1" t="s">
        <v>9557</v>
      </c>
      <c r="AQ965" s="1" t="s">
        <v>74</v>
      </c>
      <c r="AR965" s="1" t="s">
        <v>74</v>
      </c>
      <c r="AS965" s="1" t="s">
        <v>74</v>
      </c>
      <c r="AT965" s="1" t="s">
        <v>151</v>
      </c>
      <c r="AU965" s="1">
        <v>2018.0</v>
      </c>
      <c r="AV965" s="1">
        <v>12.0</v>
      </c>
      <c r="AW965" s="1" t="s">
        <v>74</v>
      </c>
      <c r="AX965" s="1" t="s">
        <v>74</v>
      </c>
      <c r="AY965" s="1">
        <v>1.0</v>
      </c>
      <c r="AZ965" s="1" t="s">
        <v>74</v>
      </c>
      <c r="BA965" s="1" t="s">
        <v>9558</v>
      </c>
      <c r="BB965" s="1">
        <v>225.0</v>
      </c>
      <c r="BC965" s="1">
        <v>225.0</v>
      </c>
      <c r="BD965" s="1" t="s">
        <v>74</v>
      </c>
      <c r="BE965" s="1" t="s">
        <v>74</v>
      </c>
      <c r="BF965" s="1" t="s">
        <v>74</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9559</v>
      </c>
      <c r="BT965" s="1" t="str">
        <f>HYPERLINK("https%3A%2F%2Fwww.webofscience.com%2Fwos%2Fwoscc%2Ffull-record%2FWOS:000444798900633","View Full Record in Web of Science")</f>
        <v>View Full Record in Web of Science</v>
      </c>
    </row>
    <row r="966" ht="12.75" customHeight="1">
      <c r="A966" s="1" t="s">
        <v>72</v>
      </c>
      <c r="B966" s="1" t="s">
        <v>9560</v>
      </c>
      <c r="C966" s="1" t="s">
        <v>74</v>
      </c>
      <c r="D966" s="1" t="s">
        <v>74</v>
      </c>
      <c r="E966" s="1" t="s">
        <v>74</v>
      </c>
      <c r="F966" s="1" t="s">
        <v>9561</v>
      </c>
      <c r="G966" s="1" t="s">
        <v>74</v>
      </c>
      <c r="H966" s="1" t="s">
        <v>74</v>
      </c>
      <c r="I966" s="1" t="s">
        <v>9562</v>
      </c>
      <c r="J966" s="1" t="s">
        <v>6467</v>
      </c>
      <c r="K966" s="1" t="s">
        <v>74</v>
      </c>
      <c r="L966" s="1" t="s">
        <v>74</v>
      </c>
      <c r="M966" s="1" t="s">
        <v>74</v>
      </c>
      <c r="N966" s="1" t="s">
        <v>74</v>
      </c>
      <c r="O966" s="1" t="s">
        <v>74</v>
      </c>
      <c r="P966" s="1" t="s">
        <v>74</v>
      </c>
      <c r="Q966" s="1" t="s">
        <v>74</v>
      </c>
      <c r="R966" s="1" t="s">
        <v>74</v>
      </c>
      <c r="S966" s="1" t="s">
        <v>74</v>
      </c>
      <c r="T966" s="1" t="s">
        <v>74</v>
      </c>
      <c r="U966" s="1" t="s">
        <v>74</v>
      </c>
      <c r="V966" s="1" t="s">
        <v>9563</v>
      </c>
      <c r="W966" s="1" t="s">
        <v>74</v>
      </c>
      <c r="X966" s="1" t="s">
        <v>74</v>
      </c>
      <c r="Y966" s="1" t="s">
        <v>74</v>
      </c>
      <c r="Z966" s="1" t="s">
        <v>74</v>
      </c>
      <c r="AA966" s="1" t="s">
        <v>9564</v>
      </c>
      <c r="AB966" s="1" t="s">
        <v>9565</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6471</v>
      </c>
      <c r="AP966" s="1" t="s">
        <v>6472</v>
      </c>
      <c r="AQ966" s="1" t="s">
        <v>74</v>
      </c>
      <c r="AR966" s="1" t="s">
        <v>74</v>
      </c>
      <c r="AS966" s="1" t="s">
        <v>74</v>
      </c>
      <c r="AT966" s="1" t="s">
        <v>3323</v>
      </c>
      <c r="AU966" s="1">
        <v>2014.0</v>
      </c>
      <c r="AV966" s="1">
        <v>187.0</v>
      </c>
      <c r="AW966" s="1" t="s">
        <v>74</v>
      </c>
      <c r="AX966" s="1" t="s">
        <v>74</v>
      </c>
      <c r="AY966" s="1" t="s">
        <v>74</v>
      </c>
      <c r="AZ966" s="1" t="s">
        <v>74</v>
      </c>
      <c r="BA966" s="1" t="s">
        <v>74</v>
      </c>
      <c r="BB966" s="1">
        <v>108.0</v>
      </c>
      <c r="BC966" s="1">
        <v>115.0</v>
      </c>
      <c r="BD966" s="1" t="s">
        <v>74</v>
      </c>
      <c r="BE966" s="1" t="s">
        <v>9566</v>
      </c>
      <c r="BF966" s="2" t="str">
        <f>HYPERLINK("http://dx.doi.org/10.1016/j.jbiotec.2014.07.017","http://dx.doi.org/10.1016/j.jbiotec.2014.07.017")</f>
        <v>http://dx.doi.org/10.1016/j.jbiotec.2014.07.017</v>
      </c>
      <c r="BG966" s="1" t="s">
        <v>74</v>
      </c>
      <c r="BH966" s="1" t="s">
        <v>74</v>
      </c>
      <c r="BI966" s="1" t="s">
        <v>74</v>
      </c>
      <c r="BJ966" s="1" t="s">
        <v>74</v>
      </c>
      <c r="BK966" s="1" t="s">
        <v>74</v>
      </c>
      <c r="BL966" s="1" t="s">
        <v>74</v>
      </c>
      <c r="BM966" s="1" t="s">
        <v>74</v>
      </c>
      <c r="BN966" s="1">
        <v>2.5064158E7</v>
      </c>
      <c r="BO966" s="1" t="s">
        <v>74</v>
      </c>
      <c r="BP966" s="1" t="s">
        <v>74</v>
      </c>
      <c r="BQ966" s="1" t="s">
        <v>74</v>
      </c>
      <c r="BR966" s="1" t="s">
        <v>74</v>
      </c>
      <c r="BS966" s="1" t="s">
        <v>9567</v>
      </c>
      <c r="BT966" s="1" t="str">
        <f>HYPERLINK("https%3A%2F%2Fwww.webofscience.com%2Fwos%2Fwoscc%2Ffull-record%2FWOS:000343837000015","View Full Record in Web of Science")</f>
        <v>View Full Record in Web of Science</v>
      </c>
    </row>
    <row r="967" ht="12.75" customHeight="1">
      <c r="A967" s="1" t="s">
        <v>72</v>
      </c>
      <c r="B967" s="1" t="s">
        <v>9568</v>
      </c>
      <c r="C967" s="1" t="s">
        <v>74</v>
      </c>
      <c r="D967" s="1" t="s">
        <v>74</v>
      </c>
      <c r="E967" s="1" t="s">
        <v>74</v>
      </c>
      <c r="F967" s="1" t="s">
        <v>9569</v>
      </c>
      <c r="G967" s="1" t="s">
        <v>74</v>
      </c>
      <c r="H967" s="1" t="s">
        <v>74</v>
      </c>
      <c r="I967" s="1" t="s">
        <v>9570</v>
      </c>
      <c r="J967" s="1" t="s">
        <v>583</v>
      </c>
      <c r="K967" s="1" t="s">
        <v>74</v>
      </c>
      <c r="L967" s="1" t="s">
        <v>74</v>
      </c>
      <c r="M967" s="1" t="s">
        <v>74</v>
      </c>
      <c r="N967" s="1" t="s">
        <v>74</v>
      </c>
      <c r="O967" s="1" t="s">
        <v>74</v>
      </c>
      <c r="P967" s="1" t="s">
        <v>74</v>
      </c>
      <c r="Q967" s="1" t="s">
        <v>74</v>
      </c>
      <c r="R967" s="1" t="s">
        <v>74</v>
      </c>
      <c r="S967" s="1" t="s">
        <v>74</v>
      </c>
      <c r="T967" s="1" t="s">
        <v>74</v>
      </c>
      <c r="U967" s="1" t="s">
        <v>74</v>
      </c>
      <c r="V967" s="1" t="s">
        <v>9571</v>
      </c>
      <c r="W967" s="1" t="s">
        <v>74</v>
      </c>
      <c r="X967" s="1" t="s">
        <v>74</v>
      </c>
      <c r="Y967" s="1" t="s">
        <v>74</v>
      </c>
      <c r="Z967" s="1" t="s">
        <v>74</v>
      </c>
      <c r="AA967" s="1" t="s">
        <v>9572</v>
      </c>
      <c r="AB967" s="1" t="s">
        <v>9573</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587</v>
      </c>
      <c r="AP967" s="1" t="s">
        <v>588</v>
      </c>
      <c r="AQ967" s="1" t="s">
        <v>74</v>
      </c>
      <c r="AR967" s="1" t="s">
        <v>74</v>
      </c>
      <c r="AS967" s="1" t="s">
        <v>74</v>
      </c>
      <c r="AT967" s="1" t="s">
        <v>74</v>
      </c>
      <c r="AU967" s="1">
        <v>2014.0</v>
      </c>
      <c r="AV967" s="1">
        <v>67.0</v>
      </c>
      <c r="AW967" s="1" t="s">
        <v>9574</v>
      </c>
      <c r="AX967" s="1" t="s">
        <v>74</v>
      </c>
      <c r="AY967" s="1" t="s">
        <v>74</v>
      </c>
      <c r="AZ967" s="1" t="s">
        <v>1350</v>
      </c>
      <c r="BA967" s="1" t="s">
        <v>74</v>
      </c>
      <c r="BB967" s="1">
        <v>3894.0</v>
      </c>
      <c r="BC967" s="1">
        <v>3908.0</v>
      </c>
      <c r="BD967" s="1" t="s">
        <v>74</v>
      </c>
      <c r="BE967" s="1" t="s">
        <v>9575</v>
      </c>
      <c r="BF967" s="2" t="str">
        <f>HYPERLINK("http://dx.doi.org/10.1080/00958972.2014.968145","http://dx.doi.org/10.1080/00958972.2014.968145")</f>
        <v>http://dx.doi.org/10.1080/00958972.2014.968145</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9576</v>
      </c>
      <c r="BT967" s="1" t="str">
        <f>HYPERLINK("https%3A%2F%2Fwww.webofscience.com%2Fwos%2Fwoscc%2Ffull-record%2FWOS:000345454600012","View Full Record in Web of Science")</f>
        <v>View Full Record in Web of Science</v>
      </c>
    </row>
    <row r="968" ht="12.75" customHeight="1">
      <c r="A968" s="1" t="s">
        <v>72</v>
      </c>
      <c r="B968" s="1" t="s">
        <v>9577</v>
      </c>
      <c r="C968" s="1" t="s">
        <v>74</v>
      </c>
      <c r="D968" s="1" t="s">
        <v>74</v>
      </c>
      <c r="E968" s="1" t="s">
        <v>74</v>
      </c>
      <c r="F968" s="1" t="s">
        <v>9578</v>
      </c>
      <c r="G968" s="1" t="s">
        <v>74</v>
      </c>
      <c r="H968" s="1" t="s">
        <v>74</v>
      </c>
      <c r="I968" s="1" t="s">
        <v>9579</v>
      </c>
      <c r="J968" s="1" t="s">
        <v>9580</v>
      </c>
      <c r="K968" s="1" t="s">
        <v>74</v>
      </c>
      <c r="L968" s="1" t="s">
        <v>74</v>
      </c>
      <c r="M968" s="1" t="s">
        <v>74</v>
      </c>
      <c r="N968" s="1" t="s">
        <v>74</v>
      </c>
      <c r="O968" s="1" t="s">
        <v>74</v>
      </c>
      <c r="P968" s="1" t="s">
        <v>74</v>
      </c>
      <c r="Q968" s="1" t="s">
        <v>74</v>
      </c>
      <c r="R968" s="1" t="s">
        <v>74</v>
      </c>
      <c r="S968" s="1" t="s">
        <v>74</v>
      </c>
      <c r="T968" s="1" t="s">
        <v>74</v>
      </c>
      <c r="U968" s="1" t="s">
        <v>74</v>
      </c>
      <c r="V968" s="1" t="s">
        <v>9581</v>
      </c>
      <c r="W968" s="1" t="s">
        <v>74</v>
      </c>
      <c r="X968" s="1" t="s">
        <v>74</v>
      </c>
      <c r="Y968" s="1" t="s">
        <v>74</v>
      </c>
      <c r="Z968" s="1" t="s">
        <v>74</v>
      </c>
      <c r="AA968" s="1" t="s">
        <v>9582</v>
      </c>
      <c r="AB968" s="1" t="s">
        <v>9583</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9584</v>
      </c>
      <c r="AP968" s="1" t="s">
        <v>9585</v>
      </c>
      <c r="AQ968" s="1" t="s">
        <v>74</v>
      </c>
      <c r="AR968" s="1" t="s">
        <v>74</v>
      </c>
      <c r="AS968" s="1" t="s">
        <v>74</v>
      </c>
      <c r="AT968" s="1" t="s">
        <v>385</v>
      </c>
      <c r="AU968" s="1">
        <v>2011.0</v>
      </c>
      <c r="AV968" s="1">
        <v>16.0</v>
      </c>
      <c r="AW968" s="1">
        <v>2.0</v>
      </c>
      <c r="AX968" s="1" t="s">
        <v>74</v>
      </c>
      <c r="AY968" s="1" t="s">
        <v>74</v>
      </c>
      <c r="AZ968" s="1" t="s">
        <v>74</v>
      </c>
      <c r="BA968" s="1" t="s">
        <v>74</v>
      </c>
      <c r="BB968" s="1" t="s">
        <v>9586</v>
      </c>
      <c r="BC968" s="1" t="s">
        <v>9587</v>
      </c>
      <c r="BD968" s="1" t="s">
        <v>74</v>
      </c>
      <c r="BE968" s="1" t="s">
        <v>9588</v>
      </c>
      <c r="BF968" s="2" t="str">
        <f>HYPERLINK("http://dx.doi.org/10.3275/7310","http://dx.doi.org/10.3275/7310")</f>
        <v>http://dx.doi.org/10.3275/7310</v>
      </c>
      <c r="BG968" s="1" t="s">
        <v>74</v>
      </c>
      <c r="BH968" s="1" t="s">
        <v>74</v>
      </c>
      <c r="BI968" s="1" t="s">
        <v>74</v>
      </c>
      <c r="BJ968" s="1" t="s">
        <v>74</v>
      </c>
      <c r="BK968" s="1" t="s">
        <v>74</v>
      </c>
      <c r="BL968" s="1" t="s">
        <v>74</v>
      </c>
      <c r="BM968" s="1" t="s">
        <v>74</v>
      </c>
      <c r="BN968" s="1">
        <v>2.0966636E7</v>
      </c>
      <c r="BO968" s="1" t="s">
        <v>74</v>
      </c>
      <c r="BP968" s="1" t="s">
        <v>74</v>
      </c>
      <c r="BQ968" s="1" t="s">
        <v>74</v>
      </c>
      <c r="BR968" s="1" t="s">
        <v>74</v>
      </c>
      <c r="BS968" s="1" t="s">
        <v>9589</v>
      </c>
      <c r="BT968" s="1" t="str">
        <f>HYPERLINK("https%3A%2F%2Fwww.webofscience.com%2Fwos%2Fwoscc%2Ffull-record%2FWOS:000208653100001","View Full Record in Web of Science")</f>
        <v>View Full Record in Web of Science</v>
      </c>
    </row>
    <row r="969" ht="12.75" customHeight="1">
      <c r="A969" s="1" t="s">
        <v>72</v>
      </c>
      <c r="B969" s="1" t="s">
        <v>9590</v>
      </c>
      <c r="C969" s="1" t="s">
        <v>74</v>
      </c>
      <c r="D969" s="1" t="s">
        <v>74</v>
      </c>
      <c r="E969" s="1" t="s">
        <v>74</v>
      </c>
      <c r="F969" s="1" t="s">
        <v>9591</v>
      </c>
      <c r="G969" s="1" t="s">
        <v>74</v>
      </c>
      <c r="H969" s="1" t="s">
        <v>74</v>
      </c>
      <c r="I969" s="1" t="s">
        <v>9592</v>
      </c>
      <c r="J969" s="1" t="s">
        <v>9593</v>
      </c>
      <c r="K969" s="1" t="s">
        <v>74</v>
      </c>
      <c r="L969" s="1" t="s">
        <v>74</v>
      </c>
      <c r="M969" s="1" t="s">
        <v>74</v>
      </c>
      <c r="N969" s="1" t="s">
        <v>74</v>
      </c>
      <c r="O969" s="1" t="s">
        <v>74</v>
      </c>
      <c r="P969" s="1" t="s">
        <v>74</v>
      </c>
      <c r="Q969" s="1" t="s">
        <v>74</v>
      </c>
      <c r="R969" s="1" t="s">
        <v>74</v>
      </c>
      <c r="S969" s="1" t="s">
        <v>74</v>
      </c>
      <c r="T969" s="1" t="s">
        <v>74</v>
      </c>
      <c r="U969" s="1" t="s">
        <v>74</v>
      </c>
      <c r="V969" s="1" t="s">
        <v>9594</v>
      </c>
      <c r="W969" s="1" t="s">
        <v>74</v>
      </c>
      <c r="X969" s="1" t="s">
        <v>74</v>
      </c>
      <c r="Y969" s="1" t="s">
        <v>74</v>
      </c>
      <c r="Z969" s="1" t="s">
        <v>74</v>
      </c>
      <c r="AA969" s="1" t="s">
        <v>1004</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9595</v>
      </c>
      <c r="AP969" s="1" t="s">
        <v>9596</v>
      </c>
      <c r="AQ969" s="1" t="s">
        <v>74</v>
      </c>
      <c r="AR969" s="1" t="s">
        <v>74</v>
      </c>
      <c r="AS969" s="1" t="s">
        <v>74</v>
      </c>
      <c r="AT969" s="1" t="s">
        <v>2142</v>
      </c>
      <c r="AU969" s="1">
        <v>2011.0</v>
      </c>
      <c r="AV969" s="1">
        <v>37.0</v>
      </c>
      <c r="AW969" s="1">
        <v>2.0</v>
      </c>
      <c r="AX969" s="1" t="s">
        <v>74</v>
      </c>
      <c r="AY969" s="1" t="s">
        <v>74</v>
      </c>
      <c r="AZ969" s="1" t="s">
        <v>74</v>
      </c>
      <c r="BA969" s="1" t="s">
        <v>74</v>
      </c>
      <c r="BB969" s="1">
        <v>103.0</v>
      </c>
      <c r="BC969" s="1">
        <v>109.0</v>
      </c>
      <c r="BD969" s="1" t="s">
        <v>74</v>
      </c>
      <c r="BE969" s="1" t="s">
        <v>9597</v>
      </c>
      <c r="BF969" s="2" t="str">
        <f>HYPERLINK("http://dx.doi.org/10.1016/j.actao.2011.01.002","http://dx.doi.org/10.1016/j.actao.2011.01.002")</f>
        <v>http://dx.doi.org/10.1016/j.actao.2011.01.002</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9598</v>
      </c>
      <c r="BT969" s="1" t="str">
        <f>HYPERLINK("https%3A%2F%2Fwww.webofscience.com%2Fwos%2Fwoscc%2Ffull-record%2FWOS:000288767800009","View Full Record in Web of Science")</f>
        <v>View Full Record in Web of Science</v>
      </c>
    </row>
    <row r="970" ht="12.75" customHeight="1">
      <c r="A970" s="1" t="s">
        <v>72</v>
      </c>
      <c r="B970" s="1" t="s">
        <v>9599</v>
      </c>
      <c r="C970" s="1" t="s">
        <v>74</v>
      </c>
      <c r="D970" s="1" t="s">
        <v>74</v>
      </c>
      <c r="E970" s="1" t="s">
        <v>74</v>
      </c>
      <c r="F970" s="1" t="s">
        <v>9600</v>
      </c>
      <c r="G970" s="1" t="s">
        <v>74</v>
      </c>
      <c r="H970" s="1" t="s">
        <v>74</v>
      </c>
      <c r="I970" s="1" t="s">
        <v>9601</v>
      </c>
      <c r="J970" s="1" t="s">
        <v>5208</v>
      </c>
      <c r="K970" s="1" t="s">
        <v>74</v>
      </c>
      <c r="L970" s="1" t="s">
        <v>74</v>
      </c>
      <c r="M970" s="1" t="s">
        <v>74</v>
      </c>
      <c r="N970" s="1" t="s">
        <v>74</v>
      </c>
      <c r="O970" s="1" t="s">
        <v>74</v>
      </c>
      <c r="P970" s="1" t="s">
        <v>74</v>
      </c>
      <c r="Q970" s="1" t="s">
        <v>74</v>
      </c>
      <c r="R970" s="1" t="s">
        <v>74</v>
      </c>
      <c r="S970" s="1" t="s">
        <v>74</v>
      </c>
      <c r="T970" s="1" t="s">
        <v>74</v>
      </c>
      <c r="U970" s="1" t="s">
        <v>74</v>
      </c>
      <c r="V970" s="1" t="s">
        <v>9602</v>
      </c>
      <c r="W970" s="1" t="s">
        <v>74</v>
      </c>
      <c r="X970" s="1" t="s">
        <v>74</v>
      </c>
      <c r="Y970" s="1" t="s">
        <v>74</v>
      </c>
      <c r="Z970" s="1" t="s">
        <v>74</v>
      </c>
      <c r="AA970" s="1" t="s">
        <v>9603</v>
      </c>
      <c r="AB970" s="1" t="s">
        <v>9604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5212</v>
      </c>
      <c r="AP970" s="1" t="s">
        <v>74</v>
      </c>
      <c r="AQ970" s="1" t="s">
        <v>74</v>
      </c>
      <c r="AR970" s="1" t="s">
        <v>74</v>
      </c>
      <c r="AS970" s="1" t="s">
        <v>74</v>
      </c>
      <c r="AT970" s="1" t="s">
        <v>9605</v>
      </c>
      <c r="AU970" s="1">
        <v>2010.0</v>
      </c>
      <c r="AV970" s="1">
        <v>70.0</v>
      </c>
      <c r="AW970" s="1">
        <v>3.0</v>
      </c>
      <c r="AX970" s="1" t="s">
        <v>74</v>
      </c>
      <c r="AY970" s="1" t="s">
        <v>74</v>
      </c>
      <c r="AZ970" s="1" t="s">
        <v>74</v>
      </c>
      <c r="BA970" s="1" t="s">
        <v>74</v>
      </c>
      <c r="BB970" s="1">
        <v>372.0</v>
      </c>
      <c r="BC970" s="1">
        <v>380.0</v>
      </c>
      <c r="BD970" s="1" t="s">
        <v>74</v>
      </c>
      <c r="BE970" s="1" t="s">
        <v>74</v>
      </c>
      <c r="BF970" s="1" t="s">
        <v>74</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9606</v>
      </c>
      <c r="BT970" s="1" t="str">
        <f>HYPERLINK("https%3A%2F%2Fwww.webofscience.com%2Fwos%2Fwoscc%2Ffull-record%2FWOS:000283710800004","View Full Record in Web of Science")</f>
        <v>View Full Record in Web of Science</v>
      </c>
    </row>
    <row r="971" ht="12.75" customHeight="1">
      <c r="A971" s="1" t="s">
        <v>72</v>
      </c>
      <c r="B971" s="1" t="s">
        <v>9607</v>
      </c>
      <c r="C971" s="1" t="s">
        <v>74</v>
      </c>
      <c r="D971" s="1" t="s">
        <v>74</v>
      </c>
      <c r="E971" s="1" t="s">
        <v>74</v>
      </c>
      <c r="F971" s="1" t="s">
        <v>9608</v>
      </c>
      <c r="G971" s="1" t="s">
        <v>74</v>
      </c>
      <c r="H971" s="1" t="s">
        <v>74</v>
      </c>
      <c r="I971" s="1" t="s">
        <v>9609</v>
      </c>
      <c r="J971" s="1" t="s">
        <v>9610</v>
      </c>
      <c r="K971" s="1" t="s">
        <v>74</v>
      </c>
      <c r="L971" s="1" t="s">
        <v>74</v>
      </c>
      <c r="M971" s="1" t="s">
        <v>74</v>
      </c>
      <c r="N971" s="1" t="s">
        <v>74</v>
      </c>
      <c r="O971" s="1" t="s">
        <v>74</v>
      </c>
      <c r="P971" s="1" t="s">
        <v>74</v>
      </c>
      <c r="Q971" s="1" t="s">
        <v>74</v>
      </c>
      <c r="R971" s="1" t="s">
        <v>74</v>
      </c>
      <c r="S971" s="1" t="s">
        <v>74</v>
      </c>
      <c r="T971" s="1" t="s">
        <v>74</v>
      </c>
      <c r="U971" s="1" t="s">
        <v>74</v>
      </c>
      <c r="V971" s="1" t="s">
        <v>9611</v>
      </c>
      <c r="W971" s="1" t="s">
        <v>74</v>
      </c>
      <c r="X971" s="1" t="s">
        <v>74</v>
      </c>
      <c r="Y971" s="1" t="s">
        <v>74</v>
      </c>
      <c r="Z971" s="1" t="s">
        <v>74</v>
      </c>
      <c r="AA971" s="1" t="s">
        <v>9612</v>
      </c>
      <c r="AB971" s="1" t="s">
        <v>9613</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9614</v>
      </c>
      <c r="AP971" s="1" t="s">
        <v>9615</v>
      </c>
      <c r="AQ971" s="1" t="s">
        <v>74</v>
      </c>
      <c r="AR971" s="1" t="s">
        <v>74</v>
      </c>
      <c r="AS971" s="1" t="s">
        <v>74</v>
      </c>
      <c r="AT971" s="1" t="s">
        <v>1082</v>
      </c>
      <c r="AU971" s="1">
        <v>2009.0</v>
      </c>
      <c r="AV971" s="1">
        <v>3.0</v>
      </c>
      <c r="AW971" s="1">
        <v>11.0</v>
      </c>
      <c r="AX971" s="1" t="s">
        <v>74</v>
      </c>
      <c r="AY971" s="1" t="s">
        <v>74</v>
      </c>
      <c r="AZ971" s="1" t="s">
        <v>74</v>
      </c>
      <c r="BA971" s="1" t="s">
        <v>74</v>
      </c>
      <c r="BB971" s="1">
        <v>3463.0</v>
      </c>
      <c r="BC971" s="1">
        <v>3468.0</v>
      </c>
      <c r="BD971" s="1" t="s">
        <v>74</v>
      </c>
      <c r="BE971" s="1" t="s">
        <v>9616</v>
      </c>
      <c r="BF971" s="2" t="str">
        <f>HYPERLINK("http://dx.doi.org/10.1021/nn900909q","http://dx.doi.org/10.1021/nn900909q")</f>
        <v>http://dx.doi.org/10.1021/nn900909q</v>
      </c>
      <c r="BG971" s="1" t="s">
        <v>74</v>
      </c>
      <c r="BH971" s="1" t="s">
        <v>74</v>
      </c>
      <c r="BI971" s="1" t="s">
        <v>74</v>
      </c>
      <c r="BJ971" s="1" t="s">
        <v>74</v>
      </c>
      <c r="BK971" s="1" t="s">
        <v>74</v>
      </c>
      <c r="BL971" s="1" t="s">
        <v>74</v>
      </c>
      <c r="BM971" s="1" t="s">
        <v>74</v>
      </c>
      <c r="BN971" s="1">
        <v>1.9803498E7</v>
      </c>
      <c r="BO971" s="1" t="s">
        <v>74</v>
      </c>
      <c r="BP971" s="1" t="s">
        <v>74</v>
      </c>
      <c r="BQ971" s="1" t="s">
        <v>74</v>
      </c>
      <c r="BR971" s="1" t="s">
        <v>74</v>
      </c>
      <c r="BS971" s="1" t="s">
        <v>9617</v>
      </c>
      <c r="BT971" s="1" t="str">
        <f>HYPERLINK("https%3A%2F%2Fwww.webofscience.com%2Fwos%2Fwoscc%2Ffull-record%2FWOS:000271951200018","View Full Record in Web of Science")</f>
        <v>View Full Record in Web of Science</v>
      </c>
    </row>
    <row r="972" ht="12.75" customHeight="1">
      <c r="A972" s="1" t="s">
        <v>72</v>
      </c>
      <c r="B972" s="1" t="s">
        <v>9618</v>
      </c>
      <c r="C972" s="1" t="s">
        <v>74</v>
      </c>
      <c r="D972" s="1" t="s">
        <v>74</v>
      </c>
      <c r="E972" s="1" t="s">
        <v>74</v>
      </c>
      <c r="F972" s="1" t="s">
        <v>9619</v>
      </c>
      <c r="G972" s="1" t="s">
        <v>74</v>
      </c>
      <c r="H972" s="1" t="s">
        <v>74</v>
      </c>
      <c r="I972" s="1" t="s">
        <v>9620</v>
      </c>
      <c r="J972" s="1" t="s">
        <v>1558</v>
      </c>
      <c r="K972" s="1" t="s">
        <v>74</v>
      </c>
      <c r="L972" s="1" t="s">
        <v>74</v>
      </c>
      <c r="M972" s="1" t="s">
        <v>74</v>
      </c>
      <c r="N972" s="1" t="s">
        <v>74</v>
      </c>
      <c r="O972" s="1" t="s">
        <v>74</v>
      </c>
      <c r="P972" s="1" t="s">
        <v>74</v>
      </c>
      <c r="Q972" s="1" t="s">
        <v>74</v>
      </c>
      <c r="R972" s="1" t="s">
        <v>74</v>
      </c>
      <c r="S972" s="1" t="s">
        <v>74</v>
      </c>
      <c r="T972" s="1" t="s">
        <v>74</v>
      </c>
      <c r="U972" s="1" t="s">
        <v>74</v>
      </c>
      <c r="V972" s="1" t="s">
        <v>9621</v>
      </c>
      <c r="W972" s="1" t="s">
        <v>74</v>
      </c>
      <c r="X972" s="1" t="s">
        <v>74</v>
      </c>
      <c r="Y972" s="1" t="s">
        <v>74</v>
      </c>
      <c r="Z972" s="1" t="s">
        <v>74</v>
      </c>
      <c r="AA972" s="1" t="s">
        <v>74</v>
      </c>
      <c r="AB972" s="1" t="s">
        <v>9622</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1562</v>
      </c>
      <c r="AP972" s="1" t="s">
        <v>1563</v>
      </c>
      <c r="AQ972" s="1" t="s">
        <v>74</v>
      </c>
      <c r="AR972" s="1" t="s">
        <v>74</v>
      </c>
      <c r="AS972" s="1" t="s">
        <v>74</v>
      </c>
      <c r="AT972" s="1" t="s">
        <v>1426</v>
      </c>
      <c r="AU972" s="1">
        <v>2009.0</v>
      </c>
      <c r="AV972" s="1">
        <v>246.0</v>
      </c>
      <c r="AW972" s="1">
        <v>5.0</v>
      </c>
      <c r="AX972" s="1" t="s">
        <v>74</v>
      </c>
      <c r="AY972" s="1" t="s">
        <v>74</v>
      </c>
      <c r="AZ972" s="1" t="s">
        <v>74</v>
      </c>
      <c r="BA972" s="1" t="s">
        <v>74</v>
      </c>
      <c r="BB972" s="1">
        <v>2039.0</v>
      </c>
      <c r="BC972" s="1">
        <v>2054.0</v>
      </c>
      <c r="BD972" s="1" t="s">
        <v>74</v>
      </c>
      <c r="BE972" s="1" t="s">
        <v>9623</v>
      </c>
      <c r="BF972" s="2" t="str">
        <f>HYPERLINK("http://dx.doi.org/10.1016/j.jde.2008.10.002","http://dx.doi.org/10.1016/j.jde.2008.10.002")</f>
        <v>http://dx.doi.org/10.1016/j.jde.2008.10.002</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9624</v>
      </c>
      <c r="BT972" s="1" t="str">
        <f>HYPERLINK("https%3A%2F%2Fwww.webofscience.com%2Fwos%2Fwoscc%2Ffull-record%2FWOS:000263759500014","View Full Record in Web of Science")</f>
        <v>View Full Record in Web of Science</v>
      </c>
    </row>
    <row r="973" ht="12.75" customHeight="1">
      <c r="A973" s="1" t="s">
        <v>72</v>
      </c>
      <c r="B973" s="1" t="s">
        <v>9625</v>
      </c>
      <c r="C973" s="1" t="s">
        <v>74</v>
      </c>
      <c r="D973" s="1" t="s">
        <v>74</v>
      </c>
      <c r="E973" s="1" t="s">
        <v>74</v>
      </c>
      <c r="F973" s="1" t="s">
        <v>9625</v>
      </c>
      <c r="G973" s="1" t="s">
        <v>74</v>
      </c>
      <c r="H973" s="1" t="s">
        <v>74</v>
      </c>
      <c r="I973" s="1" t="s">
        <v>9626</v>
      </c>
      <c r="J973" s="1" t="s">
        <v>9627</v>
      </c>
      <c r="K973" s="1" t="s">
        <v>74</v>
      </c>
      <c r="L973" s="1" t="s">
        <v>74</v>
      </c>
      <c r="M973" s="1" t="s">
        <v>74</v>
      </c>
      <c r="N973" s="1" t="s">
        <v>74</v>
      </c>
      <c r="O973" s="1" t="s">
        <v>9628</v>
      </c>
      <c r="P973" s="1" t="s">
        <v>9629</v>
      </c>
      <c r="Q973" s="1" t="s">
        <v>9630</v>
      </c>
      <c r="R973" s="1" t="s">
        <v>74</v>
      </c>
      <c r="S973" s="1" t="s">
        <v>74</v>
      </c>
      <c r="T973" s="1" t="s">
        <v>74</v>
      </c>
      <c r="U973" s="1" t="s">
        <v>74</v>
      </c>
      <c r="V973" s="1" t="s">
        <v>9631</v>
      </c>
      <c r="W973" s="1" t="s">
        <v>74</v>
      </c>
      <c r="X973" s="1" t="s">
        <v>74</v>
      </c>
      <c r="Y973" s="1" t="s">
        <v>74</v>
      </c>
      <c r="Z973" s="1" t="s">
        <v>74</v>
      </c>
      <c r="AA973" s="1" t="s">
        <v>9632</v>
      </c>
      <c r="AB973" s="1" t="s">
        <v>9633</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9634</v>
      </c>
      <c r="AP973" s="1" t="s">
        <v>74</v>
      </c>
      <c r="AQ973" s="1" t="s">
        <v>74</v>
      </c>
      <c r="AR973" s="1" t="s">
        <v>74</v>
      </c>
      <c r="AS973" s="1" t="s">
        <v>74</v>
      </c>
      <c r="AT973" s="1" t="s">
        <v>308</v>
      </c>
      <c r="AU973" s="1">
        <v>2000.0</v>
      </c>
      <c r="AV973" s="1">
        <v>164.0</v>
      </c>
      <c r="AW973" s="1" t="s">
        <v>74</v>
      </c>
      <c r="AX973" s="1" t="s">
        <v>74</v>
      </c>
      <c r="AY973" s="1" t="s">
        <v>74</v>
      </c>
      <c r="AZ973" s="1" t="s">
        <v>74</v>
      </c>
      <c r="BA973" s="1" t="s">
        <v>74</v>
      </c>
      <c r="BB973" s="1">
        <v>268.0</v>
      </c>
      <c r="BC973" s="1">
        <v>271.0</v>
      </c>
      <c r="BD973" s="1" t="s">
        <v>74</v>
      </c>
      <c r="BE973" s="1" t="s">
        <v>9635</v>
      </c>
      <c r="BF973" s="2" t="str">
        <f>HYPERLINK("http://dx.doi.org/10.1016/S0168-583X(99)01090-3","http://dx.doi.org/10.1016/S0168-583X(99)01090-3")</f>
        <v>http://dx.doi.org/10.1016/S0168-583X(99)01090-3</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9636</v>
      </c>
      <c r="BT973" s="1" t="str">
        <f>HYPERLINK("https%3A%2F%2Fwww.webofscience.com%2Fwos%2Fwoscc%2Ffull-record%2FWOS:000087022500030","View Full Record in Web of Science")</f>
        <v>View Full Record in Web of Science</v>
      </c>
    </row>
    <row r="974" ht="12.75" customHeight="1">
      <c r="A974" s="1" t="s">
        <v>72</v>
      </c>
      <c r="B974" s="1" t="s">
        <v>9637</v>
      </c>
      <c r="C974" s="1" t="s">
        <v>74</v>
      </c>
      <c r="D974" s="1" t="s">
        <v>74</v>
      </c>
      <c r="E974" s="1" t="s">
        <v>74</v>
      </c>
      <c r="F974" s="1" t="s">
        <v>9638</v>
      </c>
      <c r="G974" s="1" t="s">
        <v>74</v>
      </c>
      <c r="H974" s="1" t="s">
        <v>74</v>
      </c>
      <c r="I974" s="1" t="s">
        <v>9639</v>
      </c>
      <c r="J974" s="1" t="s">
        <v>4072</v>
      </c>
      <c r="K974" s="1" t="s">
        <v>74</v>
      </c>
      <c r="L974" s="1" t="s">
        <v>74</v>
      </c>
      <c r="M974" s="1" t="s">
        <v>74</v>
      </c>
      <c r="N974" s="1" t="s">
        <v>74</v>
      </c>
      <c r="O974" s="1" t="s">
        <v>74</v>
      </c>
      <c r="P974" s="1" t="s">
        <v>74</v>
      </c>
      <c r="Q974" s="1" t="s">
        <v>74</v>
      </c>
      <c r="R974" s="1" t="s">
        <v>74</v>
      </c>
      <c r="S974" s="1" t="s">
        <v>74</v>
      </c>
      <c r="T974" s="1" t="s">
        <v>74</v>
      </c>
      <c r="U974" s="1" t="s">
        <v>74</v>
      </c>
      <c r="V974" s="1" t="s">
        <v>9640</v>
      </c>
      <c r="W974" s="1" t="s">
        <v>74</v>
      </c>
      <c r="X974" s="1" t="s">
        <v>74</v>
      </c>
      <c r="Y974" s="1" t="s">
        <v>74</v>
      </c>
      <c r="Z974" s="1" t="s">
        <v>74</v>
      </c>
      <c r="AA974" s="1" t="s">
        <v>9641</v>
      </c>
      <c r="AB974" s="1" t="s">
        <v>9642</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4076</v>
      </c>
      <c r="AP974" s="1" t="s">
        <v>9643</v>
      </c>
      <c r="AQ974" s="1" t="s">
        <v>74</v>
      </c>
      <c r="AR974" s="1" t="s">
        <v>74</v>
      </c>
      <c r="AS974" s="1" t="s">
        <v>74</v>
      </c>
      <c r="AT974" s="1" t="s">
        <v>7525</v>
      </c>
      <c r="AU974" s="1">
        <v>2025.0</v>
      </c>
      <c r="AV974" s="1">
        <v>99.0</v>
      </c>
      <c r="AW974" s="1" t="s">
        <v>74</v>
      </c>
      <c r="AX974" s="1" t="s">
        <v>74</v>
      </c>
      <c r="AY974" s="1" t="s">
        <v>74</v>
      </c>
      <c r="AZ974" s="1" t="s">
        <v>74</v>
      </c>
      <c r="BA974" s="1" t="s">
        <v>74</v>
      </c>
      <c r="BB974" s="1">
        <v>1100.0</v>
      </c>
      <c r="BC974" s="1">
        <v>1107.0</v>
      </c>
      <c r="BD974" s="1" t="s">
        <v>74</v>
      </c>
      <c r="BE974" s="1" t="s">
        <v>9644</v>
      </c>
      <c r="BF974" s="2" t="str">
        <f>HYPERLINK("http://dx.doi.org/10.1016/j.ijhydene.2024.11.364","http://dx.doi.org/10.1016/j.ijhydene.2024.11.364")</f>
        <v>http://dx.doi.org/10.1016/j.ijhydene.2024.11.364</v>
      </c>
      <c r="BG974" s="1" t="s">
        <v>74</v>
      </c>
      <c r="BH974" s="1" t="s">
        <v>3162</v>
      </c>
      <c r="BI974" s="1" t="s">
        <v>74</v>
      </c>
      <c r="BJ974" s="1" t="s">
        <v>74</v>
      </c>
      <c r="BK974" s="1" t="s">
        <v>74</v>
      </c>
      <c r="BL974" s="1" t="s">
        <v>74</v>
      </c>
      <c r="BM974" s="1" t="s">
        <v>74</v>
      </c>
      <c r="BN974" s="1" t="s">
        <v>74</v>
      </c>
      <c r="BO974" s="1" t="s">
        <v>74</v>
      </c>
      <c r="BP974" s="1" t="s">
        <v>74</v>
      </c>
      <c r="BQ974" s="1" t="s">
        <v>74</v>
      </c>
      <c r="BR974" s="1" t="s">
        <v>74</v>
      </c>
      <c r="BS974" s="1" t="s">
        <v>9645</v>
      </c>
      <c r="BT974" s="1" t="str">
        <f>HYPERLINK("https%3A%2F%2Fwww.webofscience.com%2Fwos%2Fwoscc%2Ffull-record%2FWOS:001400324800001","View Full Record in Web of Science")</f>
        <v>View Full Record in Web of Science</v>
      </c>
    </row>
    <row r="975" ht="12.75" customHeight="1">
      <c r="A975" s="1" t="s">
        <v>72</v>
      </c>
      <c r="B975" s="1" t="s">
        <v>9646</v>
      </c>
      <c r="C975" s="1" t="s">
        <v>74</v>
      </c>
      <c r="D975" s="1" t="s">
        <v>74</v>
      </c>
      <c r="E975" s="1" t="s">
        <v>74</v>
      </c>
      <c r="F975" s="1" t="s">
        <v>9647</v>
      </c>
      <c r="G975" s="1" t="s">
        <v>74</v>
      </c>
      <c r="H975" s="1" t="s">
        <v>74</v>
      </c>
      <c r="I975" s="1" t="s">
        <v>9648</v>
      </c>
      <c r="J975" s="1" t="s">
        <v>873</v>
      </c>
      <c r="K975" s="1" t="s">
        <v>74</v>
      </c>
      <c r="L975" s="1" t="s">
        <v>74</v>
      </c>
      <c r="M975" s="1" t="s">
        <v>74</v>
      </c>
      <c r="N975" s="1" t="s">
        <v>74</v>
      </c>
      <c r="O975" s="1" t="s">
        <v>74</v>
      </c>
      <c r="P975" s="1" t="s">
        <v>74</v>
      </c>
      <c r="Q975" s="1" t="s">
        <v>74</v>
      </c>
      <c r="R975" s="1" t="s">
        <v>74</v>
      </c>
      <c r="S975" s="1" t="s">
        <v>74</v>
      </c>
      <c r="T975" s="1" t="s">
        <v>74</v>
      </c>
      <c r="U975" s="1" t="s">
        <v>74</v>
      </c>
      <c r="V975" s="1" t="s">
        <v>9649</v>
      </c>
      <c r="W975" s="1" t="s">
        <v>74</v>
      </c>
      <c r="X975" s="1" t="s">
        <v>74</v>
      </c>
      <c r="Y975" s="1" t="s">
        <v>74</v>
      </c>
      <c r="Z975" s="1" t="s">
        <v>74</v>
      </c>
      <c r="AA975" s="1" t="s">
        <v>9650</v>
      </c>
      <c r="AB975" s="1" t="s">
        <v>74</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875</v>
      </c>
      <c r="AP975" s="1" t="s">
        <v>876</v>
      </c>
      <c r="AQ975" s="1" t="s">
        <v>74</v>
      </c>
      <c r="AR975" s="1" t="s">
        <v>74</v>
      </c>
      <c r="AS975" s="1" t="s">
        <v>74</v>
      </c>
      <c r="AT975" s="1" t="s">
        <v>83</v>
      </c>
      <c r="AU975" s="1">
        <v>2024.0</v>
      </c>
      <c r="AV975" s="1">
        <v>152.0</v>
      </c>
      <c r="AW975" s="1">
        <v>12.0</v>
      </c>
      <c r="AX975" s="1" t="s">
        <v>74</v>
      </c>
      <c r="AY975" s="1" t="s">
        <v>74</v>
      </c>
      <c r="AZ975" s="1" t="s">
        <v>74</v>
      </c>
      <c r="BA975" s="1" t="s">
        <v>74</v>
      </c>
      <c r="BB975" s="1">
        <v>1198.0</v>
      </c>
      <c r="BC975" s="1">
        <v>1208.0</v>
      </c>
      <c r="BD975" s="1" t="s">
        <v>74</v>
      </c>
      <c r="BE975" s="1" t="s">
        <v>9651</v>
      </c>
      <c r="BF975" s="2" t="str">
        <f>HYPERLINK("http://dx.doi.org/10.4067/s0034-988720240","http://dx.doi.org/10.4067/s0034-988720240")</f>
        <v>http://dx.doi.org/10.4067/s0034-988720240</v>
      </c>
      <c r="BG975" s="1" t="s">
        <v>74</v>
      </c>
      <c r="BH975" s="1" t="s">
        <v>74</v>
      </c>
      <c r="BI975" s="1" t="s">
        <v>74</v>
      </c>
      <c r="BJ975" s="1" t="s">
        <v>74</v>
      </c>
      <c r="BK975" s="1" t="s">
        <v>74</v>
      </c>
      <c r="BL975" s="1" t="s">
        <v>74</v>
      </c>
      <c r="BM975" s="1" t="s">
        <v>74</v>
      </c>
      <c r="BN975" s="1">
        <v>4.0178212E7</v>
      </c>
      <c r="BO975" s="1" t="s">
        <v>74</v>
      </c>
      <c r="BP975" s="1" t="s">
        <v>74</v>
      </c>
      <c r="BQ975" s="1" t="s">
        <v>74</v>
      </c>
      <c r="BR975" s="1" t="s">
        <v>74</v>
      </c>
      <c r="BS975" s="1" t="s">
        <v>9652</v>
      </c>
      <c r="BT975" s="1" t="str">
        <f>HYPERLINK("https%3A%2F%2Fwww.webofscience.com%2Fwos%2Fwoscc%2Ffull-record%2FWOS:001465582600002","View Full Record in Web of Science")</f>
        <v>View Full Record in Web of Science</v>
      </c>
    </row>
    <row r="976" ht="12.75" customHeight="1">
      <c r="A976" s="1" t="s">
        <v>72</v>
      </c>
      <c r="B976" s="1" t="s">
        <v>9653</v>
      </c>
      <c r="C976" s="1" t="s">
        <v>74</v>
      </c>
      <c r="D976" s="1" t="s">
        <v>74</v>
      </c>
      <c r="E976" s="1" t="s">
        <v>74</v>
      </c>
      <c r="F976" s="1" t="s">
        <v>9654</v>
      </c>
      <c r="G976" s="1" t="s">
        <v>74</v>
      </c>
      <c r="H976" s="1" t="s">
        <v>74</v>
      </c>
      <c r="I976" s="1" t="s">
        <v>9655</v>
      </c>
      <c r="J976" s="1" t="s">
        <v>9656</v>
      </c>
      <c r="K976" s="1" t="s">
        <v>74</v>
      </c>
      <c r="L976" s="1" t="s">
        <v>74</v>
      </c>
      <c r="M976" s="1" t="s">
        <v>74</v>
      </c>
      <c r="N976" s="1" t="s">
        <v>74</v>
      </c>
      <c r="O976" s="1" t="s">
        <v>74</v>
      </c>
      <c r="P976" s="1" t="s">
        <v>74</v>
      </c>
      <c r="Q976" s="1" t="s">
        <v>74</v>
      </c>
      <c r="R976" s="1" t="s">
        <v>74</v>
      </c>
      <c r="S976" s="1" t="s">
        <v>74</v>
      </c>
      <c r="T976" s="1" t="s">
        <v>74</v>
      </c>
      <c r="U976" s="1" t="s">
        <v>74</v>
      </c>
      <c r="V976" s="1" t="s">
        <v>9657</v>
      </c>
      <c r="W976" s="1" t="s">
        <v>74</v>
      </c>
      <c r="X976" s="1" t="s">
        <v>74</v>
      </c>
      <c r="Y976" s="1" t="s">
        <v>74</v>
      </c>
      <c r="Z976" s="1" t="s">
        <v>74</v>
      </c>
      <c r="AA976" s="1" t="s">
        <v>9658</v>
      </c>
      <c r="AB976" s="1" t="s">
        <v>9659</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74</v>
      </c>
      <c r="AP976" s="1" t="s">
        <v>9660</v>
      </c>
      <c r="AQ976" s="1" t="s">
        <v>74</v>
      </c>
      <c r="AR976" s="1" t="s">
        <v>74</v>
      </c>
      <c r="AS976" s="1" t="s">
        <v>74</v>
      </c>
      <c r="AT976" s="1" t="s">
        <v>9661</v>
      </c>
      <c r="AU976" s="1">
        <v>2024.0</v>
      </c>
      <c r="AV976" s="1">
        <v>5.0</v>
      </c>
      <c r="AW976" s="1">
        <v>1.0</v>
      </c>
      <c r="AX976" s="1" t="s">
        <v>74</v>
      </c>
      <c r="AY976" s="1" t="s">
        <v>74</v>
      </c>
      <c r="AZ976" s="1" t="s">
        <v>74</v>
      </c>
      <c r="BA976" s="1" t="s">
        <v>74</v>
      </c>
      <c r="BB976" s="1" t="s">
        <v>74</v>
      </c>
      <c r="BC976" s="1" t="s">
        <v>74</v>
      </c>
      <c r="BD976" s="1">
        <v>70.0</v>
      </c>
      <c r="BE976" s="1" t="s">
        <v>9662</v>
      </c>
      <c r="BF976" s="2" t="str">
        <f>HYPERLINK("http://dx.doi.org/10.1038/s43246-024-00505-4","http://dx.doi.org/10.1038/s43246-024-00505-4")</f>
        <v>http://dx.doi.org/10.1038/s43246-024-00505-4</v>
      </c>
      <c r="BG976" s="1" t="s">
        <v>74</v>
      </c>
      <c r="BH976" s="1" t="s">
        <v>74</v>
      </c>
      <c r="BI976" s="1" t="s">
        <v>74</v>
      </c>
      <c r="BJ976" s="1" t="s">
        <v>74</v>
      </c>
      <c r="BK976" s="1" t="s">
        <v>74</v>
      </c>
      <c r="BL976" s="1" t="s">
        <v>74</v>
      </c>
      <c r="BM976" s="1" t="s">
        <v>74</v>
      </c>
      <c r="BN976" s="1" t="s">
        <v>74</v>
      </c>
      <c r="BO976" s="1" t="s">
        <v>74</v>
      </c>
      <c r="BP976" s="1" t="s">
        <v>74</v>
      </c>
      <c r="BQ976" s="1" t="s">
        <v>74</v>
      </c>
      <c r="BR976" s="1" t="s">
        <v>74</v>
      </c>
      <c r="BS976" s="1" t="s">
        <v>9663</v>
      </c>
      <c r="BT976" s="1" t="str">
        <f>HYPERLINK("https%3A%2F%2Fwww.webofscience.com%2Fwos%2Fwoscc%2Ffull-record%2FWOS:001233885100002","View Full Record in Web of Science")</f>
        <v>View Full Record in Web of Science</v>
      </c>
    </row>
    <row r="977" ht="12.75" customHeight="1">
      <c r="A977" s="1" t="s">
        <v>72</v>
      </c>
      <c r="B977" s="1" t="s">
        <v>9664</v>
      </c>
      <c r="C977" s="1" t="s">
        <v>74</v>
      </c>
      <c r="D977" s="1" t="s">
        <v>74</v>
      </c>
      <c r="E977" s="1" t="s">
        <v>74</v>
      </c>
      <c r="F977" s="1" t="s">
        <v>9665</v>
      </c>
      <c r="G977" s="1" t="s">
        <v>74</v>
      </c>
      <c r="H977" s="1" t="s">
        <v>74</v>
      </c>
      <c r="I977" s="1" t="s">
        <v>9666</v>
      </c>
      <c r="J977" s="1" t="s">
        <v>526</v>
      </c>
      <c r="K977" s="1" t="s">
        <v>74</v>
      </c>
      <c r="L977" s="1" t="s">
        <v>74</v>
      </c>
      <c r="M977" s="1" t="s">
        <v>74</v>
      </c>
      <c r="N977" s="1" t="s">
        <v>74</v>
      </c>
      <c r="O977" s="1" t="s">
        <v>74</v>
      </c>
      <c r="P977" s="1" t="s">
        <v>74</v>
      </c>
      <c r="Q977" s="1" t="s">
        <v>74</v>
      </c>
      <c r="R977" s="1" t="s">
        <v>74</v>
      </c>
      <c r="S977" s="1" t="s">
        <v>74</v>
      </c>
      <c r="T977" s="1" t="s">
        <v>74</v>
      </c>
      <c r="U977" s="1" t="s">
        <v>74</v>
      </c>
      <c r="V977" s="1" t="s">
        <v>9667</v>
      </c>
      <c r="W977" s="1" t="s">
        <v>74</v>
      </c>
      <c r="X977" s="1" t="s">
        <v>74</v>
      </c>
      <c r="Y977" s="1" t="s">
        <v>74</v>
      </c>
      <c r="Z977" s="1" t="s">
        <v>74</v>
      </c>
      <c r="AA977" s="1" t="s">
        <v>9668</v>
      </c>
      <c r="AB977" s="1" t="s">
        <v>9669</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529</v>
      </c>
      <c r="AP977" s="1" t="s">
        <v>530</v>
      </c>
      <c r="AQ977" s="1" t="s">
        <v>74</v>
      </c>
      <c r="AR977" s="1" t="s">
        <v>74</v>
      </c>
      <c r="AS977" s="1" t="s">
        <v>74</v>
      </c>
      <c r="AT977" s="1" t="s">
        <v>3997</v>
      </c>
      <c r="AU977" s="1">
        <v>2024.0</v>
      </c>
      <c r="AV977" s="1">
        <v>348.0</v>
      </c>
      <c r="AW977" s="1" t="s">
        <v>74</v>
      </c>
      <c r="AX977" s="1" t="s">
        <v>74</v>
      </c>
      <c r="AY977" s="1" t="s">
        <v>74</v>
      </c>
      <c r="AZ977" s="1" t="s">
        <v>74</v>
      </c>
      <c r="BA977" s="1" t="s">
        <v>74</v>
      </c>
      <c r="BB977" s="1" t="s">
        <v>74</v>
      </c>
      <c r="BC977" s="1" t="s">
        <v>74</v>
      </c>
      <c r="BD977" s="1">
        <v>127758.0</v>
      </c>
      <c r="BE977" s="1" t="s">
        <v>9670</v>
      </c>
      <c r="BF977" s="2" t="str">
        <f>HYPERLINK("http://dx.doi.org/10.1016/j.seppur.2024.127758","http://dx.doi.org/10.1016/j.seppur.2024.127758")</f>
        <v>http://dx.doi.org/10.1016/j.seppur.2024.127758</v>
      </c>
      <c r="BG977" s="1" t="s">
        <v>74</v>
      </c>
      <c r="BH977" s="1" t="s">
        <v>706</v>
      </c>
      <c r="BI977" s="1" t="s">
        <v>74</v>
      </c>
      <c r="BJ977" s="1" t="s">
        <v>74</v>
      </c>
      <c r="BK977" s="1" t="s">
        <v>74</v>
      </c>
      <c r="BL977" s="1" t="s">
        <v>74</v>
      </c>
      <c r="BM977" s="1" t="s">
        <v>74</v>
      </c>
      <c r="BN977" s="1" t="s">
        <v>74</v>
      </c>
      <c r="BO977" s="1" t="s">
        <v>74</v>
      </c>
      <c r="BP977" s="1" t="s">
        <v>74</v>
      </c>
      <c r="BQ977" s="1" t="s">
        <v>74</v>
      </c>
      <c r="BR977" s="1" t="s">
        <v>74</v>
      </c>
      <c r="BS977" s="1" t="s">
        <v>9671</v>
      </c>
      <c r="BT977" s="1" t="str">
        <f>HYPERLINK("https%3A%2F%2Fwww.webofscience.com%2Fwos%2Fwoscc%2Ffull-record%2FWOS:001238904000001","View Full Record in Web of Science")</f>
        <v>View Full Record in Web of Science</v>
      </c>
    </row>
    <row r="978" ht="12.75" customHeight="1">
      <c r="A978" s="1" t="s">
        <v>72</v>
      </c>
      <c r="B978" s="1" t="s">
        <v>9672</v>
      </c>
      <c r="C978" s="1" t="s">
        <v>74</v>
      </c>
      <c r="D978" s="1" t="s">
        <v>74</v>
      </c>
      <c r="E978" s="1" t="s">
        <v>74</v>
      </c>
      <c r="F978" s="1" t="s">
        <v>9673</v>
      </c>
      <c r="G978" s="1" t="s">
        <v>74</v>
      </c>
      <c r="H978" s="1" t="s">
        <v>74</v>
      </c>
      <c r="I978" s="1" t="s">
        <v>9674</v>
      </c>
      <c r="J978" s="1" t="s">
        <v>9675</v>
      </c>
      <c r="K978" s="1" t="s">
        <v>74</v>
      </c>
      <c r="L978" s="1" t="s">
        <v>74</v>
      </c>
      <c r="M978" s="1" t="s">
        <v>74</v>
      </c>
      <c r="N978" s="1" t="s">
        <v>74</v>
      </c>
      <c r="O978" s="1" t="s">
        <v>74</v>
      </c>
      <c r="P978" s="1" t="s">
        <v>74</v>
      </c>
      <c r="Q978" s="1" t="s">
        <v>74</v>
      </c>
      <c r="R978" s="1" t="s">
        <v>74</v>
      </c>
      <c r="S978" s="1" t="s">
        <v>74</v>
      </c>
      <c r="T978" s="1" t="s">
        <v>74</v>
      </c>
      <c r="U978" s="1" t="s">
        <v>74</v>
      </c>
      <c r="V978" s="1" t="s">
        <v>9676</v>
      </c>
      <c r="W978" s="1" t="s">
        <v>74</v>
      </c>
      <c r="X978" s="1" t="s">
        <v>74</v>
      </c>
      <c r="Y978" s="1" t="s">
        <v>74</v>
      </c>
      <c r="Z978" s="1" t="s">
        <v>74</v>
      </c>
      <c r="AA978" s="1" t="s">
        <v>9677</v>
      </c>
      <c r="AB978" s="1" t="s">
        <v>9678</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9679</v>
      </c>
      <c r="AP978" s="1" t="s">
        <v>9680</v>
      </c>
      <c r="AQ978" s="1" t="s">
        <v>74</v>
      </c>
      <c r="AR978" s="1" t="s">
        <v>74</v>
      </c>
      <c r="AS978" s="1" t="s">
        <v>74</v>
      </c>
      <c r="AT978" s="1" t="s">
        <v>822</v>
      </c>
      <c r="AU978" s="1">
        <v>2022.0</v>
      </c>
      <c r="AV978" s="1">
        <v>10.0</v>
      </c>
      <c r="AW978" s="1">
        <v>1.0</v>
      </c>
      <c r="AX978" s="1" t="s">
        <v>74</v>
      </c>
      <c r="AY978" s="1" t="s">
        <v>74</v>
      </c>
      <c r="AZ978" s="1" t="s">
        <v>74</v>
      </c>
      <c r="BA978" s="1" t="s">
        <v>74</v>
      </c>
      <c r="BB978" s="1">
        <v>171.0</v>
      </c>
      <c r="BC978" s="1">
        <v>187.0</v>
      </c>
      <c r="BD978" s="1" t="s">
        <v>74</v>
      </c>
      <c r="BE978" s="1" t="s">
        <v>9681</v>
      </c>
      <c r="BF978" s="2" t="str">
        <f>HYPERLINK("http://dx.doi.org/10.1017/psrm.2020.33","http://dx.doi.org/10.1017/psrm.2020.33")</f>
        <v>http://dx.doi.org/10.1017/psrm.2020.33</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9682</v>
      </c>
      <c r="BT978" s="1" t="str">
        <f>HYPERLINK("https%3A%2F%2Fwww.webofscience.com%2Fwos%2Fwoscc%2Ffull-record%2FWOS:000731566900013","View Full Record in Web of Science")</f>
        <v>View Full Record in Web of Science</v>
      </c>
    </row>
    <row r="979" ht="12.75" customHeight="1">
      <c r="A979" s="1" t="s">
        <v>154</v>
      </c>
      <c r="B979" s="1" t="s">
        <v>5778</v>
      </c>
      <c r="C979" s="1" t="s">
        <v>74</v>
      </c>
      <c r="D979" s="1" t="s">
        <v>74</v>
      </c>
      <c r="E979" s="1" t="s">
        <v>323</v>
      </c>
      <c r="F979" s="1" t="s">
        <v>5779</v>
      </c>
      <c r="G979" s="1" t="s">
        <v>74</v>
      </c>
      <c r="H979" s="1" t="s">
        <v>74</v>
      </c>
      <c r="I979" s="1" t="s">
        <v>9683</v>
      </c>
      <c r="J979" s="1" t="s">
        <v>5781</v>
      </c>
      <c r="K979" s="1" t="s">
        <v>5782</v>
      </c>
      <c r="L979" s="1" t="s">
        <v>74</v>
      </c>
      <c r="M979" s="1" t="s">
        <v>74</v>
      </c>
      <c r="N979" s="1" t="s">
        <v>74</v>
      </c>
      <c r="O979" s="1" t="s">
        <v>5783</v>
      </c>
      <c r="P979" s="1" t="s">
        <v>5784</v>
      </c>
      <c r="Q979" s="1" t="s">
        <v>5785</v>
      </c>
      <c r="R979" s="1" t="s">
        <v>323</v>
      </c>
      <c r="S979" s="1" t="s">
        <v>74</v>
      </c>
      <c r="T979" s="1" t="s">
        <v>74</v>
      </c>
      <c r="U979" s="1" t="s">
        <v>74</v>
      </c>
      <c r="V979" s="1" t="s">
        <v>9684</v>
      </c>
      <c r="W979" s="1" t="s">
        <v>74</v>
      </c>
      <c r="X979" s="1" t="s">
        <v>74</v>
      </c>
      <c r="Y979" s="1" t="s">
        <v>74</v>
      </c>
      <c r="Z979" s="1" t="s">
        <v>74</v>
      </c>
      <c r="AA979" s="1" t="s">
        <v>9685</v>
      </c>
      <c r="AB979" s="1" t="s">
        <v>74</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5789</v>
      </c>
      <c r="AP979" s="1" t="s">
        <v>74</v>
      </c>
      <c r="AQ979" s="1" t="s">
        <v>5790</v>
      </c>
      <c r="AR979" s="1" t="s">
        <v>74</v>
      </c>
      <c r="AS979" s="1" t="s">
        <v>74</v>
      </c>
      <c r="AT979" s="1" t="s">
        <v>74</v>
      </c>
      <c r="AU979" s="1">
        <v>2020.0</v>
      </c>
      <c r="AV979" s="1" t="s">
        <v>74</v>
      </c>
      <c r="AW979" s="1" t="s">
        <v>74</v>
      </c>
      <c r="AX979" s="1" t="s">
        <v>74</v>
      </c>
      <c r="AY979" s="1" t="s">
        <v>74</v>
      </c>
      <c r="AZ979" s="1" t="s">
        <v>74</v>
      </c>
      <c r="BA979" s="1" t="s">
        <v>74</v>
      </c>
      <c r="BB979" s="1">
        <v>1121.0</v>
      </c>
      <c r="BC979" s="1">
        <v>1126.0</v>
      </c>
      <c r="BD979" s="1" t="s">
        <v>74</v>
      </c>
      <c r="BE979" s="1" t="s">
        <v>9686</v>
      </c>
      <c r="BF979" s="2" t="str">
        <f>HYPERLINK("http://dx.doi.org/10.1109/ICIT45562.2020.9067130","http://dx.doi.org/10.1109/ICIT45562.2020.9067130")</f>
        <v>http://dx.doi.org/10.1109/ICIT45562.2020.9067130</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9687</v>
      </c>
      <c r="BT979" s="1" t="str">
        <f>HYPERLINK("https%3A%2F%2Fwww.webofscience.com%2Fwos%2Fwoscc%2Ffull-record%2FWOS:000560681600169","View Full Record in Web of Science")</f>
        <v>View Full Record in Web of Science</v>
      </c>
    </row>
    <row r="980" ht="12.75" customHeight="1">
      <c r="A980" s="1" t="s">
        <v>72</v>
      </c>
      <c r="B980" s="1" t="s">
        <v>9688</v>
      </c>
      <c r="C980" s="1" t="s">
        <v>74</v>
      </c>
      <c r="D980" s="1" t="s">
        <v>74</v>
      </c>
      <c r="E980" s="1" t="s">
        <v>74</v>
      </c>
      <c r="F980" s="1" t="s">
        <v>9689</v>
      </c>
      <c r="G980" s="1" t="s">
        <v>74</v>
      </c>
      <c r="H980" s="1" t="s">
        <v>74</v>
      </c>
      <c r="I980" s="1" t="s">
        <v>9690</v>
      </c>
      <c r="J980" s="1" t="s">
        <v>4670</v>
      </c>
      <c r="K980" s="1" t="s">
        <v>74</v>
      </c>
      <c r="L980" s="1" t="s">
        <v>74</v>
      </c>
      <c r="M980" s="1" t="s">
        <v>74</v>
      </c>
      <c r="N980" s="1" t="s">
        <v>74</v>
      </c>
      <c r="O980" s="1" t="s">
        <v>74</v>
      </c>
      <c r="P980" s="1" t="s">
        <v>74</v>
      </c>
      <c r="Q980" s="1" t="s">
        <v>74</v>
      </c>
      <c r="R980" s="1" t="s">
        <v>74</v>
      </c>
      <c r="S980" s="1" t="s">
        <v>74</v>
      </c>
      <c r="T980" s="1" t="s">
        <v>74</v>
      </c>
      <c r="U980" s="1" t="s">
        <v>74</v>
      </c>
      <c r="V980" s="1" t="s">
        <v>9691</v>
      </c>
      <c r="W980" s="1" t="s">
        <v>74</v>
      </c>
      <c r="X980" s="1" t="s">
        <v>74</v>
      </c>
      <c r="Y980" s="1" t="s">
        <v>74</v>
      </c>
      <c r="Z980" s="1" t="s">
        <v>74</v>
      </c>
      <c r="AA980" s="1" t="s">
        <v>9692</v>
      </c>
      <c r="AB980" s="1" t="s">
        <v>9693</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4673</v>
      </c>
      <c r="AP980" s="1" t="s">
        <v>4674</v>
      </c>
      <c r="AQ980" s="1" t="s">
        <v>74</v>
      </c>
      <c r="AR980" s="1" t="s">
        <v>74</v>
      </c>
      <c r="AS980" s="1" t="s">
        <v>74</v>
      </c>
      <c r="AT980" s="1" t="s">
        <v>822</v>
      </c>
      <c r="AU980" s="1">
        <v>2020.0</v>
      </c>
      <c r="AV980" s="1">
        <v>40.0</v>
      </c>
      <c r="AW980" s="1">
        <v>1.0</v>
      </c>
      <c r="AX980" s="1" t="s">
        <v>74</v>
      </c>
      <c r="AY980" s="1" t="s">
        <v>74</v>
      </c>
      <c r="AZ980" s="1" t="s">
        <v>74</v>
      </c>
      <c r="BA980" s="1" t="s">
        <v>74</v>
      </c>
      <c r="BB980" s="1">
        <v>529.0</v>
      </c>
      <c r="BC980" s="1">
        <v>548.0</v>
      </c>
      <c r="BD980" s="1" t="s">
        <v>74</v>
      </c>
      <c r="BE980" s="1" t="s">
        <v>9694</v>
      </c>
      <c r="BF980" s="2" t="str">
        <f>HYPERLINK("http://dx.doi.org/10.3934/dcds.2020021","http://dx.doi.org/10.3934/dcds.2020021")</f>
        <v>http://dx.doi.org/10.3934/dcds.2020021</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9695</v>
      </c>
      <c r="BT980" s="1" t="str">
        <f>HYPERLINK("https%3A%2F%2Fwww.webofscience.com%2Fwos%2Fwoscc%2Ffull-record%2FWOS:000496748500021","View Full Record in Web of Science")</f>
        <v>View Full Record in Web of Science</v>
      </c>
    </row>
    <row r="981" ht="12.75" customHeight="1">
      <c r="A981" s="1" t="s">
        <v>72</v>
      </c>
      <c r="B981" s="1" t="s">
        <v>9696</v>
      </c>
      <c r="C981" s="1" t="s">
        <v>74</v>
      </c>
      <c r="D981" s="1" t="s">
        <v>74</v>
      </c>
      <c r="E981" s="1" t="s">
        <v>74</v>
      </c>
      <c r="F981" s="1" t="s">
        <v>9697</v>
      </c>
      <c r="G981" s="1" t="s">
        <v>74</v>
      </c>
      <c r="H981" s="1" t="s">
        <v>74</v>
      </c>
      <c r="I981" s="1" t="s">
        <v>9698</v>
      </c>
      <c r="J981" s="1" t="s">
        <v>9699</v>
      </c>
      <c r="K981" s="1" t="s">
        <v>74</v>
      </c>
      <c r="L981" s="1" t="s">
        <v>74</v>
      </c>
      <c r="M981" s="1" t="s">
        <v>74</v>
      </c>
      <c r="N981" s="1" t="s">
        <v>74</v>
      </c>
      <c r="O981" s="1" t="s">
        <v>74</v>
      </c>
      <c r="P981" s="1" t="s">
        <v>74</v>
      </c>
      <c r="Q981" s="1" t="s">
        <v>74</v>
      </c>
      <c r="R981" s="1" t="s">
        <v>74</v>
      </c>
      <c r="S981" s="1" t="s">
        <v>74</v>
      </c>
      <c r="T981" s="1" t="s">
        <v>74</v>
      </c>
      <c r="U981" s="1" t="s">
        <v>74</v>
      </c>
      <c r="V981" s="1" t="s">
        <v>9700</v>
      </c>
      <c r="W981" s="1" t="s">
        <v>74</v>
      </c>
      <c r="X981" s="1" t="s">
        <v>74</v>
      </c>
      <c r="Y981" s="1" t="s">
        <v>74</v>
      </c>
      <c r="Z981" s="1" t="s">
        <v>74</v>
      </c>
      <c r="AA981" s="1" t="s">
        <v>9701</v>
      </c>
      <c r="AB981" s="1" t="s">
        <v>9702</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9703</v>
      </c>
      <c r="AP981" s="1" t="s">
        <v>9704</v>
      </c>
      <c r="AQ981" s="1" t="s">
        <v>74</v>
      </c>
      <c r="AR981" s="1" t="s">
        <v>74</v>
      </c>
      <c r="AS981" s="1" t="s">
        <v>74</v>
      </c>
      <c r="AT981" s="1" t="s">
        <v>94</v>
      </c>
      <c r="AU981" s="1">
        <v>2019.0</v>
      </c>
      <c r="AV981" s="1">
        <v>11.0</v>
      </c>
      <c r="AW981" s="1">
        <v>10.0</v>
      </c>
      <c r="AX981" s="1" t="s">
        <v>74</v>
      </c>
      <c r="AY981" s="1" t="s">
        <v>74</v>
      </c>
      <c r="AZ981" s="1" t="s">
        <v>74</v>
      </c>
      <c r="BA981" s="1" t="s">
        <v>74</v>
      </c>
      <c r="BB981" s="1">
        <v>1137.0</v>
      </c>
      <c r="BC981" s="1">
        <v>1155.0</v>
      </c>
      <c r="BD981" s="1" t="s">
        <v>74</v>
      </c>
      <c r="BE981" s="1" t="s">
        <v>9705</v>
      </c>
      <c r="BF981" s="2" t="str">
        <f>HYPERLINK("http://dx.doi.org/10.4155/fmc-2018-0242","http://dx.doi.org/10.4155/fmc-2018-0242")</f>
        <v>http://dx.doi.org/10.4155/fmc-2018-0242</v>
      </c>
      <c r="BG981" s="1" t="s">
        <v>74</v>
      </c>
      <c r="BH981" s="1" t="s">
        <v>74</v>
      </c>
      <c r="BI981" s="1" t="s">
        <v>74</v>
      </c>
      <c r="BJ981" s="1" t="s">
        <v>74</v>
      </c>
      <c r="BK981" s="1" t="s">
        <v>74</v>
      </c>
      <c r="BL981" s="1" t="s">
        <v>74</v>
      </c>
      <c r="BM981" s="1" t="s">
        <v>74</v>
      </c>
      <c r="BN981" s="1">
        <v>3.1280672E7</v>
      </c>
      <c r="BO981" s="1" t="s">
        <v>74</v>
      </c>
      <c r="BP981" s="1" t="s">
        <v>74</v>
      </c>
      <c r="BQ981" s="1" t="s">
        <v>74</v>
      </c>
      <c r="BR981" s="1" t="s">
        <v>74</v>
      </c>
      <c r="BS981" s="1" t="s">
        <v>9706</v>
      </c>
      <c r="BT981" s="1" t="str">
        <f>HYPERLINK("https%3A%2F%2Fwww.webofscience.com%2Fwos%2Fwoscc%2Ffull-record%2FWOS:000478848800005","View Full Record in Web of Science")</f>
        <v>View Full Record in Web of Science</v>
      </c>
    </row>
    <row r="982" ht="12.75" customHeight="1">
      <c r="A982" s="1" t="s">
        <v>72</v>
      </c>
      <c r="B982" s="1" t="s">
        <v>9707</v>
      </c>
      <c r="C982" s="1" t="s">
        <v>74</v>
      </c>
      <c r="D982" s="1" t="s">
        <v>74</v>
      </c>
      <c r="E982" s="1" t="s">
        <v>74</v>
      </c>
      <c r="F982" s="1" t="s">
        <v>9708</v>
      </c>
      <c r="G982" s="1" t="s">
        <v>74</v>
      </c>
      <c r="H982" s="1" t="s">
        <v>74</v>
      </c>
      <c r="I982" s="1" t="s">
        <v>9709</v>
      </c>
      <c r="J982" s="1" t="s">
        <v>1023</v>
      </c>
      <c r="K982" s="1" t="s">
        <v>74</v>
      </c>
      <c r="L982" s="1" t="s">
        <v>74</v>
      </c>
      <c r="M982" s="1" t="s">
        <v>74</v>
      </c>
      <c r="N982" s="1" t="s">
        <v>74</v>
      </c>
      <c r="O982" s="1" t="s">
        <v>74</v>
      </c>
      <c r="P982" s="1" t="s">
        <v>74</v>
      </c>
      <c r="Q982" s="1" t="s">
        <v>74</v>
      </c>
      <c r="R982" s="1" t="s">
        <v>74</v>
      </c>
      <c r="S982" s="1" t="s">
        <v>74</v>
      </c>
      <c r="T982" s="1" t="s">
        <v>74</v>
      </c>
      <c r="U982" s="1" t="s">
        <v>74</v>
      </c>
      <c r="V982" s="1" t="s">
        <v>9710</v>
      </c>
      <c r="W982" s="1" t="s">
        <v>74</v>
      </c>
      <c r="X982" s="1" t="s">
        <v>74</v>
      </c>
      <c r="Y982" s="1" t="s">
        <v>74</v>
      </c>
      <c r="Z982" s="1" t="s">
        <v>74</v>
      </c>
      <c r="AA982" s="1" t="s">
        <v>9711</v>
      </c>
      <c r="AB982" s="1" t="s">
        <v>9712</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1027</v>
      </c>
      <c r="AP982" s="1" t="s">
        <v>1829</v>
      </c>
      <c r="AQ982" s="1" t="s">
        <v>74</v>
      </c>
      <c r="AR982" s="1" t="s">
        <v>74</v>
      </c>
      <c r="AS982" s="1" t="s">
        <v>74</v>
      </c>
      <c r="AT982" s="1" t="s">
        <v>2627</v>
      </c>
      <c r="AU982" s="1">
        <v>2018.0</v>
      </c>
      <c r="AV982" s="1">
        <v>51.0</v>
      </c>
      <c r="AW982" s="1">
        <v>39.0</v>
      </c>
      <c r="AX982" s="1" t="s">
        <v>74</v>
      </c>
      <c r="AY982" s="1" t="s">
        <v>74</v>
      </c>
      <c r="AZ982" s="1" t="s">
        <v>74</v>
      </c>
      <c r="BA982" s="1" t="s">
        <v>74</v>
      </c>
      <c r="BB982" s="1" t="s">
        <v>74</v>
      </c>
      <c r="BC982" s="1" t="s">
        <v>74</v>
      </c>
      <c r="BD982" s="1">
        <v>395001.0</v>
      </c>
      <c r="BE982" s="1" t="s">
        <v>9713</v>
      </c>
      <c r="BF982" s="2" t="str">
        <f>HYPERLINK("http://dx.doi.org/10.1088/1361-6463/aad7ad","http://dx.doi.org/10.1088/1361-6463/aad7ad")</f>
        <v>http://dx.doi.org/10.1088/1361-6463/aad7ad</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9714</v>
      </c>
      <c r="BT982" s="1" t="str">
        <f>HYPERLINK("https%3A%2F%2Fwww.webofscience.com%2Fwos%2Fwoscc%2Ffull-record%2FWOS:000442435100001","View Full Record in Web of Science")</f>
        <v>View Full Record in Web of Science</v>
      </c>
    </row>
    <row r="983" ht="12.75" customHeight="1">
      <c r="A983" s="1" t="s">
        <v>72</v>
      </c>
      <c r="B983" s="1" t="s">
        <v>9715</v>
      </c>
      <c r="C983" s="1" t="s">
        <v>74</v>
      </c>
      <c r="D983" s="1" t="s">
        <v>74</v>
      </c>
      <c r="E983" s="1" t="s">
        <v>74</v>
      </c>
      <c r="F983" s="1" t="s">
        <v>9716</v>
      </c>
      <c r="G983" s="1" t="s">
        <v>74</v>
      </c>
      <c r="H983" s="1" t="s">
        <v>74</v>
      </c>
      <c r="I983" s="1" t="s">
        <v>9717</v>
      </c>
      <c r="J983" s="1" t="s">
        <v>9718</v>
      </c>
      <c r="K983" s="1" t="s">
        <v>74</v>
      </c>
      <c r="L983" s="1" t="s">
        <v>74</v>
      </c>
      <c r="M983" s="1" t="s">
        <v>74</v>
      </c>
      <c r="N983" s="1" t="s">
        <v>74</v>
      </c>
      <c r="O983" s="1" t="s">
        <v>74</v>
      </c>
      <c r="P983" s="1" t="s">
        <v>74</v>
      </c>
      <c r="Q983" s="1" t="s">
        <v>74</v>
      </c>
      <c r="R983" s="1" t="s">
        <v>74</v>
      </c>
      <c r="S983" s="1" t="s">
        <v>74</v>
      </c>
      <c r="T983" s="1" t="s">
        <v>74</v>
      </c>
      <c r="U983" s="1" t="s">
        <v>74</v>
      </c>
      <c r="V983" s="1" t="s">
        <v>9719</v>
      </c>
      <c r="W983" s="1" t="s">
        <v>74</v>
      </c>
      <c r="X983" s="1" t="s">
        <v>74</v>
      </c>
      <c r="Y983" s="1" t="s">
        <v>74</v>
      </c>
      <c r="Z983" s="1" t="s">
        <v>74</v>
      </c>
      <c r="AA983" s="1" t="s">
        <v>5191</v>
      </c>
      <c r="AB983" s="1" t="s">
        <v>9720</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9721</v>
      </c>
      <c r="AP983" s="1" t="s">
        <v>9722</v>
      </c>
      <c r="AQ983" s="1" t="s">
        <v>74</v>
      </c>
      <c r="AR983" s="1" t="s">
        <v>74</v>
      </c>
      <c r="AS983" s="1" t="s">
        <v>74</v>
      </c>
      <c r="AT983" s="1" t="s">
        <v>8647</v>
      </c>
      <c r="AU983" s="1">
        <v>2018.0</v>
      </c>
      <c r="AV983" s="1">
        <v>215.0</v>
      </c>
      <c r="AW983" s="1">
        <v>11.0</v>
      </c>
      <c r="AX983" s="1" t="s">
        <v>74</v>
      </c>
      <c r="AY983" s="1" t="s">
        <v>74</v>
      </c>
      <c r="AZ983" s="1" t="s">
        <v>74</v>
      </c>
      <c r="BA983" s="1" t="s">
        <v>74</v>
      </c>
      <c r="BB983" s="1" t="s">
        <v>74</v>
      </c>
      <c r="BC983" s="1" t="s">
        <v>74</v>
      </c>
      <c r="BD983" s="1">
        <v>1700842.0</v>
      </c>
      <c r="BE983" s="1" t="s">
        <v>9723</v>
      </c>
      <c r="BF983" s="2" t="str">
        <f>HYPERLINK("http://dx.doi.org/10.1002/pssa.201700842","http://dx.doi.org/10.1002/pssa.201700842")</f>
        <v>http://dx.doi.org/10.1002/pssa.201700842</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9724</v>
      </c>
      <c r="BT983" s="1" t="str">
        <f>HYPERLINK("https%3A%2F%2Fwww.webofscience.com%2Fwos%2Fwoscc%2Ffull-record%2FWOS:000437294300009","View Full Record in Web of Science")</f>
        <v>View Full Record in Web of Science</v>
      </c>
    </row>
    <row r="984" ht="12.75" customHeight="1">
      <c r="A984" s="1" t="s">
        <v>72</v>
      </c>
      <c r="B984" s="1" t="s">
        <v>9725</v>
      </c>
      <c r="C984" s="1" t="s">
        <v>74</v>
      </c>
      <c r="D984" s="1" t="s">
        <v>74</v>
      </c>
      <c r="E984" s="1" t="s">
        <v>74</v>
      </c>
      <c r="F984" s="1" t="s">
        <v>9726</v>
      </c>
      <c r="G984" s="1" t="s">
        <v>74</v>
      </c>
      <c r="H984" s="1" t="s">
        <v>74</v>
      </c>
      <c r="I984" s="1" t="s">
        <v>9727</v>
      </c>
      <c r="J984" s="1" t="s">
        <v>9728</v>
      </c>
      <c r="K984" s="1" t="s">
        <v>74</v>
      </c>
      <c r="L984" s="1" t="s">
        <v>74</v>
      </c>
      <c r="M984" s="1" t="s">
        <v>74</v>
      </c>
      <c r="N984" s="1" t="s">
        <v>74</v>
      </c>
      <c r="O984" s="1" t="s">
        <v>74</v>
      </c>
      <c r="P984" s="1" t="s">
        <v>74</v>
      </c>
      <c r="Q984" s="1" t="s">
        <v>74</v>
      </c>
      <c r="R984" s="1" t="s">
        <v>74</v>
      </c>
      <c r="S984" s="1" t="s">
        <v>74</v>
      </c>
      <c r="T984" s="1" t="s">
        <v>74</v>
      </c>
      <c r="U984" s="1" t="s">
        <v>74</v>
      </c>
      <c r="V984" s="1" t="s">
        <v>9729</v>
      </c>
      <c r="W984" s="1" t="s">
        <v>74</v>
      </c>
      <c r="X984" s="1" t="s">
        <v>74</v>
      </c>
      <c r="Y984" s="1" t="s">
        <v>74</v>
      </c>
      <c r="Z984" s="1" t="s">
        <v>74</v>
      </c>
      <c r="AA984" s="1" t="s">
        <v>9730</v>
      </c>
      <c r="AB984" s="1" t="s">
        <v>9731</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9732</v>
      </c>
      <c r="AP984" s="1" t="s">
        <v>9733</v>
      </c>
      <c r="AQ984" s="1" t="s">
        <v>74</v>
      </c>
      <c r="AR984" s="1" t="s">
        <v>74</v>
      </c>
      <c r="AS984" s="1" t="s">
        <v>74</v>
      </c>
      <c r="AT984" s="1" t="s">
        <v>94</v>
      </c>
      <c r="AU984" s="1">
        <v>2018.0</v>
      </c>
      <c r="AV984" s="1">
        <v>71.0</v>
      </c>
      <c r="AW984" s="1">
        <v>3.0</v>
      </c>
      <c r="AX984" s="1" t="s">
        <v>74</v>
      </c>
      <c r="AY984" s="1" t="s">
        <v>74</v>
      </c>
      <c r="AZ984" s="1" t="s">
        <v>74</v>
      </c>
      <c r="BA984" s="1" t="s">
        <v>74</v>
      </c>
      <c r="BB984" s="1">
        <v>389.0</v>
      </c>
      <c r="BC984" s="1">
        <v>394.0</v>
      </c>
      <c r="BD984" s="1" t="s">
        <v>74</v>
      </c>
      <c r="BE984" s="1" t="s">
        <v>9734</v>
      </c>
      <c r="BF984" s="2" t="str">
        <f>HYPERLINK("http://dx.doi.org/10.1016/j.rama.2018.02.005","http://dx.doi.org/10.1016/j.rama.2018.02.005")</f>
        <v>http://dx.doi.org/10.1016/j.rama.2018.02.005</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9735</v>
      </c>
      <c r="BT984" s="1" t="str">
        <f>HYPERLINK("https%3A%2F%2Fwww.webofscience.com%2Fwos%2Fwoscc%2Ffull-record%2FWOS:000431787400015","View Full Record in Web of Science")</f>
        <v>View Full Record in Web of Science</v>
      </c>
    </row>
    <row r="985" ht="12.75" customHeight="1">
      <c r="A985" s="1" t="s">
        <v>72</v>
      </c>
      <c r="B985" s="1" t="s">
        <v>5974</v>
      </c>
      <c r="C985" s="1" t="s">
        <v>74</v>
      </c>
      <c r="D985" s="1" t="s">
        <v>74</v>
      </c>
      <c r="E985" s="1" t="s">
        <v>74</v>
      </c>
      <c r="F985" s="1" t="s">
        <v>5975</v>
      </c>
      <c r="G985" s="1" t="s">
        <v>74</v>
      </c>
      <c r="H985" s="1" t="s">
        <v>74</v>
      </c>
      <c r="I985" s="1" t="s">
        <v>9736</v>
      </c>
      <c r="J985" s="1" t="s">
        <v>9737</v>
      </c>
      <c r="K985" s="1" t="s">
        <v>74</v>
      </c>
      <c r="L985" s="1" t="s">
        <v>74</v>
      </c>
      <c r="M985" s="1" t="s">
        <v>74</v>
      </c>
      <c r="N985" s="1" t="s">
        <v>74</v>
      </c>
      <c r="O985" s="1" t="s">
        <v>74</v>
      </c>
      <c r="P985" s="1" t="s">
        <v>74</v>
      </c>
      <c r="Q985" s="1" t="s">
        <v>74</v>
      </c>
      <c r="R985" s="1" t="s">
        <v>74</v>
      </c>
      <c r="S985" s="1" t="s">
        <v>74</v>
      </c>
      <c r="T985" s="1" t="s">
        <v>74</v>
      </c>
      <c r="U985" s="1" t="s">
        <v>74</v>
      </c>
      <c r="V985" s="1" t="s">
        <v>9738</v>
      </c>
      <c r="W985" s="1" t="s">
        <v>74</v>
      </c>
      <c r="X985" s="1" t="s">
        <v>74</v>
      </c>
      <c r="Y985" s="1" t="s">
        <v>74</v>
      </c>
      <c r="Z985" s="1" t="s">
        <v>74</v>
      </c>
      <c r="AA985" s="1" t="s">
        <v>5978</v>
      </c>
      <c r="AB985" s="1" t="s">
        <v>7982</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9739</v>
      </c>
      <c r="AP985" s="1" t="s">
        <v>9740</v>
      </c>
      <c r="AQ985" s="1" t="s">
        <v>74</v>
      </c>
      <c r="AR985" s="1" t="s">
        <v>74</v>
      </c>
      <c r="AS985" s="1" t="s">
        <v>74</v>
      </c>
      <c r="AT985" s="1" t="s">
        <v>308</v>
      </c>
      <c r="AU985" s="1">
        <v>2018.0</v>
      </c>
      <c r="AV985" s="1">
        <v>25.0</v>
      </c>
      <c r="AW985" s="1">
        <v>2.0</v>
      </c>
      <c r="AX985" s="1" t="s">
        <v>74</v>
      </c>
      <c r="AY985" s="1" t="s">
        <v>74</v>
      </c>
      <c r="AZ985" s="1" t="s">
        <v>74</v>
      </c>
      <c r="BA985" s="1" t="s">
        <v>74</v>
      </c>
      <c r="BB985" s="1" t="s">
        <v>74</v>
      </c>
      <c r="BC985" s="1" t="s">
        <v>74</v>
      </c>
      <c r="BD985" s="1">
        <v>12.0</v>
      </c>
      <c r="BE985" s="1" t="s">
        <v>9741</v>
      </c>
      <c r="BF985" s="2" t="str">
        <f>HYPERLINK("http://dx.doi.org/10.1007/s00030-018-0502-1","http://dx.doi.org/10.1007/s00030-018-0502-1")</f>
        <v>http://dx.doi.org/10.1007/s00030-018-0502-1</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9742</v>
      </c>
      <c r="BT985" s="1" t="str">
        <f>HYPERLINK("https%3A%2F%2Fwww.webofscience.com%2Fwos%2Fwoscc%2Ffull-record%2FWOS:000430329700004","View Full Record in Web of Science")</f>
        <v>View Full Record in Web of Science</v>
      </c>
    </row>
    <row r="986" ht="12.75" customHeight="1">
      <c r="A986" s="1" t="s">
        <v>72</v>
      </c>
      <c r="B986" s="1" t="s">
        <v>9743</v>
      </c>
      <c r="C986" s="1" t="s">
        <v>74</v>
      </c>
      <c r="D986" s="1" t="s">
        <v>74</v>
      </c>
      <c r="E986" s="1" t="s">
        <v>74</v>
      </c>
      <c r="F986" s="1" t="s">
        <v>9744</v>
      </c>
      <c r="G986" s="1" t="s">
        <v>74</v>
      </c>
      <c r="H986" s="1" t="s">
        <v>74</v>
      </c>
      <c r="I986" s="1" t="s">
        <v>9745</v>
      </c>
      <c r="J986" s="1" t="s">
        <v>4549</v>
      </c>
      <c r="K986" s="1" t="s">
        <v>74</v>
      </c>
      <c r="L986" s="1" t="s">
        <v>74</v>
      </c>
      <c r="M986" s="1" t="s">
        <v>74</v>
      </c>
      <c r="N986" s="1" t="s">
        <v>74</v>
      </c>
      <c r="O986" s="1" t="s">
        <v>74</v>
      </c>
      <c r="P986" s="1" t="s">
        <v>74</v>
      </c>
      <c r="Q986" s="1" t="s">
        <v>74</v>
      </c>
      <c r="R986" s="1" t="s">
        <v>74</v>
      </c>
      <c r="S986" s="1" t="s">
        <v>74</v>
      </c>
      <c r="T986" s="1" t="s">
        <v>74</v>
      </c>
      <c r="U986" s="1" t="s">
        <v>74</v>
      </c>
      <c r="V986" s="1" t="s">
        <v>9746</v>
      </c>
      <c r="W986" s="1" t="s">
        <v>74</v>
      </c>
      <c r="X986" s="1" t="s">
        <v>74</v>
      </c>
      <c r="Y986" s="1" t="s">
        <v>74</v>
      </c>
      <c r="Z986" s="1" t="s">
        <v>74</v>
      </c>
      <c r="AA986" s="1" t="s">
        <v>9747</v>
      </c>
      <c r="AB986" s="1" t="s">
        <v>9748</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4553</v>
      </c>
      <c r="AP986" s="1" t="s">
        <v>4554</v>
      </c>
      <c r="AQ986" s="1" t="s">
        <v>74</v>
      </c>
      <c r="AR986" s="1" t="s">
        <v>74</v>
      </c>
      <c r="AS986" s="1" t="s">
        <v>74</v>
      </c>
      <c r="AT986" s="1" t="s">
        <v>5014</v>
      </c>
      <c r="AU986" s="1">
        <v>2018.0</v>
      </c>
      <c r="AV986" s="1">
        <v>18.0</v>
      </c>
      <c r="AW986" s="1">
        <v>6.0</v>
      </c>
      <c r="AX986" s="1" t="s">
        <v>74</v>
      </c>
      <c r="AY986" s="1" t="s">
        <v>74</v>
      </c>
      <c r="AZ986" s="1" t="s">
        <v>74</v>
      </c>
      <c r="BA986" s="1" t="s">
        <v>74</v>
      </c>
      <c r="BB986" s="1">
        <v>4113.0</v>
      </c>
      <c r="BC986" s="1">
        <v>4130.0</v>
      </c>
      <c r="BD986" s="1" t="s">
        <v>74</v>
      </c>
      <c r="BE986" s="1" t="s">
        <v>9749</v>
      </c>
      <c r="BF986" s="2" t="str">
        <f>HYPERLINK("http://dx.doi.org/10.5194/acp-18-4113-2018","http://dx.doi.org/10.5194/acp-18-4113-2018")</f>
        <v>http://dx.doi.org/10.5194/acp-18-4113-2018</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9750</v>
      </c>
      <c r="BT986" s="1" t="str">
        <f>HYPERLINK("https%3A%2F%2Fwww.webofscience.com%2Fwos%2Fwoscc%2Ffull-record%2FWOS:000428375100001","View Full Record in Web of Science")</f>
        <v>View Full Record in Web of Science</v>
      </c>
    </row>
    <row r="987" ht="12.75" customHeight="1">
      <c r="A987" s="1" t="s">
        <v>72</v>
      </c>
      <c r="B987" s="1" t="s">
        <v>9751</v>
      </c>
      <c r="C987" s="1" t="s">
        <v>74</v>
      </c>
      <c r="D987" s="1" t="s">
        <v>74</v>
      </c>
      <c r="E987" s="1" t="s">
        <v>74</v>
      </c>
      <c r="F987" s="1" t="s">
        <v>9752</v>
      </c>
      <c r="G987" s="1" t="s">
        <v>74</v>
      </c>
      <c r="H987" s="1" t="s">
        <v>74</v>
      </c>
      <c r="I987" s="1" t="s">
        <v>9753</v>
      </c>
      <c r="J987" s="1" t="s">
        <v>9754</v>
      </c>
      <c r="K987" s="1" t="s">
        <v>74</v>
      </c>
      <c r="L987" s="1" t="s">
        <v>74</v>
      </c>
      <c r="M987" s="1" t="s">
        <v>74</v>
      </c>
      <c r="N987" s="1" t="s">
        <v>74</v>
      </c>
      <c r="O987" s="1" t="s">
        <v>74</v>
      </c>
      <c r="P987" s="1" t="s">
        <v>74</v>
      </c>
      <c r="Q987" s="1" t="s">
        <v>74</v>
      </c>
      <c r="R987" s="1" t="s">
        <v>74</v>
      </c>
      <c r="S987" s="1" t="s">
        <v>74</v>
      </c>
      <c r="T987" s="1" t="s">
        <v>74</v>
      </c>
      <c r="U987" s="1" t="s">
        <v>74</v>
      </c>
      <c r="V987" s="1" t="s">
        <v>9755</v>
      </c>
      <c r="W987" s="1" t="s">
        <v>74</v>
      </c>
      <c r="X987" s="1" t="s">
        <v>74</v>
      </c>
      <c r="Y987" s="1" t="s">
        <v>74</v>
      </c>
      <c r="Z987" s="1" t="s">
        <v>74</v>
      </c>
      <c r="AA987" s="1" t="s">
        <v>9756</v>
      </c>
      <c r="AB987" s="1" t="s">
        <v>9757</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9758</v>
      </c>
      <c r="AP987" s="1" t="s">
        <v>9759</v>
      </c>
      <c r="AQ987" s="1" t="s">
        <v>74</v>
      </c>
      <c r="AR987" s="1" t="s">
        <v>74</v>
      </c>
      <c r="AS987" s="1" t="s">
        <v>74</v>
      </c>
      <c r="AT987" s="1" t="s">
        <v>74</v>
      </c>
      <c r="AU987" s="1">
        <v>2018.0</v>
      </c>
      <c r="AV987" s="1">
        <v>39.0</v>
      </c>
      <c r="AW987" s="1">
        <v>10.0</v>
      </c>
      <c r="AX987" s="1" t="s">
        <v>74</v>
      </c>
      <c r="AY987" s="1" t="s">
        <v>74</v>
      </c>
      <c r="AZ987" s="1" t="s">
        <v>74</v>
      </c>
      <c r="BA987" s="1" t="s">
        <v>74</v>
      </c>
      <c r="BB987" s="1">
        <v>1092.0</v>
      </c>
      <c r="BC987" s="1">
        <v>1101.0</v>
      </c>
      <c r="BD987" s="1" t="s">
        <v>74</v>
      </c>
      <c r="BE987" s="1" t="s">
        <v>9760</v>
      </c>
      <c r="BF987" s="2" t="str">
        <f>HYPERLINK("http://dx.doi.org/10.1080/01630563.2018.1478426","http://dx.doi.org/10.1080/01630563.2018.1478426")</f>
        <v>http://dx.doi.org/10.1080/01630563.2018.1478426</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9761</v>
      </c>
      <c r="BT987" s="1" t="str">
        <f>HYPERLINK("https%3A%2F%2Fwww.webofscience.com%2Fwos%2Fwoscc%2Ffull-record%2FWOS:000444259400007","View Full Record in Web of Science")</f>
        <v>View Full Record in Web of Science</v>
      </c>
    </row>
    <row r="988" ht="12.75" customHeight="1">
      <c r="A988" s="1" t="s">
        <v>72</v>
      </c>
      <c r="B988" s="1" t="s">
        <v>9762</v>
      </c>
      <c r="C988" s="1" t="s">
        <v>74</v>
      </c>
      <c r="D988" s="1" t="s">
        <v>74</v>
      </c>
      <c r="E988" s="1" t="s">
        <v>74</v>
      </c>
      <c r="F988" s="1" t="s">
        <v>9763</v>
      </c>
      <c r="G988" s="1" t="s">
        <v>74</v>
      </c>
      <c r="H988" s="1" t="s">
        <v>74</v>
      </c>
      <c r="I988" s="1" t="s">
        <v>9764</v>
      </c>
      <c r="J988" s="1" t="s">
        <v>8514</v>
      </c>
      <c r="K988" s="1" t="s">
        <v>74</v>
      </c>
      <c r="L988" s="1" t="s">
        <v>74</v>
      </c>
      <c r="M988" s="1" t="s">
        <v>74</v>
      </c>
      <c r="N988" s="1" t="s">
        <v>74</v>
      </c>
      <c r="O988" s="1" t="s">
        <v>74</v>
      </c>
      <c r="P988" s="1" t="s">
        <v>74</v>
      </c>
      <c r="Q988" s="1" t="s">
        <v>74</v>
      </c>
      <c r="R988" s="1" t="s">
        <v>74</v>
      </c>
      <c r="S988" s="1" t="s">
        <v>74</v>
      </c>
      <c r="T988" s="1" t="s">
        <v>74</v>
      </c>
      <c r="U988" s="1" t="s">
        <v>74</v>
      </c>
      <c r="V988" s="1" t="s">
        <v>9765</v>
      </c>
      <c r="W988" s="1" t="s">
        <v>74</v>
      </c>
      <c r="X988" s="1" t="s">
        <v>74</v>
      </c>
      <c r="Y988" s="1" t="s">
        <v>74</v>
      </c>
      <c r="Z988" s="1" t="s">
        <v>74</v>
      </c>
      <c r="AA988" s="1" t="s">
        <v>9766</v>
      </c>
      <c r="AB988" s="1" t="s">
        <v>9767</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8518</v>
      </c>
      <c r="AP988" s="1" t="s">
        <v>8519</v>
      </c>
      <c r="AQ988" s="1" t="s">
        <v>74</v>
      </c>
      <c r="AR988" s="1" t="s">
        <v>74</v>
      </c>
      <c r="AS988" s="1" t="s">
        <v>74</v>
      </c>
      <c r="AT988" s="1" t="s">
        <v>151</v>
      </c>
      <c r="AU988" s="1">
        <v>2017.0</v>
      </c>
      <c r="AV988" s="1">
        <v>128.0</v>
      </c>
      <c r="AW988" s="1" t="s">
        <v>74</v>
      </c>
      <c r="AX988" s="1" t="s">
        <v>74</v>
      </c>
      <c r="AY988" s="1" t="s">
        <v>74</v>
      </c>
      <c r="AZ988" s="1" t="s">
        <v>74</v>
      </c>
      <c r="BA988" s="1" t="s">
        <v>74</v>
      </c>
      <c r="BB988" s="1">
        <v>26.0</v>
      </c>
      <c r="BC988" s="1">
        <v>31.0</v>
      </c>
      <c r="BD988" s="1" t="s">
        <v>74</v>
      </c>
      <c r="BE988" s="1" t="s">
        <v>9768</v>
      </c>
      <c r="BF988" s="2" t="str">
        <f>HYPERLINK("http://dx.doi.org/10.1016/j.supflu.2017.05.003","http://dx.doi.org/10.1016/j.supflu.2017.05.003")</f>
        <v>http://dx.doi.org/10.1016/j.supflu.2017.05.003</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9769</v>
      </c>
      <c r="BT988" s="1" t="str">
        <f>HYPERLINK("https%3A%2F%2Fwww.webofscience.com%2Fwos%2Fwoscc%2Ffull-record%2FWOS:000408287400004","View Full Record in Web of Science")</f>
        <v>View Full Record in Web of Science</v>
      </c>
    </row>
    <row r="989" ht="12.75" customHeight="1">
      <c r="A989" s="1" t="s">
        <v>72</v>
      </c>
      <c r="B989" s="1" t="s">
        <v>9770</v>
      </c>
      <c r="C989" s="1" t="s">
        <v>74</v>
      </c>
      <c r="D989" s="1" t="s">
        <v>74</v>
      </c>
      <c r="E989" s="1" t="s">
        <v>74</v>
      </c>
      <c r="F989" s="1" t="s">
        <v>9771</v>
      </c>
      <c r="G989" s="1" t="s">
        <v>74</v>
      </c>
      <c r="H989" s="1" t="s">
        <v>74</v>
      </c>
      <c r="I989" s="1" t="s">
        <v>9772</v>
      </c>
      <c r="J989" s="1" t="s">
        <v>9773</v>
      </c>
      <c r="K989" s="1" t="s">
        <v>74</v>
      </c>
      <c r="L989" s="1" t="s">
        <v>74</v>
      </c>
      <c r="M989" s="1" t="s">
        <v>74</v>
      </c>
      <c r="N989" s="1" t="s">
        <v>74</v>
      </c>
      <c r="O989" s="1" t="s">
        <v>74</v>
      </c>
      <c r="P989" s="1" t="s">
        <v>74</v>
      </c>
      <c r="Q989" s="1" t="s">
        <v>74</v>
      </c>
      <c r="R989" s="1" t="s">
        <v>74</v>
      </c>
      <c r="S989" s="1" t="s">
        <v>74</v>
      </c>
      <c r="T989" s="1" t="s">
        <v>74</v>
      </c>
      <c r="U989" s="1" t="s">
        <v>74</v>
      </c>
      <c r="V989" s="1" t="s">
        <v>74</v>
      </c>
      <c r="W989" s="1" t="s">
        <v>74</v>
      </c>
      <c r="X989" s="1" t="s">
        <v>74</v>
      </c>
      <c r="Y989" s="1" t="s">
        <v>74</v>
      </c>
      <c r="Z989" s="1" t="s">
        <v>74</v>
      </c>
      <c r="AA989" s="1" t="s">
        <v>9774</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9775</v>
      </c>
      <c r="AP989" s="1" t="s">
        <v>9776</v>
      </c>
      <c r="AQ989" s="1" t="s">
        <v>74</v>
      </c>
      <c r="AR989" s="1" t="s">
        <v>74</v>
      </c>
      <c r="AS989" s="1" t="s">
        <v>74</v>
      </c>
      <c r="AT989" s="1" t="s">
        <v>83</v>
      </c>
      <c r="AU989" s="1">
        <v>2016.0</v>
      </c>
      <c r="AV989" s="1">
        <v>23.0</v>
      </c>
      <c r="AW989" s="1">
        <v>6.0</v>
      </c>
      <c r="AX989" s="1" t="s">
        <v>74</v>
      </c>
      <c r="AY989" s="1" t="s">
        <v>74</v>
      </c>
      <c r="AZ989" s="1" t="s">
        <v>74</v>
      </c>
      <c r="BA989" s="1" t="s">
        <v>74</v>
      </c>
      <c r="BB989" s="1">
        <v>1499.0</v>
      </c>
      <c r="BC989" s="1">
        <v>1500.0</v>
      </c>
      <c r="BD989" s="1" t="s">
        <v>74</v>
      </c>
      <c r="BE989" s="1" t="s">
        <v>9777</v>
      </c>
      <c r="BF989" s="2" t="str">
        <f>HYPERLINK("http://dx.doi.org/10.1007/s12350-016-0544-x","http://dx.doi.org/10.1007/s12350-016-0544-x")</f>
        <v>http://dx.doi.org/10.1007/s12350-016-0544-x</v>
      </c>
      <c r="BG989" s="1" t="s">
        <v>74</v>
      </c>
      <c r="BH989" s="1" t="s">
        <v>74</v>
      </c>
      <c r="BI989" s="1" t="s">
        <v>74</v>
      </c>
      <c r="BJ989" s="1" t="s">
        <v>74</v>
      </c>
      <c r="BK989" s="1" t="s">
        <v>74</v>
      </c>
      <c r="BL989" s="1" t="s">
        <v>74</v>
      </c>
      <c r="BM989" s="1" t="s">
        <v>74</v>
      </c>
      <c r="BN989" s="1">
        <v>2.7225512E7</v>
      </c>
      <c r="BO989" s="1" t="s">
        <v>74</v>
      </c>
      <c r="BP989" s="1" t="s">
        <v>74</v>
      </c>
      <c r="BQ989" s="1" t="s">
        <v>74</v>
      </c>
      <c r="BR989" s="1" t="s">
        <v>74</v>
      </c>
      <c r="BS989" s="1" t="s">
        <v>9778</v>
      </c>
      <c r="BT989" s="1" t="str">
        <f>HYPERLINK("https%3A%2F%2Fwww.webofscience.com%2Fwos%2Fwoscc%2Ffull-record%2FWOS:000388182100035","View Full Record in Web of Science")</f>
        <v>View Full Record in Web of Science</v>
      </c>
    </row>
    <row r="990" ht="12.75" customHeight="1">
      <c r="A990" s="1" t="s">
        <v>72</v>
      </c>
      <c r="B990" s="1" t="s">
        <v>6036</v>
      </c>
      <c r="C990" s="1" t="s">
        <v>74</v>
      </c>
      <c r="D990" s="1" t="s">
        <v>74</v>
      </c>
      <c r="E990" s="1" t="s">
        <v>74</v>
      </c>
      <c r="F990" s="1" t="s">
        <v>9779</v>
      </c>
      <c r="G990" s="1" t="s">
        <v>74</v>
      </c>
      <c r="H990" s="1" t="s">
        <v>74</v>
      </c>
      <c r="I990" s="1" t="s">
        <v>9780</v>
      </c>
      <c r="J990" s="1" t="s">
        <v>9199</v>
      </c>
      <c r="K990" s="1" t="s">
        <v>74</v>
      </c>
      <c r="L990" s="1" t="s">
        <v>74</v>
      </c>
      <c r="M990" s="1" t="s">
        <v>74</v>
      </c>
      <c r="N990" s="1" t="s">
        <v>74</v>
      </c>
      <c r="O990" s="1" t="s">
        <v>74</v>
      </c>
      <c r="P990" s="1" t="s">
        <v>74</v>
      </c>
      <c r="Q990" s="1" t="s">
        <v>74</v>
      </c>
      <c r="R990" s="1" t="s">
        <v>74</v>
      </c>
      <c r="S990" s="1" t="s">
        <v>74</v>
      </c>
      <c r="T990" s="1" t="s">
        <v>74</v>
      </c>
      <c r="U990" s="1" t="s">
        <v>74</v>
      </c>
      <c r="V990" s="1" t="s">
        <v>9781</v>
      </c>
      <c r="W990" s="1" t="s">
        <v>74</v>
      </c>
      <c r="X990" s="1" t="s">
        <v>74</v>
      </c>
      <c r="Y990" s="1" t="s">
        <v>74</v>
      </c>
      <c r="Z990" s="1" t="s">
        <v>74</v>
      </c>
      <c r="AA990" s="1" t="s">
        <v>6040</v>
      </c>
      <c r="AB990" s="1" t="s">
        <v>6041</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9201</v>
      </c>
      <c r="AP990" s="1" t="s">
        <v>9202</v>
      </c>
      <c r="AQ990" s="1" t="s">
        <v>74</v>
      </c>
      <c r="AR990" s="1" t="s">
        <v>74</v>
      </c>
      <c r="AS990" s="1" t="s">
        <v>74</v>
      </c>
      <c r="AT990" s="1" t="s">
        <v>94</v>
      </c>
      <c r="AU990" s="1">
        <v>2015.0</v>
      </c>
      <c r="AV990" s="1">
        <v>120.0</v>
      </c>
      <c r="AW990" s="1">
        <v>5.0</v>
      </c>
      <c r="AX990" s="1" t="s">
        <v>74</v>
      </c>
      <c r="AY990" s="1" t="s">
        <v>74</v>
      </c>
      <c r="AZ990" s="1" t="s">
        <v>74</v>
      </c>
      <c r="BA990" s="1" t="s">
        <v>74</v>
      </c>
      <c r="BB990" s="1">
        <v>3702.0</v>
      </c>
      <c r="BC990" s="1">
        <v>3714.0</v>
      </c>
      <c r="BD990" s="1" t="s">
        <v>74</v>
      </c>
      <c r="BE990" s="1" t="s">
        <v>9782</v>
      </c>
      <c r="BF990" s="2" t="str">
        <f>HYPERLINK("http://dx.doi.org/10.1002/2014JA020684","http://dx.doi.org/10.1002/2014JA020684")</f>
        <v>http://dx.doi.org/10.1002/2014JA020684</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9783</v>
      </c>
      <c r="BT990" s="1" t="str">
        <f>HYPERLINK("https%3A%2F%2Fwww.webofscience.com%2Fwos%2Fwoscc%2Ffull-record%2FWOS:000357869600031","View Full Record in Web of Science")</f>
        <v>View Full Record in Web of Science</v>
      </c>
    </row>
    <row r="991" ht="12.75" customHeight="1">
      <c r="A991" s="1" t="s">
        <v>72</v>
      </c>
      <c r="B991" s="1" t="s">
        <v>9784</v>
      </c>
      <c r="C991" s="1" t="s">
        <v>74</v>
      </c>
      <c r="D991" s="1" t="s">
        <v>74</v>
      </c>
      <c r="E991" s="1" t="s">
        <v>74</v>
      </c>
      <c r="F991" s="1" t="s">
        <v>9785</v>
      </c>
      <c r="G991" s="1" t="s">
        <v>74</v>
      </c>
      <c r="H991" s="1" t="s">
        <v>74</v>
      </c>
      <c r="I991" s="1" t="s">
        <v>9786</v>
      </c>
      <c r="J991" s="1" t="s">
        <v>958</v>
      </c>
      <c r="K991" s="1" t="s">
        <v>74</v>
      </c>
      <c r="L991" s="1" t="s">
        <v>74</v>
      </c>
      <c r="M991" s="1" t="s">
        <v>74</v>
      </c>
      <c r="N991" s="1" t="s">
        <v>74</v>
      </c>
      <c r="O991" s="1" t="s">
        <v>74</v>
      </c>
      <c r="P991" s="1" t="s">
        <v>74</v>
      </c>
      <c r="Q991" s="1" t="s">
        <v>74</v>
      </c>
      <c r="R991" s="1" t="s">
        <v>74</v>
      </c>
      <c r="S991" s="1" t="s">
        <v>74</v>
      </c>
      <c r="T991" s="1" t="s">
        <v>74</v>
      </c>
      <c r="U991" s="1" t="s">
        <v>74</v>
      </c>
      <c r="V991" s="1" t="s">
        <v>9787</v>
      </c>
      <c r="W991" s="1" t="s">
        <v>74</v>
      </c>
      <c r="X991" s="1" t="s">
        <v>74</v>
      </c>
      <c r="Y991" s="1" t="s">
        <v>74</v>
      </c>
      <c r="Z991" s="1" t="s">
        <v>74</v>
      </c>
      <c r="AA991" s="1" t="s">
        <v>9788</v>
      </c>
      <c r="AB991" s="1" t="s">
        <v>9789</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962</v>
      </c>
      <c r="AP991" s="1" t="s">
        <v>5042</v>
      </c>
      <c r="AQ991" s="1" t="s">
        <v>74</v>
      </c>
      <c r="AR991" s="1" t="s">
        <v>74</v>
      </c>
      <c r="AS991" s="1" t="s">
        <v>74</v>
      </c>
      <c r="AT991" s="1" t="s">
        <v>600</v>
      </c>
      <c r="AU991" s="1">
        <v>2012.0</v>
      </c>
      <c r="AV991" s="1">
        <v>47.0</v>
      </c>
      <c r="AW991" s="1">
        <v>3.0</v>
      </c>
      <c r="AX991" s="1" t="s">
        <v>74</v>
      </c>
      <c r="AY991" s="1" t="s">
        <v>74</v>
      </c>
      <c r="AZ991" s="1" t="s">
        <v>74</v>
      </c>
      <c r="BA991" s="1" t="s">
        <v>74</v>
      </c>
      <c r="BB991" s="1">
        <v>420.0</v>
      </c>
      <c r="BC991" s="1">
        <v>427.0</v>
      </c>
      <c r="BD991" s="1" t="s">
        <v>74</v>
      </c>
      <c r="BE991" s="1" t="s">
        <v>9790</v>
      </c>
      <c r="BF991" s="2" t="str">
        <f>HYPERLINK("http://dx.doi.org/10.1080/10934529.2012.646129","http://dx.doi.org/10.1080/10934529.2012.646129")</f>
        <v>http://dx.doi.org/10.1080/10934529.2012.646129</v>
      </c>
      <c r="BG991" s="1" t="s">
        <v>74</v>
      </c>
      <c r="BH991" s="1" t="s">
        <v>74</v>
      </c>
      <c r="BI991" s="1" t="s">
        <v>74</v>
      </c>
      <c r="BJ991" s="1" t="s">
        <v>74</v>
      </c>
      <c r="BK991" s="1" t="s">
        <v>74</v>
      </c>
      <c r="BL991" s="1" t="s">
        <v>74</v>
      </c>
      <c r="BM991" s="1" t="s">
        <v>74</v>
      </c>
      <c r="BN991" s="1">
        <v>2.2320694E7</v>
      </c>
      <c r="BO991" s="1" t="s">
        <v>74</v>
      </c>
      <c r="BP991" s="1" t="s">
        <v>74</v>
      </c>
      <c r="BQ991" s="1" t="s">
        <v>74</v>
      </c>
      <c r="BR991" s="1" t="s">
        <v>74</v>
      </c>
      <c r="BS991" s="1" t="s">
        <v>9791</v>
      </c>
      <c r="BT991" s="1" t="str">
        <f>HYPERLINK("https%3A%2F%2Fwww.webofscience.com%2Fwos%2Fwoscc%2Ffull-record%2FWOS:000301013000011","View Full Record in Web of Science")</f>
        <v>View Full Record in Web of Science</v>
      </c>
    </row>
    <row r="992" ht="12.75" customHeight="1">
      <c r="A992" s="1" t="s">
        <v>72</v>
      </c>
      <c r="B992" s="1" t="s">
        <v>9792</v>
      </c>
      <c r="C992" s="1" t="s">
        <v>74</v>
      </c>
      <c r="D992" s="1" t="s">
        <v>74</v>
      </c>
      <c r="E992" s="1" t="s">
        <v>74</v>
      </c>
      <c r="F992" s="1" t="s">
        <v>9793</v>
      </c>
      <c r="G992" s="1" t="s">
        <v>74</v>
      </c>
      <c r="H992" s="1" t="s">
        <v>74</v>
      </c>
      <c r="I992" s="1" t="s">
        <v>9794</v>
      </c>
      <c r="J992" s="1" t="s">
        <v>948</v>
      </c>
      <c r="K992" s="1" t="s">
        <v>74</v>
      </c>
      <c r="L992" s="1" t="s">
        <v>74</v>
      </c>
      <c r="M992" s="1" t="s">
        <v>74</v>
      </c>
      <c r="N992" s="1" t="s">
        <v>74</v>
      </c>
      <c r="O992" s="1" t="s">
        <v>74</v>
      </c>
      <c r="P992" s="1" t="s">
        <v>74</v>
      </c>
      <c r="Q992" s="1" t="s">
        <v>74</v>
      </c>
      <c r="R992" s="1" t="s">
        <v>74</v>
      </c>
      <c r="S992" s="1" t="s">
        <v>74</v>
      </c>
      <c r="T992" s="1" t="s">
        <v>74</v>
      </c>
      <c r="U992" s="1" t="s">
        <v>74</v>
      </c>
      <c r="V992" s="1" t="s">
        <v>9795</v>
      </c>
      <c r="W992" s="1" t="s">
        <v>74</v>
      </c>
      <c r="X992" s="1" t="s">
        <v>74</v>
      </c>
      <c r="Y992" s="1" t="s">
        <v>74</v>
      </c>
      <c r="Z992" s="1" t="s">
        <v>74</v>
      </c>
      <c r="AA992" s="1" t="s">
        <v>74</v>
      </c>
      <c r="AB992" s="1" t="s">
        <v>9796</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2687</v>
      </c>
      <c r="AP992" s="1" t="s">
        <v>74</v>
      </c>
      <c r="AQ992" s="1" t="s">
        <v>74</v>
      </c>
      <c r="AR992" s="1" t="s">
        <v>74</v>
      </c>
      <c r="AS992" s="1" t="s">
        <v>74</v>
      </c>
      <c r="AT992" s="1" t="s">
        <v>83</v>
      </c>
      <c r="AU992" s="1">
        <v>2010.0</v>
      </c>
      <c r="AV992" s="1">
        <v>55.0</v>
      </c>
      <c r="AW992" s="1">
        <v>4.0</v>
      </c>
      <c r="AX992" s="1" t="s">
        <v>74</v>
      </c>
      <c r="AY992" s="1" t="s">
        <v>74</v>
      </c>
      <c r="AZ992" s="1" t="s">
        <v>74</v>
      </c>
      <c r="BA992" s="1" t="s">
        <v>74</v>
      </c>
      <c r="BB992" s="1">
        <v>479.0</v>
      </c>
      <c r="BC992" s="1">
        <v>482.0</v>
      </c>
      <c r="BD992" s="1" t="s">
        <v>74</v>
      </c>
      <c r="BE992" s="1" t="s">
        <v>9797</v>
      </c>
      <c r="BF992" s="2" t="str">
        <f>HYPERLINK("http://dx.doi.org/10.4067/S0717-97072010000400015","http://dx.doi.org/10.4067/S0717-97072010000400015")</f>
        <v>http://dx.doi.org/10.4067/S0717-97072010000400015</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9798</v>
      </c>
      <c r="BT992" s="1" t="str">
        <f>HYPERLINK("https%3A%2F%2Fwww.webofscience.com%2Fwos%2Fwoscc%2Ffull-record%2FWOS:000288584300018","View Full Record in Web of Science")</f>
        <v>View Full Record in Web of Science</v>
      </c>
    </row>
    <row r="993" ht="12.75" customHeight="1">
      <c r="A993" s="1" t="s">
        <v>72</v>
      </c>
      <c r="B993" s="1" t="s">
        <v>9799</v>
      </c>
      <c r="C993" s="1" t="s">
        <v>74</v>
      </c>
      <c r="D993" s="1" t="s">
        <v>74</v>
      </c>
      <c r="E993" s="1" t="s">
        <v>74</v>
      </c>
      <c r="F993" s="1" t="s">
        <v>9800</v>
      </c>
      <c r="G993" s="1" t="s">
        <v>74</v>
      </c>
      <c r="H993" s="1" t="s">
        <v>74</v>
      </c>
      <c r="I993" s="1" t="s">
        <v>9801</v>
      </c>
      <c r="J993" s="1" t="s">
        <v>3110</v>
      </c>
      <c r="K993" s="1" t="s">
        <v>74</v>
      </c>
      <c r="L993" s="1" t="s">
        <v>74</v>
      </c>
      <c r="M993" s="1" t="s">
        <v>74</v>
      </c>
      <c r="N993" s="1" t="s">
        <v>74</v>
      </c>
      <c r="O993" s="1" t="s">
        <v>74</v>
      </c>
      <c r="P993" s="1" t="s">
        <v>74</v>
      </c>
      <c r="Q993" s="1" t="s">
        <v>74</v>
      </c>
      <c r="R993" s="1" t="s">
        <v>74</v>
      </c>
      <c r="S993" s="1" t="s">
        <v>74</v>
      </c>
      <c r="T993" s="1" t="s">
        <v>74</v>
      </c>
      <c r="U993" s="1" t="s">
        <v>74</v>
      </c>
      <c r="V993" s="1" t="s">
        <v>9802</v>
      </c>
      <c r="W993" s="1" t="s">
        <v>74</v>
      </c>
      <c r="X993" s="1" t="s">
        <v>74</v>
      </c>
      <c r="Y993" s="1" t="s">
        <v>74</v>
      </c>
      <c r="Z993" s="1" t="s">
        <v>74</v>
      </c>
      <c r="AA993" s="1" t="s">
        <v>9803</v>
      </c>
      <c r="AB993" s="1" t="s">
        <v>9804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3114</v>
      </c>
      <c r="AP993" s="1" t="s">
        <v>3115</v>
      </c>
      <c r="AQ993" s="1" t="s">
        <v>74</v>
      </c>
      <c r="AR993" s="1" t="s">
        <v>74</v>
      </c>
      <c r="AS993" s="1" t="s">
        <v>74</v>
      </c>
      <c r="AT993" s="1" t="s">
        <v>9805</v>
      </c>
      <c r="AU993" s="1">
        <v>2008.0</v>
      </c>
      <c r="AV993" s="1">
        <v>350.0</v>
      </c>
      <c r="AW993" s="1">
        <v>1.0</v>
      </c>
      <c r="AX993" s="1" t="s">
        <v>74</v>
      </c>
      <c r="AY993" s="1" t="s">
        <v>74</v>
      </c>
      <c r="AZ993" s="1" t="s">
        <v>74</v>
      </c>
      <c r="BA993" s="1" t="s">
        <v>74</v>
      </c>
      <c r="BB993" s="1">
        <v>6.0</v>
      </c>
      <c r="BC993" s="1">
        <v>15.0</v>
      </c>
      <c r="BD993" s="1" t="s">
        <v>74</v>
      </c>
      <c r="BE993" s="1" t="s">
        <v>9806</v>
      </c>
      <c r="BF993" s="2" t="str">
        <f>HYPERLINK("http://dx.doi.org/10.1016/j.apcata.2008.07.013","http://dx.doi.org/10.1016/j.apcata.2008.07.013")</f>
        <v>http://dx.doi.org/10.1016/j.apcata.2008.07.013</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9807</v>
      </c>
      <c r="BT993" s="1" t="str">
        <f>HYPERLINK("https%3A%2F%2Fwww.webofscience.com%2Fwos%2Fwoscc%2Ffull-record%2FWOS:000260665300002","View Full Record in Web of Science")</f>
        <v>View Full Record in Web of Science</v>
      </c>
    </row>
    <row r="994" ht="12.75" customHeight="1">
      <c r="A994" s="1" t="s">
        <v>72</v>
      </c>
      <c r="B994" s="1" t="s">
        <v>9808</v>
      </c>
      <c r="C994" s="1" t="s">
        <v>74</v>
      </c>
      <c r="D994" s="1" t="s">
        <v>74</v>
      </c>
      <c r="E994" s="1" t="s">
        <v>74</v>
      </c>
      <c r="F994" s="1" t="s">
        <v>9809</v>
      </c>
      <c r="G994" s="1" t="s">
        <v>74</v>
      </c>
      <c r="H994" s="1" t="s">
        <v>74</v>
      </c>
      <c r="I994" s="1" t="s">
        <v>9810</v>
      </c>
      <c r="J994" s="1" t="s">
        <v>2579</v>
      </c>
      <c r="K994" s="1" t="s">
        <v>74</v>
      </c>
      <c r="L994" s="1" t="s">
        <v>74</v>
      </c>
      <c r="M994" s="1" t="s">
        <v>74</v>
      </c>
      <c r="N994" s="1" t="s">
        <v>74</v>
      </c>
      <c r="O994" s="1" t="s">
        <v>74</v>
      </c>
      <c r="P994" s="1" t="s">
        <v>74</v>
      </c>
      <c r="Q994" s="1" t="s">
        <v>74</v>
      </c>
      <c r="R994" s="1" t="s">
        <v>74</v>
      </c>
      <c r="S994" s="1" t="s">
        <v>74</v>
      </c>
      <c r="T994" s="1" t="s">
        <v>74</v>
      </c>
      <c r="U994" s="1" t="s">
        <v>74</v>
      </c>
      <c r="V994" s="1" t="s">
        <v>9811</v>
      </c>
      <c r="W994" s="1" t="s">
        <v>74</v>
      </c>
      <c r="X994" s="1" t="s">
        <v>74</v>
      </c>
      <c r="Y994" s="1" t="s">
        <v>74</v>
      </c>
      <c r="Z994" s="1" t="s">
        <v>74</v>
      </c>
      <c r="AA994" s="1" t="s">
        <v>9812</v>
      </c>
      <c r="AB994" s="1" t="s">
        <v>9813</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9814</v>
      </c>
      <c r="AP994" s="1" t="s">
        <v>9815</v>
      </c>
      <c r="AQ994" s="1" t="s">
        <v>74</v>
      </c>
      <c r="AR994" s="1" t="s">
        <v>74</v>
      </c>
      <c r="AS994" s="1" t="s">
        <v>74</v>
      </c>
      <c r="AT994" s="1" t="s">
        <v>176</v>
      </c>
      <c r="AU994" s="1">
        <v>2007.0</v>
      </c>
      <c r="AV994" s="1">
        <v>75.0</v>
      </c>
      <c r="AW994" s="1">
        <v>3.0</v>
      </c>
      <c r="AX994" s="1" t="s">
        <v>74</v>
      </c>
      <c r="AY994" s="1" t="s">
        <v>74</v>
      </c>
      <c r="AZ994" s="1" t="s">
        <v>74</v>
      </c>
      <c r="BA994" s="1" t="s">
        <v>74</v>
      </c>
      <c r="BB994" s="1" t="s">
        <v>74</v>
      </c>
      <c r="BC994" s="1" t="s">
        <v>74</v>
      </c>
      <c r="BD994" s="1">
        <v>33818.0</v>
      </c>
      <c r="BE994" s="1" t="s">
        <v>9816</v>
      </c>
      <c r="BF994" s="2" t="str">
        <f>HYPERLINK("http://dx.doi.org/10.1103/PhysRevA.75.033818","http://dx.doi.org/10.1103/PhysRevA.75.033818")</f>
        <v>http://dx.doi.org/10.1103/PhysRevA.75.033818</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9817</v>
      </c>
      <c r="BT994" s="1" t="str">
        <f>HYPERLINK("https%3A%2F%2Fwww.webofscience.com%2Fwos%2Fwoscc%2Ffull-record%2FWOS:000245326300195","View Full Record in Web of Science")</f>
        <v>View Full Record in Web of Science</v>
      </c>
    </row>
    <row r="995" ht="12.75" customHeight="1">
      <c r="A995" s="1" t="s">
        <v>72</v>
      </c>
      <c r="B995" s="1" t="s">
        <v>9818</v>
      </c>
      <c r="C995" s="1" t="s">
        <v>74</v>
      </c>
      <c r="D995" s="1" t="s">
        <v>74</v>
      </c>
      <c r="E995" s="1" t="s">
        <v>74</v>
      </c>
      <c r="F995" s="1" t="s">
        <v>9818</v>
      </c>
      <c r="G995" s="1" t="s">
        <v>74</v>
      </c>
      <c r="H995" s="1" t="s">
        <v>74</v>
      </c>
      <c r="I995" s="1" t="s">
        <v>9819</v>
      </c>
      <c r="J995" s="1" t="s">
        <v>3081</v>
      </c>
      <c r="K995" s="1" t="s">
        <v>74</v>
      </c>
      <c r="L995" s="1" t="s">
        <v>74</v>
      </c>
      <c r="M995" s="1" t="s">
        <v>74</v>
      </c>
      <c r="N995" s="1" t="s">
        <v>74</v>
      </c>
      <c r="O995" s="1" t="s">
        <v>74</v>
      </c>
      <c r="P995" s="1" t="s">
        <v>74</v>
      </c>
      <c r="Q995" s="1" t="s">
        <v>74</v>
      </c>
      <c r="R995" s="1" t="s">
        <v>74</v>
      </c>
      <c r="S995" s="1" t="s">
        <v>74</v>
      </c>
      <c r="T995" s="1" t="s">
        <v>74</v>
      </c>
      <c r="U995" s="1" t="s">
        <v>74</v>
      </c>
      <c r="V995" s="1" t="s">
        <v>9820</v>
      </c>
      <c r="W995" s="1" t="s">
        <v>74</v>
      </c>
      <c r="X995" s="1" t="s">
        <v>74</v>
      </c>
      <c r="Y995" s="1" t="s">
        <v>74</v>
      </c>
      <c r="Z995" s="1" t="s">
        <v>74</v>
      </c>
      <c r="AA995" s="1" t="s">
        <v>74</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3085</v>
      </c>
      <c r="AP995" s="1" t="s">
        <v>3086</v>
      </c>
      <c r="AQ995" s="1" t="s">
        <v>74</v>
      </c>
      <c r="AR995" s="1" t="s">
        <v>74</v>
      </c>
      <c r="AS995" s="1" t="s">
        <v>74</v>
      </c>
      <c r="AT995" s="1" t="s">
        <v>74</v>
      </c>
      <c r="AU995" s="1">
        <v>2003.0</v>
      </c>
      <c r="AV995" s="1">
        <v>36.0</v>
      </c>
      <c r="AW995" s="1">
        <v>2.0</v>
      </c>
      <c r="AX995" s="1" t="s">
        <v>74</v>
      </c>
      <c r="AY995" s="1" t="s">
        <v>74</v>
      </c>
      <c r="AZ995" s="1" t="s">
        <v>74</v>
      </c>
      <c r="BA995" s="1" t="s">
        <v>74</v>
      </c>
      <c r="BB995" s="1">
        <v>211.0</v>
      </c>
      <c r="BC995" s="1">
        <v>221.0</v>
      </c>
      <c r="BD995" s="1" t="s">
        <v>74</v>
      </c>
      <c r="BE995" s="1" t="s">
        <v>74</v>
      </c>
      <c r="BF995" s="1" t="s">
        <v>74</v>
      </c>
      <c r="BG995" s="1" t="s">
        <v>74</v>
      </c>
      <c r="BH995" s="1" t="s">
        <v>74</v>
      </c>
      <c r="BI995" s="1" t="s">
        <v>74</v>
      </c>
      <c r="BJ995" s="1" t="s">
        <v>74</v>
      </c>
      <c r="BK995" s="1" t="s">
        <v>74</v>
      </c>
      <c r="BL995" s="1" t="s">
        <v>74</v>
      </c>
      <c r="BM995" s="1" t="s">
        <v>74</v>
      </c>
      <c r="BN995" s="1">
        <v>1.4513716E7</v>
      </c>
      <c r="BO995" s="1" t="s">
        <v>74</v>
      </c>
      <c r="BP995" s="1" t="s">
        <v>74</v>
      </c>
      <c r="BQ995" s="1" t="s">
        <v>74</v>
      </c>
      <c r="BR995" s="1" t="s">
        <v>74</v>
      </c>
      <c r="BS995" s="1" t="s">
        <v>9821</v>
      </c>
      <c r="BT995" s="1" t="str">
        <f>HYPERLINK("https%3A%2F%2Fwww.webofscience.com%2Fwos%2Fwoscc%2Ffull-record%2FWOS:000185322300012","View Full Record in Web of Science")</f>
        <v>View Full Record in Web of Science</v>
      </c>
    </row>
    <row r="996" ht="12.75" customHeight="1">
      <c r="A996" s="1" t="s">
        <v>72</v>
      </c>
      <c r="B996" s="1" t="s">
        <v>9822</v>
      </c>
      <c r="C996" s="1" t="s">
        <v>74</v>
      </c>
      <c r="D996" s="1" t="s">
        <v>74</v>
      </c>
      <c r="E996" s="1" t="s">
        <v>74</v>
      </c>
      <c r="F996" s="1" t="s">
        <v>9822</v>
      </c>
      <c r="G996" s="1" t="s">
        <v>74</v>
      </c>
      <c r="H996" s="1" t="s">
        <v>74</v>
      </c>
      <c r="I996" s="1" t="s">
        <v>9823</v>
      </c>
      <c r="J996" s="1" t="s">
        <v>6166</v>
      </c>
      <c r="K996" s="1" t="s">
        <v>74</v>
      </c>
      <c r="L996" s="1" t="s">
        <v>74</v>
      </c>
      <c r="M996" s="1" t="s">
        <v>74</v>
      </c>
      <c r="N996" s="1" t="s">
        <v>74</v>
      </c>
      <c r="O996" s="1" t="s">
        <v>74</v>
      </c>
      <c r="P996" s="1" t="s">
        <v>74</v>
      </c>
      <c r="Q996" s="1" t="s">
        <v>74</v>
      </c>
      <c r="R996" s="1" t="s">
        <v>74</v>
      </c>
      <c r="S996" s="1" t="s">
        <v>74</v>
      </c>
      <c r="T996" s="1" t="s">
        <v>74</v>
      </c>
      <c r="U996" s="1" t="s">
        <v>74</v>
      </c>
      <c r="V996" s="1" t="s">
        <v>74</v>
      </c>
      <c r="W996" s="1" t="s">
        <v>74</v>
      </c>
      <c r="X996" s="1" t="s">
        <v>74</v>
      </c>
      <c r="Y996" s="1" t="s">
        <v>74</v>
      </c>
      <c r="Z996" s="1" t="s">
        <v>74</v>
      </c>
      <c r="AA996" s="1" t="s">
        <v>74</v>
      </c>
      <c r="AB996" s="1" t="s">
        <v>5457</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6170</v>
      </c>
      <c r="AP996" s="1" t="s">
        <v>74</v>
      </c>
      <c r="AQ996" s="1" t="s">
        <v>74</v>
      </c>
      <c r="AR996" s="1" t="s">
        <v>74</v>
      </c>
      <c r="AS996" s="1" t="s">
        <v>74</v>
      </c>
      <c r="AT996" s="1" t="s">
        <v>74</v>
      </c>
      <c r="AU996" s="1">
        <v>1985.0</v>
      </c>
      <c r="AV996" s="1">
        <v>48.0</v>
      </c>
      <c r="AW996" s="1">
        <v>4.0</v>
      </c>
      <c r="AX996" s="1" t="s">
        <v>74</v>
      </c>
      <c r="AY996" s="1" t="s">
        <v>74</v>
      </c>
      <c r="AZ996" s="1" t="s">
        <v>74</v>
      </c>
      <c r="BA996" s="1" t="s">
        <v>74</v>
      </c>
      <c r="BB996" s="1">
        <v>664.0</v>
      </c>
      <c r="BC996" s="1">
        <v>666.0</v>
      </c>
      <c r="BD996" s="1" t="s">
        <v>74</v>
      </c>
      <c r="BE996" s="1" t="s">
        <v>9824</v>
      </c>
      <c r="BF996" s="2" t="str">
        <f>HYPERLINK("http://dx.doi.org/10.1021/np50040a030","http://dx.doi.org/10.1021/np50040a030")</f>
        <v>http://dx.doi.org/10.1021/np50040a030</v>
      </c>
      <c r="BG996" s="1" t="s">
        <v>74</v>
      </c>
      <c r="BH996" s="1" t="s">
        <v>74</v>
      </c>
      <c r="BI996" s="1" t="s">
        <v>74</v>
      </c>
      <c r="BJ996" s="1" t="s">
        <v>74</v>
      </c>
      <c r="BK996" s="1" t="s">
        <v>74</v>
      </c>
      <c r="BL996" s="1" t="s">
        <v>74</v>
      </c>
      <c r="BM996" s="1" t="s">
        <v>74</v>
      </c>
      <c r="BN996" s="1" t="s">
        <v>74</v>
      </c>
      <c r="BO996" s="1" t="s">
        <v>74</v>
      </c>
      <c r="BP996" s="1" t="s">
        <v>74</v>
      </c>
      <c r="BQ996" s="1" t="s">
        <v>74</v>
      </c>
      <c r="BR996" s="1" t="s">
        <v>74</v>
      </c>
      <c r="BS996" s="1" t="s">
        <v>9825</v>
      </c>
      <c r="BT996" s="1" t="str">
        <f>HYPERLINK("https%3A%2F%2Fwww.webofscience.com%2Fwos%2Fwoscc%2Ffull-record%2FWOS:A1985ARE3400030","View Full Record in Web of Science")</f>
        <v>View Full Record in Web of Science</v>
      </c>
    </row>
    <row r="997" ht="12.75" customHeight="1">
      <c r="A997" s="1" t="s">
        <v>72</v>
      </c>
      <c r="B997" s="1" t="s">
        <v>9826</v>
      </c>
      <c r="C997" s="1" t="s">
        <v>74</v>
      </c>
      <c r="D997" s="1" t="s">
        <v>74</v>
      </c>
      <c r="E997" s="1" t="s">
        <v>74</v>
      </c>
      <c r="F997" s="1" t="s">
        <v>9827</v>
      </c>
      <c r="G997" s="1" t="s">
        <v>74</v>
      </c>
      <c r="H997" s="1" t="s">
        <v>74</v>
      </c>
      <c r="I997" s="1" t="s">
        <v>9828</v>
      </c>
      <c r="J997" s="1" t="s">
        <v>2365</v>
      </c>
      <c r="K997" s="1" t="s">
        <v>74</v>
      </c>
      <c r="L997" s="1" t="s">
        <v>74</v>
      </c>
      <c r="M997" s="1" t="s">
        <v>74</v>
      </c>
      <c r="N997" s="1" t="s">
        <v>74</v>
      </c>
      <c r="O997" s="1" t="s">
        <v>74</v>
      </c>
      <c r="P997" s="1" t="s">
        <v>74</v>
      </c>
      <c r="Q997" s="1" t="s">
        <v>74</v>
      </c>
      <c r="R997" s="1" t="s">
        <v>74</v>
      </c>
      <c r="S997" s="1" t="s">
        <v>74</v>
      </c>
      <c r="T997" s="1" t="s">
        <v>74</v>
      </c>
      <c r="U997" s="1" t="s">
        <v>74</v>
      </c>
      <c r="V997" s="1" t="s">
        <v>9829</v>
      </c>
      <c r="W997" s="1" t="s">
        <v>74</v>
      </c>
      <c r="X997" s="1" t="s">
        <v>74</v>
      </c>
      <c r="Y997" s="1" t="s">
        <v>74</v>
      </c>
      <c r="Z997" s="1" t="s">
        <v>74</v>
      </c>
      <c r="AA997" s="1" t="s">
        <v>9830</v>
      </c>
      <c r="AB997" s="1" t="s">
        <v>9831</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74</v>
      </c>
      <c r="AP997" s="1" t="s">
        <v>2369</v>
      </c>
      <c r="AQ997" s="1" t="s">
        <v>74</v>
      </c>
      <c r="AR997" s="1" t="s">
        <v>74</v>
      </c>
      <c r="AS997" s="1" t="s">
        <v>74</v>
      </c>
      <c r="AT997" s="1" t="s">
        <v>241</v>
      </c>
      <c r="AU997" s="1">
        <v>2024.0</v>
      </c>
      <c r="AV997" s="1">
        <v>16.0</v>
      </c>
      <c r="AW997" s="1">
        <v>17.0</v>
      </c>
      <c r="AX997" s="1" t="s">
        <v>74</v>
      </c>
      <c r="AY997" s="1" t="s">
        <v>74</v>
      </c>
      <c r="AZ997" s="1" t="s">
        <v>74</v>
      </c>
      <c r="BA997" s="1" t="s">
        <v>74</v>
      </c>
      <c r="BB997" s="1" t="s">
        <v>74</v>
      </c>
      <c r="BC997" s="1" t="s">
        <v>74</v>
      </c>
      <c r="BD997" s="1">
        <v>2471.0</v>
      </c>
      <c r="BE997" s="1" t="s">
        <v>9832</v>
      </c>
      <c r="BF997" s="2" t="str">
        <f>HYPERLINK("http://dx.doi.org/10.3390/polym16172471","http://dx.doi.org/10.3390/polym16172471")</f>
        <v>http://dx.doi.org/10.3390/polym16172471</v>
      </c>
      <c r="BG997" s="1" t="s">
        <v>74</v>
      </c>
      <c r="BH997" s="1" t="s">
        <v>74</v>
      </c>
      <c r="BI997" s="1" t="s">
        <v>74</v>
      </c>
      <c r="BJ997" s="1" t="s">
        <v>74</v>
      </c>
      <c r="BK997" s="1" t="s">
        <v>74</v>
      </c>
      <c r="BL997" s="1" t="s">
        <v>74</v>
      </c>
      <c r="BM997" s="1" t="s">
        <v>74</v>
      </c>
      <c r="BN997" s="1">
        <v>3.9274104E7</v>
      </c>
      <c r="BO997" s="1" t="s">
        <v>74</v>
      </c>
      <c r="BP997" s="1" t="s">
        <v>74</v>
      </c>
      <c r="BQ997" s="1" t="s">
        <v>74</v>
      </c>
      <c r="BR997" s="1" t="s">
        <v>74</v>
      </c>
      <c r="BS997" s="1" t="s">
        <v>9833</v>
      </c>
      <c r="BT997" s="1" t="str">
        <f>HYPERLINK("https%3A%2F%2Fwww.webofscience.com%2Fwos%2Fwoscc%2Ffull-record%2FWOS:001311594900001","View Full Record in Web of Science")</f>
        <v>View Full Record in Web of Science</v>
      </c>
    </row>
    <row r="998" ht="12.75" customHeight="1">
      <c r="A998" s="1" t="s">
        <v>72</v>
      </c>
      <c r="B998" s="1" t="s">
        <v>9834</v>
      </c>
      <c r="C998" s="1" t="s">
        <v>74</v>
      </c>
      <c r="D998" s="1" t="s">
        <v>74</v>
      </c>
      <c r="E998" s="1" t="s">
        <v>74</v>
      </c>
      <c r="F998" s="1" t="s">
        <v>9835</v>
      </c>
      <c r="G998" s="1" t="s">
        <v>74</v>
      </c>
      <c r="H998" s="1" t="s">
        <v>74</v>
      </c>
      <c r="I998" s="1" t="s">
        <v>9836</v>
      </c>
      <c r="J998" s="1" t="s">
        <v>1517</v>
      </c>
      <c r="K998" s="1" t="s">
        <v>74</v>
      </c>
      <c r="L998" s="1" t="s">
        <v>74</v>
      </c>
      <c r="M998" s="1" t="s">
        <v>74</v>
      </c>
      <c r="N998" s="1" t="s">
        <v>74</v>
      </c>
      <c r="O998" s="1" t="s">
        <v>74</v>
      </c>
      <c r="P998" s="1" t="s">
        <v>74</v>
      </c>
      <c r="Q998" s="1" t="s">
        <v>74</v>
      </c>
      <c r="R998" s="1" t="s">
        <v>74</v>
      </c>
      <c r="S998" s="1" t="s">
        <v>74</v>
      </c>
      <c r="T998" s="1" t="s">
        <v>74</v>
      </c>
      <c r="U998" s="1" t="s">
        <v>74</v>
      </c>
      <c r="V998" s="1" t="s">
        <v>9837</v>
      </c>
      <c r="W998" s="1" t="s">
        <v>74</v>
      </c>
      <c r="X998" s="1" t="s">
        <v>74</v>
      </c>
      <c r="Y998" s="1" t="s">
        <v>74</v>
      </c>
      <c r="Z998" s="1" t="s">
        <v>74</v>
      </c>
      <c r="AA998" s="1" t="s">
        <v>9838</v>
      </c>
      <c r="AB998" s="1" t="s">
        <v>9839</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1521</v>
      </c>
      <c r="AP998" s="1" t="s">
        <v>1522</v>
      </c>
      <c r="AQ998" s="1" t="s">
        <v>74</v>
      </c>
      <c r="AR998" s="1" t="s">
        <v>74</v>
      </c>
      <c r="AS998" s="1" t="s">
        <v>74</v>
      </c>
      <c r="AT998" s="1" t="s">
        <v>9840</v>
      </c>
      <c r="AU998" s="1">
        <v>2024.0</v>
      </c>
      <c r="AV998" s="1">
        <v>504.0</v>
      </c>
      <c r="AW998" s="1" t="s">
        <v>74</v>
      </c>
      <c r="AX998" s="1" t="s">
        <v>74</v>
      </c>
      <c r="AY998" s="1" t="s">
        <v>74</v>
      </c>
      <c r="AZ998" s="1" t="s">
        <v>74</v>
      </c>
      <c r="BA998" s="1" t="s">
        <v>74</v>
      </c>
      <c r="BB998" s="1" t="s">
        <v>74</v>
      </c>
      <c r="BC998" s="1" t="s">
        <v>74</v>
      </c>
      <c r="BD998" s="1">
        <v>144894.0</v>
      </c>
      <c r="BE998" s="1" t="s">
        <v>9841</v>
      </c>
      <c r="BF998" s="2" t="str">
        <f>HYPERLINK("http://dx.doi.org/10.1016/j.electacta.2024.144894","http://dx.doi.org/10.1016/j.electacta.2024.144894")</f>
        <v>http://dx.doi.org/10.1016/j.electacta.2024.144894</v>
      </c>
      <c r="BG998" s="1" t="s">
        <v>74</v>
      </c>
      <c r="BH998" s="1" t="s">
        <v>3479</v>
      </c>
      <c r="BI998" s="1" t="s">
        <v>74</v>
      </c>
      <c r="BJ998" s="1" t="s">
        <v>74</v>
      </c>
      <c r="BK998" s="1" t="s">
        <v>74</v>
      </c>
      <c r="BL998" s="1" t="s">
        <v>74</v>
      </c>
      <c r="BM998" s="1" t="s">
        <v>74</v>
      </c>
      <c r="BN998" s="1" t="s">
        <v>74</v>
      </c>
      <c r="BO998" s="1" t="s">
        <v>74</v>
      </c>
      <c r="BP998" s="1" t="s">
        <v>74</v>
      </c>
      <c r="BQ998" s="1" t="s">
        <v>74</v>
      </c>
      <c r="BR998" s="1" t="s">
        <v>74</v>
      </c>
      <c r="BS998" s="1" t="s">
        <v>9842</v>
      </c>
      <c r="BT998" s="1" t="str">
        <f>HYPERLINK("https%3A%2F%2Fwww.webofscience.com%2Fwos%2Fwoscc%2Ffull-record%2FWOS:001302833000001","View Full Record in Web of Science")</f>
        <v>View Full Record in Web of Science</v>
      </c>
    </row>
    <row r="999" ht="12.75" customHeight="1">
      <c r="A999" s="1" t="s">
        <v>72</v>
      </c>
      <c r="B999" s="1" t="s">
        <v>9843</v>
      </c>
      <c r="C999" s="1" t="s">
        <v>74</v>
      </c>
      <c r="D999" s="1" t="s">
        <v>74</v>
      </c>
      <c r="E999" s="1" t="s">
        <v>74</v>
      </c>
      <c r="F999" s="1" t="s">
        <v>9844</v>
      </c>
      <c r="G999" s="1" t="s">
        <v>74</v>
      </c>
      <c r="H999" s="1" t="s">
        <v>74</v>
      </c>
      <c r="I999" s="1" t="s">
        <v>9845</v>
      </c>
      <c r="J999" s="1" t="s">
        <v>1002</v>
      </c>
      <c r="K999" s="1" t="s">
        <v>74</v>
      </c>
      <c r="L999" s="1" t="s">
        <v>74</v>
      </c>
      <c r="M999" s="1" t="s">
        <v>74</v>
      </c>
      <c r="N999" s="1" t="s">
        <v>74</v>
      </c>
      <c r="O999" s="1" t="s">
        <v>74</v>
      </c>
      <c r="P999" s="1" t="s">
        <v>74</v>
      </c>
      <c r="Q999" s="1" t="s">
        <v>74</v>
      </c>
      <c r="R999" s="1" t="s">
        <v>74</v>
      </c>
      <c r="S999" s="1" t="s">
        <v>74</v>
      </c>
      <c r="T999" s="1" t="s">
        <v>74</v>
      </c>
      <c r="U999" s="1" t="s">
        <v>74</v>
      </c>
      <c r="V999" s="1" t="s">
        <v>9846</v>
      </c>
      <c r="W999" s="1" t="s">
        <v>74</v>
      </c>
      <c r="X999" s="1" t="s">
        <v>74</v>
      </c>
      <c r="Y999" s="1" t="s">
        <v>74</v>
      </c>
      <c r="Z999" s="1" t="s">
        <v>74</v>
      </c>
      <c r="AA999" s="1" t="s">
        <v>9847</v>
      </c>
      <c r="AB999" s="1" t="s">
        <v>9848</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1005</v>
      </c>
      <c r="AP999" s="1" t="s">
        <v>1006</v>
      </c>
      <c r="AQ999" s="1" t="s">
        <v>74</v>
      </c>
      <c r="AR999" s="1" t="s">
        <v>74</v>
      </c>
      <c r="AS999" s="1" t="s">
        <v>74</v>
      </c>
      <c r="AT999" s="1" t="s">
        <v>9849</v>
      </c>
      <c r="AU999" s="1">
        <v>2024.0</v>
      </c>
      <c r="AV999" s="1">
        <v>97.0</v>
      </c>
      <c r="AW999" s="1">
        <v>1.0</v>
      </c>
      <c r="AX999" s="1" t="s">
        <v>74</v>
      </c>
      <c r="AY999" s="1" t="s">
        <v>74</v>
      </c>
      <c r="AZ999" s="1" t="s">
        <v>74</v>
      </c>
      <c r="BA999" s="1" t="s">
        <v>74</v>
      </c>
      <c r="BB999" s="1" t="s">
        <v>74</v>
      </c>
      <c r="BC999" s="1" t="s">
        <v>74</v>
      </c>
      <c r="BD999" s="1">
        <v>6.0</v>
      </c>
      <c r="BE999" s="1" t="s">
        <v>9850</v>
      </c>
      <c r="BF999" s="2" t="str">
        <f>HYPERLINK("http://dx.doi.org/10.1186/s40693-024-00129-5","http://dx.doi.org/10.1186/s40693-024-00129-5")</f>
        <v>http://dx.doi.org/10.1186/s40693-024-00129-5</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9851</v>
      </c>
      <c r="BT999" s="1" t="str">
        <f>HYPERLINK("https%3A%2F%2Fwww.webofscience.com%2Fwos%2Fwoscc%2Ffull-record%2FWOS:001272362400001","View Full Record in Web of Science")</f>
        <v>View Full Record in Web of Science</v>
      </c>
    </row>
    <row r="1000" ht="12.75" customHeight="1">
      <c r="A1000" s="1" t="s">
        <v>72</v>
      </c>
      <c r="B1000" s="1" t="s">
        <v>9852</v>
      </c>
      <c r="C1000" s="1" t="s">
        <v>74</v>
      </c>
      <c r="D1000" s="1" t="s">
        <v>74</v>
      </c>
      <c r="E1000" s="1" t="s">
        <v>74</v>
      </c>
      <c r="F1000" s="1" t="s">
        <v>9853</v>
      </c>
      <c r="G1000" s="1" t="s">
        <v>74</v>
      </c>
      <c r="H1000" s="1" t="s">
        <v>74</v>
      </c>
      <c r="I1000" s="1" t="s">
        <v>9854</v>
      </c>
      <c r="J1000" s="1" t="s">
        <v>4639</v>
      </c>
      <c r="K1000" s="1" t="s">
        <v>74</v>
      </c>
      <c r="L1000" s="1" t="s">
        <v>74</v>
      </c>
      <c r="M1000" s="1" t="s">
        <v>74</v>
      </c>
      <c r="N1000" s="1" t="s">
        <v>74</v>
      </c>
      <c r="O1000" s="1" t="s">
        <v>74</v>
      </c>
      <c r="P1000" s="1" t="s">
        <v>74</v>
      </c>
      <c r="Q1000" s="1" t="s">
        <v>74</v>
      </c>
      <c r="R1000" s="1" t="s">
        <v>74</v>
      </c>
      <c r="S1000" s="1" t="s">
        <v>74</v>
      </c>
      <c r="T1000" s="1" t="s">
        <v>74</v>
      </c>
      <c r="U1000" s="1" t="s">
        <v>74</v>
      </c>
      <c r="V1000" s="1" t="s">
        <v>9855</v>
      </c>
      <c r="W1000" s="1" t="s">
        <v>74</v>
      </c>
      <c r="X1000" s="1" t="s">
        <v>74</v>
      </c>
      <c r="Y1000" s="1" t="s">
        <v>74</v>
      </c>
      <c r="Z1000" s="1" t="s">
        <v>74</v>
      </c>
      <c r="AA1000" s="1" t="s">
        <v>4641</v>
      </c>
      <c r="AB1000" s="1" t="s">
        <v>4642</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4643</v>
      </c>
      <c r="AP1000" s="1" t="s">
        <v>4644</v>
      </c>
      <c r="AQ1000" s="1" t="s">
        <v>74</v>
      </c>
      <c r="AR1000" s="1" t="s">
        <v>74</v>
      </c>
      <c r="AS1000" s="1" t="s">
        <v>74</v>
      </c>
      <c r="AT1000" s="1" t="s">
        <v>4036</v>
      </c>
      <c r="AU1000" s="1">
        <v>2024.0</v>
      </c>
      <c r="AV1000" s="1">
        <v>435.0</v>
      </c>
      <c r="AW1000" s="1" t="s">
        <v>74</v>
      </c>
      <c r="AX1000" s="1" t="s">
        <v>74</v>
      </c>
      <c r="AY1000" s="1" t="s">
        <v>74</v>
      </c>
      <c r="AZ1000" s="1" t="s">
        <v>74</v>
      </c>
      <c r="BA1000" s="1" t="s">
        <v>74</v>
      </c>
      <c r="BB1000" s="1" t="s">
        <v>74</v>
      </c>
      <c r="BC1000" s="1" t="s">
        <v>74</v>
      </c>
      <c r="BD1000" s="1">
        <v>119446.0</v>
      </c>
      <c r="BE1000" s="1" t="s">
        <v>9856</v>
      </c>
      <c r="BF1000" s="2" t="str">
        <f>HYPERLINK("http://dx.doi.org/10.1016/j.powtec.2024.119446","http://dx.doi.org/10.1016/j.powtec.2024.119446")</f>
        <v>http://dx.doi.org/10.1016/j.powtec.2024.119446</v>
      </c>
      <c r="BG1000" s="1" t="s">
        <v>74</v>
      </c>
      <c r="BH1000" s="1" t="s">
        <v>5737</v>
      </c>
      <c r="BI1000" s="1" t="s">
        <v>74</v>
      </c>
      <c r="BJ1000" s="1" t="s">
        <v>74</v>
      </c>
      <c r="BK1000" s="1" t="s">
        <v>74</v>
      </c>
      <c r="BL1000" s="1" t="s">
        <v>74</v>
      </c>
      <c r="BM1000" s="1" t="s">
        <v>74</v>
      </c>
      <c r="BN1000" s="1" t="s">
        <v>74</v>
      </c>
      <c r="BO1000" s="1" t="s">
        <v>74</v>
      </c>
      <c r="BP1000" s="1" t="s">
        <v>74</v>
      </c>
      <c r="BQ1000" s="1" t="s">
        <v>74</v>
      </c>
      <c r="BR1000" s="1" t="s">
        <v>74</v>
      </c>
      <c r="BS1000" s="1" t="s">
        <v>9857</v>
      </c>
      <c r="BT1000" s="1" t="str">
        <f>HYPERLINK("https%3A%2F%2Fwww.webofscience.com%2Fwos%2Fwoscc%2Ffull-record%2FWOS:001175009500001","View Full Record in Web of Science")</f>
        <v>View Full Record in Web of Science</v>
      </c>
    </row>
    <row r="1001" ht="12.75" customHeight="1">
      <c r="A1001" s="1" t="s">
        <v>72</v>
      </c>
      <c r="B1001" s="1" t="s">
        <v>9858</v>
      </c>
      <c r="C1001" s="1" t="s">
        <v>74</v>
      </c>
      <c r="D1001" s="1" t="s">
        <v>74</v>
      </c>
      <c r="E1001" s="1" t="s">
        <v>74</v>
      </c>
      <c r="F1001" s="1" t="s">
        <v>9859</v>
      </c>
      <c r="G1001" s="1" t="s">
        <v>74</v>
      </c>
      <c r="H1001" s="1" t="s">
        <v>74</v>
      </c>
      <c r="I1001" s="1" t="s">
        <v>9860</v>
      </c>
      <c r="J1001" s="1" t="s">
        <v>759</v>
      </c>
      <c r="K1001" s="1" t="s">
        <v>74</v>
      </c>
      <c r="L1001" s="1" t="s">
        <v>74</v>
      </c>
      <c r="M1001" s="1" t="s">
        <v>74</v>
      </c>
      <c r="N1001" s="1" t="s">
        <v>74</v>
      </c>
      <c r="O1001" s="1" t="s">
        <v>74</v>
      </c>
      <c r="P1001" s="1" t="s">
        <v>74</v>
      </c>
      <c r="Q1001" s="1" t="s">
        <v>74</v>
      </c>
      <c r="R1001" s="1" t="s">
        <v>74</v>
      </c>
      <c r="S1001" s="1" t="s">
        <v>74</v>
      </c>
      <c r="T1001" s="1" t="s">
        <v>74</v>
      </c>
      <c r="U1001" s="1" t="s">
        <v>74</v>
      </c>
      <c r="V1001" s="1" t="s">
        <v>9861</v>
      </c>
      <c r="W1001" s="1" t="s">
        <v>74</v>
      </c>
      <c r="X1001" s="1" t="s">
        <v>74</v>
      </c>
      <c r="Y1001" s="1" t="s">
        <v>74</v>
      </c>
      <c r="Z1001" s="1" t="s">
        <v>74</v>
      </c>
      <c r="AA1001" s="1" t="s">
        <v>9862</v>
      </c>
      <c r="AB1001" s="1" t="s">
        <v>9863</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762</v>
      </c>
      <c r="AP1001" s="1" t="s">
        <v>763</v>
      </c>
      <c r="AQ1001" s="1" t="s">
        <v>74</v>
      </c>
      <c r="AR1001" s="1" t="s">
        <v>74</v>
      </c>
      <c r="AS1001" s="1" t="s">
        <v>74</v>
      </c>
      <c r="AT1001" s="1" t="s">
        <v>74</v>
      </c>
      <c r="AU1001" s="1">
        <v>2024.0</v>
      </c>
      <c r="AV1001" s="1" t="s">
        <v>74</v>
      </c>
      <c r="AW1001" s="1">
        <v>52.0</v>
      </c>
      <c r="AX1001" s="1" t="s">
        <v>74</v>
      </c>
      <c r="AY1001" s="1" t="s">
        <v>74</v>
      </c>
      <c r="AZ1001" s="1" t="s">
        <v>74</v>
      </c>
      <c r="BA1001" s="1" t="s">
        <v>74</v>
      </c>
      <c r="BB1001" s="1" t="s">
        <v>74</v>
      </c>
      <c r="BC1001" s="1" t="s">
        <v>74</v>
      </c>
      <c r="BD1001" s="1" t="s">
        <v>74</v>
      </c>
      <c r="BE1001" s="1" t="s">
        <v>74</v>
      </c>
      <c r="BF1001" s="1" t="s">
        <v>74</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9864</v>
      </c>
      <c r="BT1001" s="1" t="str">
        <f>HYPERLINK("https%3A%2F%2Fwww.webofscience.com%2Fwos%2Fwoscc%2Ffull-record%2FWOS:001162885300001","View Full Record in Web of Science")</f>
        <v>View Full Record in Web of Science</v>
      </c>
    </row>
  </sheetData>
  <printOptions/>
  <pageMargins bottom="0.75" footer="0.0" header="0.0" left="0.7" right="0.7" top="0.75"/>
  <pageSetup orientation="landscape"/>
  <drawing r:id="rId1"/>
</worksheet>
</file>